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D:\FERRAMENTAS_MCS_IA\Fluxo_Caixa\"/>
    </mc:Choice>
  </mc:AlternateContent>
  <xr:revisionPtr revIDLastSave="0" documentId="13_ncr:1_{456D9848-5D0B-4E5E-B857-A87CD846BE29}" xr6:coauthVersionLast="47" xr6:coauthVersionMax="47" xr10:uidLastSave="{00000000-0000-0000-0000-000000000000}"/>
  <bookViews>
    <workbookView xWindow="-120" yWindow="-120" windowWidth="29040" windowHeight="15720" tabRatio="843" xr2:uid="{00000000-000D-0000-FFFF-FFFF00000000}"/>
  </bookViews>
  <sheets>
    <sheet name="FLUXO DE CAIXA" sheetId="46" r:id="rId1"/>
    <sheet name="2026" sheetId="39" r:id="rId2"/>
    <sheet name="Cad_Natureza" sheetId="40" r:id="rId3"/>
  </sheets>
  <definedNames>
    <definedName name="_xlnm._FilterDatabase" localSheetId="1" hidden="1">'2026'!$B$2:$T$2</definedName>
    <definedName name="_xlnm._FilterDatabase" localSheetId="0" hidden="1">'FLUXO DE CAIXA'!$A$16:$R$39</definedName>
    <definedName name="Fluxo">OFFSET(Cad_Natureza!$G$4,0,0,COUNTA(Cad_Natureza!$G$4:$G$102))</definedName>
    <definedName name="Lista_CRs" comment="Lista suspensa dos CRs">OFFSET(Cad_Natureza!$C$4,0,0,COUNTA(Cad_Natureza!$C$5:$C$52)+3)</definedName>
    <definedName name="Lista_Socios" comment="Lista suspensa dos sócios">OFFSET(Cad_Natureza!$E$4,0,0,COUNTA(Cad_Natureza!$E$4:$E$102))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0" i="39" l="1"/>
  <c r="J649" i="39"/>
  <c r="J648" i="39"/>
  <c r="J647" i="39"/>
  <c r="J646" i="39"/>
  <c r="J645" i="39"/>
  <c r="J644" i="39"/>
  <c r="J643" i="39"/>
  <c r="J642" i="39"/>
  <c r="J641" i="39"/>
  <c r="J640" i="39"/>
  <c r="J639" i="39"/>
  <c r="J638" i="39"/>
  <c r="J637" i="39"/>
  <c r="J636" i="39"/>
  <c r="J635" i="39"/>
  <c r="J634" i="39"/>
  <c r="J633" i="39"/>
  <c r="J632" i="39"/>
  <c r="J631" i="39"/>
  <c r="J630" i="39"/>
  <c r="J629" i="39"/>
  <c r="J628" i="39"/>
  <c r="J627" i="39"/>
  <c r="J626" i="39"/>
  <c r="J625" i="39"/>
  <c r="J624" i="39"/>
  <c r="J623" i="39"/>
  <c r="J622" i="39"/>
  <c r="J621" i="39"/>
  <c r="J620" i="39"/>
  <c r="J619" i="39"/>
  <c r="J618" i="39"/>
  <c r="J617" i="39"/>
  <c r="J616" i="39"/>
  <c r="J615" i="39"/>
  <c r="J614" i="39"/>
  <c r="J613" i="39"/>
  <c r="J612" i="39"/>
  <c r="J611" i="39"/>
  <c r="J610" i="39"/>
  <c r="J609" i="39"/>
  <c r="J608" i="39"/>
  <c r="J607" i="39"/>
  <c r="J606" i="39"/>
  <c r="J605" i="39"/>
  <c r="J604" i="39"/>
  <c r="J603" i="39"/>
  <c r="J602" i="39"/>
  <c r="J601" i="39"/>
  <c r="J600" i="39"/>
  <c r="J599" i="39"/>
  <c r="J598" i="39"/>
  <c r="J597" i="39"/>
  <c r="J596" i="39"/>
  <c r="J595" i="39"/>
  <c r="J594" i="39"/>
  <c r="J593" i="39"/>
  <c r="J592" i="39"/>
  <c r="J591" i="39"/>
  <c r="J590" i="39"/>
  <c r="J589" i="39"/>
  <c r="J588" i="39"/>
  <c r="J587" i="39"/>
  <c r="J586" i="39"/>
  <c r="J585" i="39"/>
  <c r="J584" i="39"/>
  <c r="J583" i="39"/>
  <c r="J582" i="39"/>
  <c r="J581" i="39"/>
  <c r="J580" i="39"/>
  <c r="J579" i="39"/>
  <c r="J578" i="39"/>
  <c r="J577" i="39"/>
  <c r="J576" i="39"/>
  <c r="J575" i="39"/>
  <c r="J574" i="39"/>
  <c r="J573" i="39"/>
  <c r="J572" i="39"/>
  <c r="J571" i="39"/>
  <c r="J570" i="39"/>
  <c r="J569" i="39"/>
  <c r="J568" i="39"/>
  <c r="J567" i="39"/>
  <c r="J566" i="39"/>
  <c r="J565" i="39"/>
  <c r="J564" i="39"/>
  <c r="J563" i="39"/>
  <c r="J562" i="39"/>
  <c r="J561" i="39"/>
  <c r="J560" i="39"/>
  <c r="J559" i="39"/>
  <c r="J558" i="39"/>
  <c r="J557" i="39"/>
  <c r="J556" i="39"/>
  <c r="J555" i="39"/>
  <c r="J554" i="39"/>
  <c r="J553" i="39"/>
  <c r="J552" i="39"/>
  <c r="J551" i="39"/>
  <c r="J550" i="39"/>
  <c r="J549" i="39"/>
  <c r="J548" i="39"/>
  <c r="J547" i="39"/>
  <c r="J546" i="39"/>
  <c r="J545" i="39"/>
  <c r="J544" i="39"/>
  <c r="J543" i="39"/>
  <c r="J542" i="39"/>
  <c r="J541" i="39"/>
  <c r="J540" i="39"/>
  <c r="J539" i="39"/>
  <c r="J538" i="39"/>
  <c r="J537" i="39"/>
  <c r="J536" i="39"/>
  <c r="J535" i="39"/>
  <c r="J534" i="39"/>
  <c r="J533" i="39"/>
  <c r="J532" i="39"/>
  <c r="J531" i="39"/>
  <c r="J530" i="39"/>
  <c r="J529" i="39"/>
  <c r="J528" i="39"/>
  <c r="J527" i="39"/>
  <c r="J526" i="39"/>
  <c r="J525" i="39"/>
  <c r="J524" i="39"/>
  <c r="J523" i="39"/>
  <c r="J522" i="39"/>
  <c r="J521" i="39"/>
  <c r="J520" i="39"/>
  <c r="J519" i="39"/>
  <c r="J518" i="39"/>
  <c r="J517" i="39"/>
  <c r="J516" i="39"/>
  <c r="J515" i="39"/>
  <c r="J514" i="39"/>
  <c r="J513" i="39"/>
  <c r="J512" i="39"/>
  <c r="J511" i="39"/>
  <c r="J510" i="39"/>
  <c r="J509" i="39"/>
  <c r="J508" i="39"/>
  <c r="J507" i="39"/>
  <c r="J506" i="39"/>
  <c r="J505" i="39"/>
  <c r="J504" i="39"/>
  <c r="J503" i="39"/>
  <c r="J502" i="39"/>
  <c r="J501" i="39"/>
  <c r="J500" i="39"/>
  <c r="J499" i="39"/>
  <c r="J498" i="39"/>
  <c r="J497" i="39"/>
  <c r="J496" i="39"/>
  <c r="J495" i="39"/>
  <c r="J494" i="39"/>
  <c r="J493" i="39"/>
  <c r="J492" i="39"/>
  <c r="J491" i="39"/>
  <c r="J490" i="39"/>
  <c r="J489" i="39"/>
  <c r="J488" i="39"/>
  <c r="J487" i="39"/>
  <c r="J486" i="39"/>
  <c r="J485" i="39"/>
  <c r="J484" i="39"/>
  <c r="J483" i="39"/>
  <c r="J482" i="39"/>
  <c r="J481" i="39"/>
  <c r="J480" i="39"/>
  <c r="J479" i="39"/>
  <c r="J478" i="39"/>
  <c r="J477" i="39"/>
  <c r="J476" i="39"/>
  <c r="J475" i="39"/>
  <c r="J474" i="39"/>
  <c r="J473" i="39"/>
  <c r="J472" i="39"/>
  <c r="J471" i="39"/>
  <c r="J470" i="39"/>
  <c r="J469" i="39"/>
  <c r="J468" i="39"/>
  <c r="J467" i="39"/>
  <c r="J466" i="39"/>
  <c r="J465" i="39"/>
  <c r="J464" i="39"/>
  <c r="J463" i="39"/>
  <c r="J462" i="39"/>
  <c r="J461" i="39"/>
  <c r="J460" i="39"/>
  <c r="J459" i="39"/>
  <c r="J458" i="39"/>
  <c r="J457" i="39"/>
  <c r="J456" i="39"/>
  <c r="J455" i="39"/>
  <c r="J454" i="39"/>
  <c r="J453" i="39"/>
  <c r="J452" i="39"/>
  <c r="J451" i="39"/>
  <c r="J450" i="39"/>
  <c r="J449" i="39"/>
  <c r="J448" i="39"/>
  <c r="J447" i="39"/>
  <c r="J446" i="39"/>
  <c r="J445" i="39"/>
  <c r="J444" i="39"/>
  <c r="J443" i="39"/>
  <c r="J442" i="39"/>
  <c r="J441" i="39"/>
  <c r="J440" i="39"/>
  <c r="J439" i="39"/>
  <c r="J438" i="39"/>
  <c r="J437" i="39"/>
  <c r="J436" i="39"/>
  <c r="J435" i="39"/>
  <c r="J434" i="39"/>
  <c r="J433" i="39"/>
  <c r="J432" i="39"/>
  <c r="J431" i="39"/>
  <c r="J430" i="39"/>
  <c r="J429" i="39"/>
  <c r="J428" i="39"/>
  <c r="J427" i="39"/>
  <c r="J426" i="39"/>
  <c r="J425" i="39"/>
  <c r="J424" i="39"/>
  <c r="J423" i="39"/>
  <c r="J422" i="39"/>
  <c r="J421" i="39"/>
  <c r="J420" i="39"/>
  <c r="J419" i="39"/>
  <c r="J418" i="39"/>
  <c r="J417" i="39"/>
  <c r="J416" i="39"/>
  <c r="J415" i="39"/>
  <c r="J414" i="39"/>
  <c r="J413" i="39"/>
  <c r="J412" i="39"/>
  <c r="J411" i="39"/>
  <c r="J410" i="39"/>
  <c r="J409" i="39"/>
  <c r="J408" i="39"/>
  <c r="J407" i="39"/>
  <c r="J406" i="39"/>
  <c r="J405" i="39"/>
  <c r="J404" i="39"/>
  <c r="J403" i="39"/>
  <c r="J402" i="39"/>
  <c r="J401" i="39"/>
  <c r="J400" i="39"/>
  <c r="J399" i="39"/>
  <c r="J398" i="39"/>
  <c r="J397" i="39"/>
  <c r="J396" i="39"/>
  <c r="J395" i="39"/>
  <c r="J394" i="39"/>
  <c r="J393" i="39"/>
  <c r="J392" i="39"/>
  <c r="J391" i="39"/>
  <c r="J390" i="39"/>
  <c r="J389" i="39"/>
  <c r="J388" i="39"/>
  <c r="J387" i="39"/>
  <c r="J386" i="39"/>
  <c r="J385" i="39"/>
  <c r="J384" i="39"/>
  <c r="J383" i="39"/>
  <c r="J382" i="39"/>
  <c r="J381" i="39"/>
  <c r="J380" i="39"/>
  <c r="J379" i="39"/>
  <c r="J378" i="39"/>
  <c r="J377" i="39"/>
  <c r="J376" i="39"/>
  <c r="J375" i="39"/>
  <c r="J374" i="39"/>
  <c r="J373" i="39"/>
  <c r="J372" i="39"/>
  <c r="J371" i="39"/>
  <c r="J370" i="39"/>
  <c r="J369" i="39"/>
  <c r="J368" i="39"/>
  <c r="J367" i="39"/>
  <c r="J366" i="39"/>
  <c r="J365" i="39"/>
  <c r="J364" i="39"/>
  <c r="J363" i="39"/>
  <c r="J362" i="39"/>
  <c r="J361" i="39"/>
  <c r="J360" i="39"/>
  <c r="J359" i="39"/>
  <c r="J358" i="39"/>
  <c r="J357" i="39"/>
  <c r="J356" i="39"/>
  <c r="J355" i="39"/>
  <c r="J354" i="39"/>
  <c r="J353" i="39"/>
  <c r="J352" i="39"/>
  <c r="J351" i="39"/>
  <c r="J350" i="39"/>
  <c r="J349" i="39"/>
  <c r="J348" i="39"/>
  <c r="J347" i="39"/>
  <c r="J346" i="39"/>
  <c r="J345" i="39"/>
  <c r="J344" i="39"/>
  <c r="J343" i="39"/>
  <c r="J342" i="39"/>
  <c r="J341" i="39"/>
  <c r="J340" i="39"/>
  <c r="J339" i="39"/>
  <c r="J338" i="39"/>
  <c r="J337" i="39"/>
  <c r="J336" i="39"/>
  <c r="J335" i="39"/>
  <c r="J334" i="39"/>
  <c r="J333" i="39"/>
  <c r="J332" i="39"/>
  <c r="J331" i="39"/>
  <c r="J330" i="39"/>
  <c r="J329" i="39"/>
  <c r="J328" i="39"/>
  <c r="J327" i="39"/>
  <c r="J326" i="39"/>
  <c r="J325" i="39"/>
  <c r="J324" i="39"/>
  <c r="J323" i="39"/>
  <c r="J322" i="39"/>
  <c r="J321" i="39"/>
  <c r="J320" i="39"/>
  <c r="J319" i="39"/>
  <c r="J318" i="39"/>
  <c r="J317" i="39"/>
  <c r="J316" i="39"/>
  <c r="J315" i="39"/>
  <c r="J314" i="39"/>
  <c r="J313" i="39"/>
  <c r="J312" i="39"/>
  <c r="J311" i="39"/>
  <c r="J310" i="39"/>
  <c r="J309" i="39"/>
  <c r="J308" i="39"/>
  <c r="J307" i="39"/>
  <c r="J306" i="39"/>
  <c r="J305" i="39"/>
  <c r="J304" i="39"/>
  <c r="J303" i="39"/>
  <c r="J302" i="39"/>
  <c r="J301" i="39"/>
  <c r="J300" i="39"/>
  <c r="J299" i="39"/>
  <c r="J298" i="39"/>
  <c r="J297" i="39"/>
  <c r="J296" i="39"/>
  <c r="J295" i="39"/>
  <c r="J294" i="39"/>
  <c r="J293" i="39"/>
  <c r="J292" i="39"/>
  <c r="J291" i="39"/>
  <c r="J290" i="39"/>
  <c r="J289" i="39"/>
  <c r="J288" i="39"/>
  <c r="J287" i="39"/>
  <c r="J286" i="39"/>
  <c r="J285" i="39"/>
  <c r="J284" i="39"/>
  <c r="J283" i="39"/>
  <c r="J282" i="39"/>
  <c r="J281" i="39"/>
  <c r="J280" i="39"/>
  <c r="J279" i="39"/>
  <c r="J278" i="39"/>
  <c r="J277" i="39"/>
  <c r="J276" i="39"/>
  <c r="J275" i="39"/>
  <c r="J274" i="39"/>
  <c r="J273" i="39"/>
  <c r="J272" i="39"/>
  <c r="J271" i="39"/>
  <c r="J270" i="39"/>
  <c r="J269" i="39"/>
  <c r="J268" i="39"/>
  <c r="J267" i="39"/>
  <c r="J266" i="39"/>
  <c r="J265" i="39"/>
  <c r="J264" i="39"/>
  <c r="J263" i="39"/>
  <c r="J262" i="39"/>
  <c r="J261" i="39"/>
  <c r="J260" i="39"/>
  <c r="J259" i="39"/>
  <c r="J258" i="39"/>
  <c r="J257" i="39"/>
  <c r="J256" i="39"/>
  <c r="J255" i="39"/>
  <c r="J254" i="39"/>
  <c r="J253" i="39"/>
  <c r="J252" i="39"/>
  <c r="J251" i="39"/>
  <c r="J250" i="39"/>
  <c r="J249" i="39"/>
  <c r="J248" i="39"/>
  <c r="J247" i="39"/>
  <c r="J246" i="39"/>
  <c r="J245" i="39"/>
  <c r="J244" i="39"/>
  <c r="J243" i="39"/>
  <c r="J242" i="39"/>
  <c r="J241" i="39"/>
  <c r="J240" i="39"/>
  <c r="J239" i="39"/>
  <c r="J238" i="39"/>
  <c r="J237" i="39"/>
  <c r="J236" i="39"/>
  <c r="J235" i="39"/>
  <c r="J234" i="39"/>
  <c r="J233" i="39"/>
  <c r="J232" i="39"/>
  <c r="J231" i="39"/>
  <c r="J230" i="39"/>
  <c r="J229" i="39"/>
  <c r="J228" i="39"/>
  <c r="J227" i="39"/>
  <c r="J226" i="39"/>
  <c r="J225" i="39"/>
  <c r="J224" i="39"/>
  <c r="J223" i="39"/>
  <c r="J222" i="39"/>
  <c r="J221" i="39"/>
  <c r="J220" i="39"/>
  <c r="J219" i="39"/>
  <c r="J218" i="39"/>
  <c r="J217" i="39"/>
  <c r="J216" i="39"/>
  <c r="J215" i="39"/>
  <c r="J214" i="39"/>
  <c r="J213" i="39"/>
  <c r="J212" i="39"/>
  <c r="J211" i="39"/>
  <c r="J210" i="39"/>
  <c r="J209" i="39"/>
  <c r="J208" i="39"/>
  <c r="J207" i="39"/>
  <c r="J206" i="39"/>
  <c r="J205" i="39"/>
  <c r="J204" i="39"/>
  <c r="J203" i="39"/>
  <c r="J202" i="39"/>
  <c r="J201" i="39"/>
  <c r="J200" i="39"/>
  <c r="J199" i="39"/>
  <c r="J198" i="39"/>
  <c r="J197" i="39"/>
  <c r="J196" i="39"/>
  <c r="J195" i="39"/>
  <c r="J194" i="39"/>
  <c r="J193" i="39"/>
  <c r="J192" i="39"/>
  <c r="J191" i="39"/>
  <c r="J190" i="39"/>
  <c r="J189" i="39"/>
  <c r="J188" i="39"/>
  <c r="J187" i="39"/>
  <c r="J186" i="39"/>
  <c r="J185" i="39"/>
  <c r="J184" i="39"/>
  <c r="J183" i="39"/>
  <c r="J182" i="39"/>
  <c r="J181" i="39"/>
  <c r="J180" i="39"/>
  <c r="J179" i="39"/>
  <c r="J178" i="39"/>
  <c r="J177" i="39"/>
  <c r="J176" i="39"/>
  <c r="J175" i="39"/>
  <c r="J174" i="39"/>
  <c r="J173" i="39"/>
  <c r="J172" i="39"/>
  <c r="J171" i="39"/>
  <c r="J170" i="39"/>
  <c r="J169" i="39"/>
  <c r="J168" i="39"/>
  <c r="J167" i="39"/>
  <c r="J166" i="39"/>
  <c r="J165" i="39"/>
  <c r="J164" i="39"/>
  <c r="J163" i="39"/>
  <c r="J162" i="39"/>
  <c r="J161" i="39"/>
  <c r="J160" i="39"/>
  <c r="J159" i="39"/>
  <c r="J158" i="39"/>
  <c r="J157" i="39"/>
  <c r="J156" i="39"/>
  <c r="J155" i="39"/>
  <c r="J154" i="39"/>
  <c r="J153" i="39"/>
  <c r="J152" i="39"/>
  <c r="J151" i="39"/>
  <c r="J150" i="39"/>
  <c r="J149" i="39"/>
  <c r="J148" i="39"/>
  <c r="J147" i="39"/>
  <c r="J146" i="39"/>
  <c r="J145" i="39"/>
  <c r="J144" i="39"/>
  <c r="J143" i="39"/>
  <c r="J142" i="39"/>
  <c r="J141" i="39"/>
  <c r="J140" i="39"/>
  <c r="J139" i="39"/>
  <c r="J138" i="39"/>
  <c r="J137" i="39"/>
  <c r="J136" i="39"/>
  <c r="J135" i="39"/>
  <c r="J134" i="39"/>
  <c r="J133" i="39"/>
  <c r="J132" i="39"/>
  <c r="J131" i="39"/>
  <c r="J130" i="39"/>
  <c r="J129" i="39"/>
  <c r="J128" i="39"/>
  <c r="J127" i="39"/>
  <c r="J126" i="39"/>
  <c r="J125" i="39"/>
  <c r="J124" i="39"/>
  <c r="J123" i="39"/>
  <c r="J122" i="39"/>
  <c r="J121" i="39"/>
  <c r="J120" i="39"/>
  <c r="J119" i="39"/>
  <c r="J118" i="39"/>
  <c r="J117" i="39"/>
  <c r="J116" i="39"/>
  <c r="J115" i="39"/>
  <c r="J114" i="39"/>
  <c r="J113" i="39"/>
  <c r="J112" i="39"/>
  <c r="J111" i="39"/>
  <c r="J110" i="39"/>
  <c r="J109" i="39"/>
  <c r="J108" i="39"/>
  <c r="J107" i="39"/>
  <c r="J106" i="39"/>
  <c r="J105" i="39"/>
  <c r="J104" i="39"/>
  <c r="J103" i="39"/>
  <c r="J102" i="39"/>
  <c r="J101" i="39"/>
  <c r="J100" i="39"/>
  <c r="J99" i="39"/>
  <c r="J98" i="39"/>
  <c r="J97" i="39"/>
  <c r="J96" i="39"/>
  <c r="J95" i="39"/>
  <c r="J94" i="39"/>
  <c r="J93" i="39"/>
  <c r="J92" i="39"/>
  <c r="J91" i="39"/>
  <c r="J90" i="39"/>
  <c r="J89" i="39"/>
  <c r="J88" i="39"/>
  <c r="J87" i="39"/>
  <c r="J86" i="39"/>
  <c r="J85" i="39"/>
  <c r="J84" i="39"/>
  <c r="J83" i="39"/>
  <c r="J82" i="39"/>
  <c r="J81" i="39"/>
  <c r="J80" i="39"/>
  <c r="J79" i="39"/>
  <c r="J78" i="39"/>
  <c r="J77" i="39"/>
  <c r="J76" i="39"/>
  <c r="J75" i="39"/>
  <c r="J74" i="39"/>
  <c r="J73" i="39"/>
  <c r="J72" i="39"/>
  <c r="J71" i="39"/>
  <c r="J70" i="39"/>
  <c r="J69" i="39"/>
  <c r="J68" i="39"/>
  <c r="J67" i="39"/>
  <c r="J66" i="39"/>
  <c r="J65" i="39"/>
  <c r="J64" i="39"/>
  <c r="J63" i="39"/>
  <c r="J62" i="39"/>
  <c r="J61" i="39"/>
  <c r="J60" i="39"/>
  <c r="J59" i="39"/>
  <c r="J58" i="39"/>
  <c r="J57" i="39"/>
  <c r="J56" i="39"/>
  <c r="J55" i="39"/>
  <c r="J54" i="39"/>
  <c r="J53" i="39"/>
  <c r="J52" i="39"/>
  <c r="J51" i="39"/>
  <c r="J50" i="39"/>
  <c r="J49" i="39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J21" i="39"/>
  <c r="J20" i="39"/>
  <c r="J19" i="39"/>
  <c r="J18" i="39"/>
  <c r="J17" i="39"/>
  <c r="J16" i="39"/>
  <c r="J15" i="39"/>
  <c r="J14" i="39"/>
  <c r="J13" i="39"/>
  <c r="J12" i="39"/>
  <c r="J11" i="39"/>
  <c r="J10" i="39"/>
  <c r="J9" i="39"/>
  <c r="J8" i="39"/>
  <c r="J7" i="39"/>
  <c r="J6" i="39"/>
  <c r="J5" i="39"/>
  <c r="J4" i="39"/>
  <c r="J3" i="39"/>
  <c r="E650" i="39"/>
  <c r="E649" i="39"/>
  <c r="E648" i="39"/>
  <c r="E647" i="39"/>
  <c r="E646" i="39"/>
  <c r="E645" i="39"/>
  <c r="E644" i="39"/>
  <c r="E643" i="39"/>
  <c r="E642" i="39"/>
  <c r="E641" i="39"/>
  <c r="E640" i="39"/>
  <c r="E639" i="39"/>
  <c r="E638" i="39"/>
  <c r="E637" i="39"/>
  <c r="E636" i="39"/>
  <c r="E635" i="39"/>
  <c r="E634" i="39"/>
  <c r="E633" i="39"/>
  <c r="E632" i="39"/>
  <c r="E631" i="39"/>
  <c r="E630" i="39"/>
  <c r="E629" i="39"/>
  <c r="E628" i="39"/>
  <c r="E627" i="39"/>
  <c r="E626" i="39"/>
  <c r="E625" i="39"/>
  <c r="E624" i="39"/>
  <c r="E623" i="39"/>
  <c r="E622" i="39"/>
  <c r="E621" i="39"/>
  <c r="E620" i="39"/>
  <c r="E619" i="39"/>
  <c r="E618" i="39"/>
  <c r="E617" i="39"/>
  <c r="E616" i="39"/>
  <c r="E615" i="39"/>
  <c r="E614" i="39"/>
  <c r="E613" i="39"/>
  <c r="E612" i="39"/>
  <c r="E611" i="39"/>
  <c r="E610" i="39"/>
  <c r="E609" i="39"/>
  <c r="E608" i="39"/>
  <c r="E607" i="39"/>
  <c r="E606" i="39"/>
  <c r="E605" i="39"/>
  <c r="E604" i="39"/>
  <c r="E603" i="39"/>
  <c r="E602" i="39"/>
  <c r="E601" i="39"/>
  <c r="E600" i="39"/>
  <c r="E599" i="39"/>
  <c r="E598" i="39"/>
  <c r="E597" i="39"/>
  <c r="E596" i="39"/>
  <c r="E595" i="39"/>
  <c r="E594" i="39"/>
  <c r="E593" i="39"/>
  <c r="E592" i="39"/>
  <c r="E591" i="39"/>
  <c r="E590" i="39"/>
  <c r="E589" i="39"/>
  <c r="E588" i="39"/>
  <c r="E587" i="39"/>
  <c r="E586" i="39"/>
  <c r="E585" i="39"/>
  <c r="E584" i="39"/>
  <c r="E583" i="39"/>
  <c r="E582" i="39"/>
  <c r="E581" i="39"/>
  <c r="E580" i="39"/>
  <c r="E579" i="39"/>
  <c r="E578" i="39"/>
  <c r="E577" i="39"/>
  <c r="E576" i="39"/>
  <c r="E575" i="39"/>
  <c r="E574" i="39"/>
  <c r="E573" i="39"/>
  <c r="E572" i="39"/>
  <c r="E571" i="39"/>
  <c r="E570" i="39"/>
  <c r="E569" i="39"/>
  <c r="E568" i="39"/>
  <c r="E567" i="39"/>
  <c r="E566" i="39"/>
  <c r="E565" i="39"/>
  <c r="E564" i="39"/>
  <c r="E563" i="39"/>
  <c r="E562" i="39"/>
  <c r="E561" i="39"/>
  <c r="E560" i="39"/>
  <c r="E559" i="39"/>
  <c r="E558" i="39"/>
  <c r="E557" i="39"/>
  <c r="E556" i="39"/>
  <c r="E555" i="39"/>
  <c r="E554" i="39"/>
  <c r="E553" i="39"/>
  <c r="E552" i="39"/>
  <c r="E551" i="39"/>
  <c r="E550" i="39"/>
  <c r="E549" i="39"/>
  <c r="E548" i="39"/>
  <c r="E547" i="39"/>
  <c r="E546" i="39"/>
  <c r="E545" i="39"/>
  <c r="E544" i="39"/>
  <c r="E543" i="39"/>
  <c r="E542" i="39"/>
  <c r="E541" i="39"/>
  <c r="E540" i="39"/>
  <c r="E539" i="39"/>
  <c r="E538" i="39"/>
  <c r="E537" i="39"/>
  <c r="E536" i="39"/>
  <c r="E535" i="39"/>
  <c r="E534" i="39"/>
  <c r="E533" i="39"/>
  <c r="E532" i="39"/>
  <c r="E531" i="39"/>
  <c r="E530" i="39"/>
  <c r="E529" i="39"/>
  <c r="E528" i="39"/>
  <c r="E527" i="39"/>
  <c r="E526" i="39"/>
  <c r="E525" i="39"/>
  <c r="E524" i="39"/>
  <c r="E523" i="39"/>
  <c r="E522" i="39"/>
  <c r="E521" i="39"/>
  <c r="E520" i="39"/>
  <c r="E519" i="39"/>
  <c r="E518" i="39"/>
  <c r="E517" i="39"/>
  <c r="E516" i="39"/>
  <c r="E515" i="39"/>
  <c r="E514" i="39"/>
  <c r="E513" i="39"/>
  <c r="E512" i="39"/>
  <c r="E511" i="39"/>
  <c r="E510" i="39"/>
  <c r="E509" i="39"/>
  <c r="E508" i="39"/>
  <c r="E507" i="39"/>
  <c r="E506" i="39"/>
  <c r="E505" i="39"/>
  <c r="E504" i="39"/>
  <c r="E503" i="39"/>
  <c r="E502" i="39"/>
  <c r="E501" i="39"/>
  <c r="E500" i="39"/>
  <c r="E499" i="39"/>
  <c r="E498" i="39"/>
  <c r="E497" i="39"/>
  <c r="E496" i="39"/>
  <c r="E495" i="39"/>
  <c r="E494" i="39"/>
  <c r="E493" i="39"/>
  <c r="E492" i="39"/>
  <c r="E491" i="39"/>
  <c r="E490" i="39"/>
  <c r="E489" i="39"/>
  <c r="E488" i="39"/>
  <c r="E487" i="39"/>
  <c r="E486" i="39"/>
  <c r="E485" i="39"/>
  <c r="E484" i="39"/>
  <c r="E483" i="39"/>
  <c r="E482" i="39"/>
  <c r="E481" i="39"/>
  <c r="E480" i="39"/>
  <c r="E479" i="39"/>
  <c r="E478" i="39"/>
  <c r="E477" i="39"/>
  <c r="E476" i="39"/>
  <c r="E475" i="39"/>
  <c r="E474" i="39"/>
  <c r="E473" i="39"/>
  <c r="E472" i="39"/>
  <c r="E471" i="39"/>
  <c r="E470" i="39"/>
  <c r="E469" i="39"/>
  <c r="E468" i="39"/>
  <c r="E467" i="39"/>
  <c r="E466" i="39"/>
  <c r="E465" i="39"/>
  <c r="E464" i="39"/>
  <c r="E463" i="39"/>
  <c r="E462" i="39"/>
  <c r="E461" i="39"/>
  <c r="E460" i="39"/>
  <c r="E459" i="39"/>
  <c r="E458" i="39"/>
  <c r="E457" i="39"/>
  <c r="E456" i="39"/>
  <c r="E455" i="39"/>
  <c r="E454" i="39"/>
  <c r="E453" i="39"/>
  <c r="E452" i="39"/>
  <c r="E451" i="39"/>
  <c r="E450" i="39"/>
  <c r="E449" i="39"/>
  <c r="E448" i="39"/>
  <c r="E447" i="39"/>
  <c r="E446" i="39"/>
  <c r="E445" i="39"/>
  <c r="E444" i="39"/>
  <c r="E443" i="39"/>
  <c r="E442" i="39"/>
  <c r="E441" i="39"/>
  <c r="E440" i="39"/>
  <c r="E439" i="39"/>
  <c r="E438" i="39"/>
  <c r="E437" i="39"/>
  <c r="E436" i="39"/>
  <c r="E435" i="39"/>
  <c r="E434" i="39"/>
  <c r="E433" i="39"/>
  <c r="E432" i="39"/>
  <c r="E431" i="39"/>
  <c r="E430" i="39"/>
  <c r="E429" i="39"/>
  <c r="E428" i="39"/>
  <c r="E427" i="39"/>
  <c r="E426" i="39"/>
  <c r="E425" i="39"/>
  <c r="E424" i="39"/>
  <c r="E423" i="39"/>
  <c r="E422" i="39"/>
  <c r="E421" i="39"/>
  <c r="E420" i="39"/>
  <c r="E419" i="39"/>
  <c r="E418" i="39"/>
  <c r="E417" i="39"/>
  <c r="E416" i="39"/>
  <c r="E415" i="39"/>
  <c r="E414" i="39"/>
  <c r="E413" i="39"/>
  <c r="E412" i="39"/>
  <c r="E411" i="39"/>
  <c r="E410" i="39"/>
  <c r="E409" i="39"/>
  <c r="E408" i="39"/>
  <c r="E407" i="39"/>
  <c r="E406" i="39"/>
  <c r="E405" i="39"/>
  <c r="E404" i="39"/>
  <c r="E403" i="39"/>
  <c r="E402" i="39"/>
  <c r="E401" i="39"/>
  <c r="E400" i="39"/>
  <c r="E399" i="39"/>
  <c r="E398" i="39"/>
  <c r="E397" i="39"/>
  <c r="E396" i="39"/>
  <c r="E395" i="39"/>
  <c r="E394" i="39"/>
  <c r="E393" i="39"/>
  <c r="E392" i="39"/>
  <c r="E391" i="39"/>
  <c r="E390" i="39"/>
  <c r="E389" i="39"/>
  <c r="E388" i="39"/>
  <c r="E387" i="39"/>
  <c r="E386" i="39"/>
  <c r="E385" i="39"/>
  <c r="E384" i="39"/>
  <c r="E383" i="39"/>
  <c r="E382" i="39"/>
  <c r="E381" i="39"/>
  <c r="E380" i="39"/>
  <c r="E379" i="39"/>
  <c r="E378" i="39"/>
  <c r="E377" i="39"/>
  <c r="E376" i="39"/>
  <c r="E375" i="39"/>
  <c r="E374" i="39"/>
  <c r="E373" i="39"/>
  <c r="E372" i="39"/>
  <c r="E371" i="39"/>
  <c r="E370" i="39"/>
  <c r="E369" i="39"/>
  <c r="E368" i="39"/>
  <c r="E367" i="39"/>
  <c r="E366" i="39"/>
  <c r="E365" i="39"/>
  <c r="E364" i="39"/>
  <c r="E363" i="39"/>
  <c r="E362" i="39"/>
  <c r="E361" i="39"/>
  <c r="E360" i="39"/>
  <c r="E359" i="39"/>
  <c r="E358" i="39"/>
  <c r="E357" i="39"/>
  <c r="E356" i="39"/>
  <c r="E355" i="39"/>
  <c r="E354" i="39"/>
  <c r="E353" i="39"/>
  <c r="E352" i="39"/>
  <c r="E351" i="39"/>
  <c r="E350" i="39"/>
  <c r="E349" i="39"/>
  <c r="E348" i="39"/>
  <c r="E347" i="39"/>
  <c r="E346" i="39"/>
  <c r="E345" i="39"/>
  <c r="E344" i="39"/>
  <c r="E343" i="39"/>
  <c r="E342" i="39"/>
  <c r="E341" i="39"/>
  <c r="E340" i="39"/>
  <c r="E339" i="39"/>
  <c r="E338" i="39"/>
  <c r="E337" i="39"/>
  <c r="E336" i="39"/>
  <c r="E335" i="39"/>
  <c r="E334" i="39"/>
  <c r="E333" i="39"/>
  <c r="E332" i="39"/>
  <c r="E331" i="39"/>
  <c r="E330" i="39"/>
  <c r="E329" i="39"/>
  <c r="E328" i="39"/>
  <c r="E327" i="39"/>
  <c r="E326" i="39"/>
  <c r="E325" i="39"/>
  <c r="E324" i="39"/>
  <c r="E323" i="39"/>
  <c r="E322" i="39"/>
  <c r="E321" i="39"/>
  <c r="E320" i="39"/>
  <c r="E319" i="39"/>
  <c r="E318" i="39"/>
  <c r="E317" i="39"/>
  <c r="E316" i="39"/>
  <c r="E315" i="39"/>
  <c r="E314" i="39"/>
  <c r="E313" i="39"/>
  <c r="E312" i="39"/>
  <c r="E311" i="39"/>
  <c r="E310" i="39"/>
  <c r="E309" i="39"/>
  <c r="E308" i="39"/>
  <c r="E307" i="39"/>
  <c r="E306" i="39"/>
  <c r="E305" i="39"/>
  <c r="E304" i="39"/>
  <c r="E303" i="39"/>
  <c r="E302" i="39"/>
  <c r="E301" i="39"/>
  <c r="E300" i="39"/>
  <c r="E299" i="39"/>
  <c r="E298" i="39"/>
  <c r="E297" i="39"/>
  <c r="E296" i="39"/>
  <c r="E295" i="39"/>
  <c r="E294" i="39"/>
  <c r="E293" i="39"/>
  <c r="E292" i="39"/>
  <c r="E291" i="39"/>
  <c r="E290" i="39"/>
  <c r="E289" i="39"/>
  <c r="E288" i="39"/>
  <c r="E287" i="39"/>
  <c r="E286" i="39"/>
  <c r="E285" i="39"/>
  <c r="E284" i="39"/>
  <c r="E283" i="39"/>
  <c r="E282" i="39"/>
  <c r="E281" i="39"/>
  <c r="E280" i="39"/>
  <c r="E279" i="39"/>
  <c r="E278" i="39"/>
  <c r="E277" i="39"/>
  <c r="E276" i="39"/>
  <c r="E275" i="39"/>
  <c r="E274" i="39"/>
  <c r="E273" i="39"/>
  <c r="E272" i="39"/>
  <c r="E271" i="39"/>
  <c r="E270" i="39"/>
  <c r="E269" i="39"/>
  <c r="E268" i="39"/>
  <c r="E267" i="39"/>
  <c r="E266" i="39"/>
  <c r="E265" i="39"/>
  <c r="E264" i="39"/>
  <c r="E263" i="39"/>
  <c r="E262" i="39"/>
  <c r="E261" i="39"/>
  <c r="E260" i="39"/>
  <c r="E259" i="39"/>
  <c r="E258" i="39"/>
  <c r="E257" i="39"/>
  <c r="E256" i="39"/>
  <c r="E255" i="39"/>
  <c r="E254" i="39"/>
  <c r="E253" i="39"/>
  <c r="E252" i="39"/>
  <c r="E251" i="39"/>
  <c r="E250" i="39"/>
  <c r="E249" i="39"/>
  <c r="E248" i="39"/>
  <c r="E247" i="39"/>
  <c r="E246" i="39"/>
  <c r="E245" i="39"/>
  <c r="E244" i="39"/>
  <c r="E243" i="39"/>
  <c r="E242" i="39"/>
  <c r="E241" i="39"/>
  <c r="E240" i="39"/>
  <c r="E239" i="39"/>
  <c r="E238" i="39"/>
  <c r="E237" i="39"/>
  <c r="E236" i="39"/>
  <c r="E235" i="39"/>
  <c r="E234" i="39"/>
  <c r="E233" i="39"/>
  <c r="E232" i="39"/>
  <c r="E231" i="39"/>
  <c r="E230" i="39"/>
  <c r="E229" i="39"/>
  <c r="E228" i="39"/>
  <c r="E227" i="39"/>
  <c r="E226" i="39"/>
  <c r="E225" i="39"/>
  <c r="E224" i="39"/>
  <c r="E223" i="39"/>
  <c r="E222" i="39"/>
  <c r="E221" i="39"/>
  <c r="E220" i="39"/>
  <c r="E219" i="39"/>
  <c r="E218" i="39"/>
  <c r="E217" i="39"/>
  <c r="E216" i="39"/>
  <c r="E215" i="39"/>
  <c r="E214" i="39"/>
  <c r="E213" i="39"/>
  <c r="E212" i="39"/>
  <c r="E211" i="39"/>
  <c r="E210" i="39"/>
  <c r="E209" i="39"/>
  <c r="E208" i="39"/>
  <c r="E207" i="39"/>
  <c r="E206" i="39"/>
  <c r="E205" i="39"/>
  <c r="E204" i="39"/>
  <c r="E203" i="39"/>
  <c r="E202" i="39"/>
  <c r="E201" i="39"/>
  <c r="E200" i="39"/>
  <c r="E199" i="39"/>
  <c r="E198" i="39"/>
  <c r="E197" i="39"/>
  <c r="E196" i="39"/>
  <c r="E195" i="39"/>
  <c r="E194" i="39"/>
  <c r="E193" i="39"/>
  <c r="E192" i="39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E134" i="39"/>
  <c r="E133" i="39"/>
  <c r="E132" i="39"/>
  <c r="E131" i="39"/>
  <c r="E130" i="39"/>
  <c r="E129" i="39"/>
  <c r="E128" i="39"/>
  <c r="E127" i="39"/>
  <c r="E126" i="39"/>
  <c r="E125" i="39"/>
  <c r="E124" i="39"/>
  <c r="E123" i="39"/>
  <c r="E122" i="39"/>
  <c r="E121" i="39"/>
  <c r="E120" i="39"/>
  <c r="E119" i="39"/>
  <c r="E118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E69" i="39"/>
  <c r="E68" i="39"/>
  <c r="E67" i="39"/>
  <c r="E66" i="39"/>
  <c r="E65" i="39"/>
  <c r="E64" i="39"/>
  <c r="E63" i="39"/>
  <c r="E62" i="39"/>
  <c r="E61" i="39"/>
  <c r="E60" i="39"/>
  <c r="E59" i="39"/>
  <c r="E58" i="39"/>
  <c r="E57" i="39"/>
  <c r="E56" i="39"/>
  <c r="E55" i="39"/>
  <c r="E54" i="39"/>
  <c r="E53" i="39"/>
  <c r="E52" i="39"/>
  <c r="E51" i="39"/>
  <c r="E50" i="39"/>
  <c r="E49" i="39"/>
  <c r="E48" i="39"/>
  <c r="E47" i="39"/>
  <c r="E46" i="39"/>
  <c r="E45" i="39"/>
  <c r="E44" i="39"/>
  <c r="E43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8" i="39"/>
  <c r="E7" i="39"/>
  <c r="E6" i="39"/>
  <c r="E5" i="39"/>
  <c r="E4" i="39"/>
  <c r="E3" i="39"/>
  <c r="T420" i="39"/>
  <c r="D420" i="39"/>
  <c r="P420" i="39" s="1"/>
  <c r="T419" i="39"/>
  <c r="D419" i="39"/>
  <c r="P419" i="39" s="1"/>
  <c r="T418" i="39"/>
  <c r="D418" i="39"/>
  <c r="P418" i="39" s="1"/>
  <c r="T417" i="39"/>
  <c r="D417" i="39"/>
  <c r="P417" i="39" s="1"/>
  <c r="T416" i="39"/>
  <c r="D416" i="39"/>
  <c r="P416" i="39" s="1"/>
  <c r="T415" i="39"/>
  <c r="D415" i="39"/>
  <c r="P415" i="39" s="1"/>
  <c r="T414" i="39"/>
  <c r="D414" i="39"/>
  <c r="P414" i="39" s="1"/>
  <c r="T413" i="39"/>
  <c r="D413" i="39"/>
  <c r="P413" i="39" s="1"/>
  <c r="T412" i="39"/>
  <c r="D412" i="39"/>
  <c r="P412" i="39" s="1"/>
  <c r="T411" i="39"/>
  <c r="D411" i="39"/>
  <c r="P411" i="39" s="1"/>
  <c r="T410" i="39"/>
  <c r="D410" i="39"/>
  <c r="P410" i="39" s="1"/>
  <c r="T409" i="39"/>
  <c r="D409" i="39"/>
  <c r="P409" i="39" s="1"/>
  <c r="T408" i="39"/>
  <c r="D408" i="39"/>
  <c r="P408" i="39" s="1"/>
  <c r="T407" i="39"/>
  <c r="D407" i="39"/>
  <c r="P407" i="39" s="1"/>
  <c r="T406" i="39"/>
  <c r="D406" i="39"/>
  <c r="P406" i="39" s="1"/>
  <c r="T405" i="39"/>
  <c r="D405" i="39"/>
  <c r="P405" i="39" s="1"/>
  <c r="T404" i="39"/>
  <c r="D404" i="39"/>
  <c r="P404" i="39" s="1"/>
  <c r="T403" i="39"/>
  <c r="D403" i="39"/>
  <c r="P403" i="39" s="1"/>
  <c r="T402" i="39"/>
  <c r="D402" i="39"/>
  <c r="P402" i="39" s="1"/>
  <c r="T440" i="39"/>
  <c r="D440" i="39"/>
  <c r="P440" i="39" s="1"/>
  <c r="T439" i="39"/>
  <c r="D439" i="39"/>
  <c r="P439" i="39" s="1"/>
  <c r="T438" i="39"/>
  <c r="D438" i="39"/>
  <c r="P438" i="39" s="1"/>
  <c r="T437" i="39"/>
  <c r="D437" i="39"/>
  <c r="P437" i="39" s="1"/>
  <c r="T436" i="39"/>
  <c r="D436" i="39"/>
  <c r="P436" i="39" s="1"/>
  <c r="T435" i="39"/>
  <c r="D435" i="39"/>
  <c r="P435" i="39" s="1"/>
  <c r="T434" i="39"/>
  <c r="D434" i="39"/>
  <c r="P434" i="39" s="1"/>
  <c r="T433" i="39"/>
  <c r="D433" i="39"/>
  <c r="P433" i="39" s="1"/>
  <c r="T432" i="39"/>
  <c r="D432" i="39"/>
  <c r="P432" i="39" s="1"/>
  <c r="T431" i="39"/>
  <c r="D431" i="39"/>
  <c r="P431" i="39" s="1"/>
  <c r="T430" i="39"/>
  <c r="D430" i="39"/>
  <c r="P430" i="39" s="1"/>
  <c r="T429" i="39"/>
  <c r="D429" i="39"/>
  <c r="P429" i="39" s="1"/>
  <c r="T428" i="39"/>
  <c r="D428" i="39"/>
  <c r="P428" i="39" s="1"/>
  <c r="T427" i="39"/>
  <c r="D427" i="39"/>
  <c r="P427" i="39" s="1"/>
  <c r="T426" i="39"/>
  <c r="D426" i="39"/>
  <c r="P426" i="39" s="1"/>
  <c r="T425" i="39"/>
  <c r="D425" i="39"/>
  <c r="P425" i="39" s="1"/>
  <c r="T424" i="39"/>
  <c r="D424" i="39"/>
  <c r="P424" i="39" s="1"/>
  <c r="T423" i="39"/>
  <c r="D423" i="39"/>
  <c r="P423" i="39" s="1"/>
  <c r="T422" i="39"/>
  <c r="D422" i="39"/>
  <c r="P422" i="39" s="1"/>
  <c r="T421" i="39"/>
  <c r="D421" i="39"/>
  <c r="P421" i="39" s="1"/>
  <c r="T460" i="39"/>
  <c r="D460" i="39"/>
  <c r="P460" i="39" s="1"/>
  <c r="T459" i="39"/>
  <c r="D459" i="39"/>
  <c r="P459" i="39" s="1"/>
  <c r="T458" i="39"/>
  <c r="D458" i="39"/>
  <c r="P458" i="39" s="1"/>
  <c r="T457" i="39"/>
  <c r="D457" i="39"/>
  <c r="P457" i="39" s="1"/>
  <c r="T456" i="39"/>
  <c r="D456" i="39"/>
  <c r="P456" i="39" s="1"/>
  <c r="T455" i="39"/>
  <c r="D455" i="39"/>
  <c r="P455" i="39" s="1"/>
  <c r="T454" i="39"/>
  <c r="D454" i="39"/>
  <c r="P454" i="39" s="1"/>
  <c r="T453" i="39"/>
  <c r="D453" i="39"/>
  <c r="P453" i="39" s="1"/>
  <c r="T452" i="39"/>
  <c r="D452" i="39"/>
  <c r="P452" i="39" s="1"/>
  <c r="T451" i="39"/>
  <c r="D451" i="39"/>
  <c r="P451" i="39" s="1"/>
  <c r="T450" i="39"/>
  <c r="D450" i="39"/>
  <c r="P450" i="39" s="1"/>
  <c r="T449" i="39"/>
  <c r="D449" i="39"/>
  <c r="P449" i="39" s="1"/>
  <c r="T448" i="39"/>
  <c r="D448" i="39"/>
  <c r="P448" i="39" s="1"/>
  <c r="T447" i="39"/>
  <c r="D447" i="39"/>
  <c r="P447" i="39" s="1"/>
  <c r="T446" i="39"/>
  <c r="D446" i="39"/>
  <c r="P446" i="39" s="1"/>
  <c r="T445" i="39"/>
  <c r="D445" i="39"/>
  <c r="P445" i="39" s="1"/>
  <c r="T444" i="39"/>
  <c r="D444" i="39"/>
  <c r="P444" i="39" s="1"/>
  <c r="T443" i="39"/>
  <c r="D443" i="39"/>
  <c r="P443" i="39" s="1"/>
  <c r="T442" i="39"/>
  <c r="D442" i="39"/>
  <c r="P442" i="39" s="1"/>
  <c r="T441" i="39"/>
  <c r="D441" i="39"/>
  <c r="P441" i="39" s="1"/>
  <c r="T480" i="39"/>
  <c r="D480" i="39"/>
  <c r="P480" i="39" s="1"/>
  <c r="T479" i="39"/>
  <c r="D479" i="39"/>
  <c r="P479" i="39" s="1"/>
  <c r="T478" i="39"/>
  <c r="D478" i="39"/>
  <c r="P478" i="39" s="1"/>
  <c r="T477" i="39"/>
  <c r="D477" i="39"/>
  <c r="P477" i="39" s="1"/>
  <c r="T476" i="39"/>
  <c r="D476" i="39"/>
  <c r="P476" i="39" s="1"/>
  <c r="T475" i="39"/>
  <c r="D475" i="39"/>
  <c r="P475" i="39" s="1"/>
  <c r="T474" i="39"/>
  <c r="D474" i="39"/>
  <c r="P474" i="39" s="1"/>
  <c r="T473" i="39"/>
  <c r="D473" i="39"/>
  <c r="P473" i="39" s="1"/>
  <c r="T472" i="39"/>
  <c r="D472" i="39"/>
  <c r="P472" i="39" s="1"/>
  <c r="T471" i="39"/>
  <c r="D471" i="39"/>
  <c r="P471" i="39" s="1"/>
  <c r="T470" i="39"/>
  <c r="D470" i="39"/>
  <c r="P470" i="39" s="1"/>
  <c r="T469" i="39"/>
  <c r="D469" i="39"/>
  <c r="P469" i="39" s="1"/>
  <c r="T468" i="39"/>
  <c r="D468" i="39"/>
  <c r="P468" i="39" s="1"/>
  <c r="T467" i="39"/>
  <c r="D467" i="39"/>
  <c r="P467" i="39" s="1"/>
  <c r="T466" i="39"/>
  <c r="D466" i="39"/>
  <c r="P466" i="39" s="1"/>
  <c r="T465" i="39"/>
  <c r="D465" i="39"/>
  <c r="P465" i="39" s="1"/>
  <c r="T464" i="39"/>
  <c r="D464" i="39"/>
  <c r="P464" i="39" s="1"/>
  <c r="T463" i="39"/>
  <c r="D463" i="39"/>
  <c r="P463" i="39" s="1"/>
  <c r="T462" i="39"/>
  <c r="D462" i="39"/>
  <c r="P462" i="39" s="1"/>
  <c r="T461" i="39"/>
  <c r="D461" i="39"/>
  <c r="P461" i="39" s="1"/>
  <c r="T500" i="39"/>
  <c r="D500" i="39"/>
  <c r="P500" i="39" s="1"/>
  <c r="T499" i="39"/>
  <c r="D499" i="39"/>
  <c r="P499" i="39" s="1"/>
  <c r="T498" i="39"/>
  <c r="D498" i="39"/>
  <c r="P498" i="39" s="1"/>
  <c r="T497" i="39"/>
  <c r="D497" i="39"/>
  <c r="P497" i="39" s="1"/>
  <c r="T496" i="39"/>
  <c r="D496" i="39"/>
  <c r="P496" i="39" s="1"/>
  <c r="T495" i="39"/>
  <c r="D495" i="39"/>
  <c r="P495" i="39" s="1"/>
  <c r="T494" i="39"/>
  <c r="D494" i="39"/>
  <c r="P494" i="39" s="1"/>
  <c r="T493" i="39"/>
  <c r="D493" i="39"/>
  <c r="P493" i="39" s="1"/>
  <c r="T492" i="39"/>
  <c r="D492" i="39"/>
  <c r="P492" i="39" s="1"/>
  <c r="T491" i="39"/>
  <c r="D491" i="39"/>
  <c r="P491" i="39" s="1"/>
  <c r="T490" i="39"/>
  <c r="D490" i="39"/>
  <c r="P490" i="39" s="1"/>
  <c r="T489" i="39"/>
  <c r="D489" i="39"/>
  <c r="P489" i="39" s="1"/>
  <c r="T488" i="39"/>
  <c r="D488" i="39"/>
  <c r="P488" i="39" s="1"/>
  <c r="T487" i="39"/>
  <c r="D487" i="39"/>
  <c r="P487" i="39" s="1"/>
  <c r="T486" i="39"/>
  <c r="D486" i="39"/>
  <c r="P486" i="39" s="1"/>
  <c r="T485" i="39"/>
  <c r="D485" i="39"/>
  <c r="P485" i="39" s="1"/>
  <c r="T484" i="39"/>
  <c r="D484" i="39"/>
  <c r="P484" i="39" s="1"/>
  <c r="T483" i="39"/>
  <c r="D483" i="39"/>
  <c r="P483" i="39" s="1"/>
  <c r="T482" i="39"/>
  <c r="D482" i="39"/>
  <c r="P482" i="39" s="1"/>
  <c r="T481" i="39"/>
  <c r="D481" i="39"/>
  <c r="P481" i="39" s="1"/>
  <c r="T520" i="39"/>
  <c r="D520" i="39"/>
  <c r="P520" i="39" s="1"/>
  <c r="T519" i="39"/>
  <c r="D519" i="39"/>
  <c r="P519" i="39" s="1"/>
  <c r="T518" i="39"/>
  <c r="D518" i="39"/>
  <c r="P518" i="39" s="1"/>
  <c r="T517" i="39"/>
  <c r="D517" i="39"/>
  <c r="P517" i="39" s="1"/>
  <c r="T516" i="39"/>
  <c r="D516" i="39"/>
  <c r="P516" i="39" s="1"/>
  <c r="T515" i="39"/>
  <c r="D515" i="39"/>
  <c r="P515" i="39" s="1"/>
  <c r="T514" i="39"/>
  <c r="D514" i="39"/>
  <c r="P514" i="39" s="1"/>
  <c r="T513" i="39"/>
  <c r="D513" i="39"/>
  <c r="P513" i="39" s="1"/>
  <c r="T512" i="39"/>
  <c r="D512" i="39"/>
  <c r="P512" i="39" s="1"/>
  <c r="T511" i="39"/>
  <c r="D511" i="39"/>
  <c r="P511" i="39" s="1"/>
  <c r="T510" i="39"/>
  <c r="D510" i="39"/>
  <c r="P510" i="39" s="1"/>
  <c r="T509" i="39"/>
  <c r="D509" i="39"/>
  <c r="P509" i="39" s="1"/>
  <c r="T508" i="39"/>
  <c r="D508" i="39"/>
  <c r="P508" i="39" s="1"/>
  <c r="T507" i="39"/>
  <c r="D507" i="39"/>
  <c r="P507" i="39" s="1"/>
  <c r="T506" i="39"/>
  <c r="D506" i="39"/>
  <c r="P506" i="39" s="1"/>
  <c r="T505" i="39"/>
  <c r="D505" i="39"/>
  <c r="P505" i="39" s="1"/>
  <c r="T504" i="39"/>
  <c r="D504" i="39"/>
  <c r="P504" i="39" s="1"/>
  <c r="T503" i="39"/>
  <c r="D503" i="39"/>
  <c r="P503" i="39" s="1"/>
  <c r="T502" i="39"/>
  <c r="D502" i="39"/>
  <c r="P502" i="39" s="1"/>
  <c r="T501" i="39"/>
  <c r="D501" i="39"/>
  <c r="P501" i="39" s="1"/>
  <c r="T540" i="39"/>
  <c r="D540" i="39"/>
  <c r="P540" i="39" s="1"/>
  <c r="T539" i="39"/>
  <c r="D539" i="39"/>
  <c r="P539" i="39" s="1"/>
  <c r="T538" i="39"/>
  <c r="D538" i="39"/>
  <c r="P538" i="39" s="1"/>
  <c r="T537" i="39"/>
  <c r="D537" i="39"/>
  <c r="P537" i="39" s="1"/>
  <c r="T536" i="39"/>
  <c r="D536" i="39"/>
  <c r="P536" i="39" s="1"/>
  <c r="T535" i="39"/>
  <c r="D535" i="39"/>
  <c r="P535" i="39" s="1"/>
  <c r="T534" i="39"/>
  <c r="D534" i="39"/>
  <c r="P534" i="39" s="1"/>
  <c r="T533" i="39"/>
  <c r="D533" i="39"/>
  <c r="P533" i="39" s="1"/>
  <c r="T532" i="39"/>
  <c r="D532" i="39"/>
  <c r="P532" i="39" s="1"/>
  <c r="T531" i="39"/>
  <c r="D531" i="39"/>
  <c r="P531" i="39" s="1"/>
  <c r="T530" i="39"/>
  <c r="D530" i="39"/>
  <c r="P530" i="39" s="1"/>
  <c r="T529" i="39"/>
  <c r="D529" i="39"/>
  <c r="P529" i="39" s="1"/>
  <c r="T528" i="39"/>
  <c r="D528" i="39"/>
  <c r="P528" i="39" s="1"/>
  <c r="T527" i="39"/>
  <c r="D527" i="39"/>
  <c r="P527" i="39" s="1"/>
  <c r="T526" i="39"/>
  <c r="D526" i="39"/>
  <c r="P526" i="39" s="1"/>
  <c r="T525" i="39"/>
  <c r="D525" i="39"/>
  <c r="P525" i="39" s="1"/>
  <c r="T524" i="39"/>
  <c r="D524" i="39"/>
  <c r="P524" i="39" s="1"/>
  <c r="T523" i="39"/>
  <c r="D523" i="39"/>
  <c r="P523" i="39" s="1"/>
  <c r="T522" i="39"/>
  <c r="D522" i="39"/>
  <c r="P522" i="39" s="1"/>
  <c r="T521" i="39"/>
  <c r="D521" i="39"/>
  <c r="P521" i="39" s="1"/>
  <c r="T560" i="39"/>
  <c r="D560" i="39"/>
  <c r="P560" i="39" s="1"/>
  <c r="T559" i="39"/>
  <c r="D559" i="39"/>
  <c r="P559" i="39" s="1"/>
  <c r="T558" i="39"/>
  <c r="D558" i="39"/>
  <c r="P558" i="39" s="1"/>
  <c r="T557" i="39"/>
  <c r="D557" i="39"/>
  <c r="P557" i="39" s="1"/>
  <c r="T556" i="39"/>
  <c r="D556" i="39"/>
  <c r="P556" i="39" s="1"/>
  <c r="T555" i="39"/>
  <c r="D555" i="39"/>
  <c r="P555" i="39" s="1"/>
  <c r="T554" i="39"/>
  <c r="D554" i="39"/>
  <c r="P554" i="39" s="1"/>
  <c r="T553" i="39"/>
  <c r="D553" i="39"/>
  <c r="P553" i="39" s="1"/>
  <c r="T552" i="39"/>
  <c r="D552" i="39"/>
  <c r="P552" i="39" s="1"/>
  <c r="T551" i="39"/>
  <c r="D551" i="39"/>
  <c r="P551" i="39" s="1"/>
  <c r="T550" i="39"/>
  <c r="D550" i="39"/>
  <c r="P550" i="39" s="1"/>
  <c r="T549" i="39"/>
  <c r="D549" i="39"/>
  <c r="P549" i="39" s="1"/>
  <c r="T548" i="39"/>
  <c r="D548" i="39"/>
  <c r="P548" i="39" s="1"/>
  <c r="T547" i="39"/>
  <c r="D547" i="39"/>
  <c r="P547" i="39" s="1"/>
  <c r="T546" i="39"/>
  <c r="D546" i="39"/>
  <c r="P546" i="39" s="1"/>
  <c r="T545" i="39"/>
  <c r="D545" i="39"/>
  <c r="P545" i="39" s="1"/>
  <c r="T544" i="39"/>
  <c r="D544" i="39"/>
  <c r="P544" i="39" s="1"/>
  <c r="T543" i="39"/>
  <c r="D543" i="39"/>
  <c r="P543" i="39" s="1"/>
  <c r="T542" i="39"/>
  <c r="D542" i="39"/>
  <c r="P542" i="39" s="1"/>
  <c r="T541" i="39"/>
  <c r="D541" i="39"/>
  <c r="P541" i="39" s="1"/>
  <c r="T580" i="39"/>
  <c r="D580" i="39"/>
  <c r="P580" i="39" s="1"/>
  <c r="T579" i="39"/>
  <c r="D579" i="39"/>
  <c r="P579" i="39" s="1"/>
  <c r="T578" i="39"/>
  <c r="D578" i="39"/>
  <c r="P578" i="39" s="1"/>
  <c r="T577" i="39"/>
  <c r="D577" i="39"/>
  <c r="P577" i="39" s="1"/>
  <c r="T576" i="39"/>
  <c r="D576" i="39"/>
  <c r="P576" i="39" s="1"/>
  <c r="T575" i="39"/>
  <c r="D575" i="39"/>
  <c r="P575" i="39" s="1"/>
  <c r="T574" i="39"/>
  <c r="D574" i="39"/>
  <c r="P574" i="39" s="1"/>
  <c r="T573" i="39"/>
  <c r="D573" i="39"/>
  <c r="P573" i="39" s="1"/>
  <c r="T572" i="39"/>
  <c r="D572" i="39"/>
  <c r="P572" i="39" s="1"/>
  <c r="T571" i="39"/>
  <c r="D571" i="39"/>
  <c r="P571" i="39" s="1"/>
  <c r="T570" i="39"/>
  <c r="D570" i="39"/>
  <c r="P570" i="39" s="1"/>
  <c r="T569" i="39"/>
  <c r="D569" i="39"/>
  <c r="P569" i="39" s="1"/>
  <c r="T568" i="39"/>
  <c r="D568" i="39"/>
  <c r="P568" i="39" s="1"/>
  <c r="T567" i="39"/>
  <c r="D567" i="39"/>
  <c r="P567" i="39" s="1"/>
  <c r="T566" i="39"/>
  <c r="D566" i="39"/>
  <c r="P566" i="39" s="1"/>
  <c r="T565" i="39"/>
  <c r="D565" i="39"/>
  <c r="P565" i="39" s="1"/>
  <c r="T564" i="39"/>
  <c r="D564" i="39"/>
  <c r="P564" i="39" s="1"/>
  <c r="T563" i="39"/>
  <c r="D563" i="39"/>
  <c r="P563" i="39" s="1"/>
  <c r="T562" i="39"/>
  <c r="D562" i="39"/>
  <c r="P562" i="39" s="1"/>
  <c r="T561" i="39"/>
  <c r="D561" i="39"/>
  <c r="P561" i="39" s="1"/>
  <c r="T600" i="39"/>
  <c r="D600" i="39"/>
  <c r="P600" i="39" s="1"/>
  <c r="T599" i="39"/>
  <c r="D599" i="39"/>
  <c r="P599" i="39" s="1"/>
  <c r="T598" i="39"/>
  <c r="D598" i="39"/>
  <c r="P598" i="39" s="1"/>
  <c r="T597" i="39"/>
  <c r="D597" i="39"/>
  <c r="P597" i="39" s="1"/>
  <c r="T596" i="39"/>
  <c r="D596" i="39"/>
  <c r="P596" i="39" s="1"/>
  <c r="T595" i="39"/>
  <c r="D595" i="39"/>
  <c r="P595" i="39" s="1"/>
  <c r="T594" i="39"/>
  <c r="D594" i="39"/>
  <c r="P594" i="39" s="1"/>
  <c r="T593" i="39"/>
  <c r="D593" i="39"/>
  <c r="P593" i="39" s="1"/>
  <c r="T592" i="39"/>
  <c r="D592" i="39"/>
  <c r="P592" i="39" s="1"/>
  <c r="T591" i="39"/>
  <c r="D591" i="39"/>
  <c r="P591" i="39" s="1"/>
  <c r="T590" i="39"/>
  <c r="D590" i="39"/>
  <c r="P590" i="39" s="1"/>
  <c r="T589" i="39"/>
  <c r="D589" i="39"/>
  <c r="P589" i="39" s="1"/>
  <c r="T588" i="39"/>
  <c r="D588" i="39"/>
  <c r="P588" i="39" s="1"/>
  <c r="T587" i="39"/>
  <c r="D587" i="39"/>
  <c r="P587" i="39" s="1"/>
  <c r="T586" i="39"/>
  <c r="D586" i="39"/>
  <c r="P586" i="39" s="1"/>
  <c r="T585" i="39"/>
  <c r="D585" i="39"/>
  <c r="P585" i="39" s="1"/>
  <c r="T584" i="39"/>
  <c r="D584" i="39"/>
  <c r="P584" i="39" s="1"/>
  <c r="T583" i="39"/>
  <c r="D583" i="39"/>
  <c r="P583" i="39" s="1"/>
  <c r="T582" i="39"/>
  <c r="D582" i="39"/>
  <c r="P582" i="39" s="1"/>
  <c r="T581" i="39"/>
  <c r="D581" i="39"/>
  <c r="P581" i="39" s="1"/>
  <c r="T620" i="39"/>
  <c r="D620" i="39"/>
  <c r="P620" i="39" s="1"/>
  <c r="T619" i="39"/>
  <c r="D619" i="39"/>
  <c r="P619" i="39" s="1"/>
  <c r="T618" i="39"/>
  <c r="D618" i="39"/>
  <c r="P618" i="39" s="1"/>
  <c r="T617" i="39"/>
  <c r="D617" i="39"/>
  <c r="P617" i="39" s="1"/>
  <c r="T616" i="39"/>
  <c r="D616" i="39"/>
  <c r="P616" i="39" s="1"/>
  <c r="T615" i="39"/>
  <c r="D615" i="39"/>
  <c r="P615" i="39" s="1"/>
  <c r="T614" i="39"/>
  <c r="D614" i="39"/>
  <c r="P614" i="39" s="1"/>
  <c r="T613" i="39"/>
  <c r="D613" i="39"/>
  <c r="P613" i="39" s="1"/>
  <c r="T612" i="39"/>
  <c r="D612" i="39"/>
  <c r="P612" i="39" s="1"/>
  <c r="T611" i="39"/>
  <c r="D611" i="39"/>
  <c r="P611" i="39" s="1"/>
  <c r="T610" i="39"/>
  <c r="D610" i="39"/>
  <c r="P610" i="39" s="1"/>
  <c r="T609" i="39"/>
  <c r="D609" i="39"/>
  <c r="P609" i="39" s="1"/>
  <c r="T608" i="39"/>
  <c r="D608" i="39"/>
  <c r="P608" i="39" s="1"/>
  <c r="T607" i="39"/>
  <c r="D607" i="39"/>
  <c r="P607" i="39" s="1"/>
  <c r="T606" i="39"/>
  <c r="D606" i="39"/>
  <c r="P606" i="39" s="1"/>
  <c r="T605" i="39"/>
  <c r="D605" i="39"/>
  <c r="P605" i="39" s="1"/>
  <c r="T604" i="39"/>
  <c r="D604" i="39"/>
  <c r="P604" i="39" s="1"/>
  <c r="T603" i="39"/>
  <c r="D603" i="39"/>
  <c r="P603" i="39" s="1"/>
  <c r="T602" i="39"/>
  <c r="D602" i="39"/>
  <c r="P602" i="39" s="1"/>
  <c r="T601" i="39"/>
  <c r="D601" i="39"/>
  <c r="P601" i="39" s="1"/>
  <c r="T640" i="39"/>
  <c r="D640" i="39"/>
  <c r="P640" i="39" s="1"/>
  <c r="T639" i="39"/>
  <c r="D639" i="39"/>
  <c r="P639" i="39" s="1"/>
  <c r="T638" i="39"/>
  <c r="D638" i="39"/>
  <c r="P638" i="39" s="1"/>
  <c r="T637" i="39"/>
  <c r="D637" i="39"/>
  <c r="P637" i="39" s="1"/>
  <c r="T636" i="39"/>
  <c r="D636" i="39"/>
  <c r="P636" i="39" s="1"/>
  <c r="T635" i="39"/>
  <c r="D635" i="39"/>
  <c r="P635" i="39" s="1"/>
  <c r="T634" i="39"/>
  <c r="D634" i="39"/>
  <c r="P634" i="39" s="1"/>
  <c r="T633" i="39"/>
  <c r="D633" i="39"/>
  <c r="P633" i="39" s="1"/>
  <c r="T632" i="39"/>
  <c r="D632" i="39"/>
  <c r="P632" i="39" s="1"/>
  <c r="T631" i="39"/>
  <c r="D631" i="39"/>
  <c r="P631" i="39" s="1"/>
  <c r="T630" i="39"/>
  <c r="D630" i="39"/>
  <c r="P630" i="39" s="1"/>
  <c r="T629" i="39"/>
  <c r="D629" i="39"/>
  <c r="P629" i="39" s="1"/>
  <c r="T628" i="39"/>
  <c r="D628" i="39"/>
  <c r="P628" i="39" s="1"/>
  <c r="T627" i="39"/>
  <c r="D627" i="39"/>
  <c r="P627" i="39" s="1"/>
  <c r="T626" i="39"/>
  <c r="D626" i="39"/>
  <c r="P626" i="39" s="1"/>
  <c r="T625" i="39"/>
  <c r="D625" i="39"/>
  <c r="P625" i="39" s="1"/>
  <c r="T624" i="39"/>
  <c r="D624" i="39"/>
  <c r="P624" i="39" s="1"/>
  <c r="T623" i="39"/>
  <c r="D623" i="39"/>
  <c r="P623" i="39" s="1"/>
  <c r="T622" i="39"/>
  <c r="D622" i="39"/>
  <c r="P622" i="39" s="1"/>
  <c r="T621" i="39"/>
  <c r="D621" i="39"/>
  <c r="P621" i="39" s="1"/>
  <c r="T647" i="39"/>
  <c r="D647" i="39"/>
  <c r="P647" i="39" s="1"/>
  <c r="T646" i="39"/>
  <c r="D646" i="39"/>
  <c r="P646" i="39" s="1"/>
  <c r="T645" i="39"/>
  <c r="D645" i="39"/>
  <c r="P645" i="39" s="1"/>
  <c r="T644" i="39"/>
  <c r="D644" i="39"/>
  <c r="P644" i="39" s="1"/>
  <c r="T643" i="39"/>
  <c r="D643" i="39"/>
  <c r="P643" i="39" s="1"/>
  <c r="T642" i="39"/>
  <c r="D642" i="39"/>
  <c r="P642" i="39" s="1"/>
  <c r="T641" i="39"/>
  <c r="D641" i="39"/>
  <c r="P641" i="39" s="1"/>
  <c r="T654" i="39"/>
  <c r="D654" i="39"/>
  <c r="P654" i="39" s="1"/>
  <c r="T653" i="39"/>
  <c r="D653" i="39"/>
  <c r="P653" i="39" s="1"/>
  <c r="T652" i="39"/>
  <c r="D652" i="39"/>
  <c r="P652" i="39" s="1"/>
  <c r="T651" i="39"/>
  <c r="D651" i="39"/>
  <c r="P651" i="39" s="1"/>
  <c r="T650" i="39"/>
  <c r="D650" i="39"/>
  <c r="P650" i="39" s="1"/>
  <c r="T649" i="39"/>
  <c r="D649" i="39"/>
  <c r="P649" i="39" s="1"/>
  <c r="T648" i="39"/>
  <c r="D648" i="39"/>
  <c r="P648" i="39" s="1"/>
  <c r="T257" i="39"/>
  <c r="D257" i="39"/>
  <c r="T256" i="39"/>
  <c r="D256" i="39"/>
  <c r="Q256" i="39" s="1"/>
  <c r="T255" i="39"/>
  <c r="D255" i="39"/>
  <c r="Q255" i="39" s="1"/>
  <c r="T254" i="39"/>
  <c r="D254" i="39"/>
  <c r="O254" i="39" s="1"/>
  <c r="T253" i="39"/>
  <c r="D253" i="39"/>
  <c r="T252" i="39"/>
  <c r="D252" i="39"/>
  <c r="Q252" i="39" s="1"/>
  <c r="T251" i="39"/>
  <c r="D251" i="39"/>
  <c r="Q251" i="39" s="1"/>
  <c r="T250" i="39"/>
  <c r="D250" i="39"/>
  <c r="O250" i="39" s="1"/>
  <c r="T249" i="39"/>
  <c r="D249" i="39"/>
  <c r="T248" i="39"/>
  <c r="D248" i="39"/>
  <c r="Q248" i="39" s="1"/>
  <c r="T247" i="39"/>
  <c r="D247" i="39"/>
  <c r="Q247" i="39" s="1"/>
  <c r="T246" i="39"/>
  <c r="D246" i="39"/>
  <c r="O246" i="39" s="1"/>
  <c r="T245" i="39"/>
  <c r="D245" i="39"/>
  <c r="T244" i="39"/>
  <c r="D244" i="39"/>
  <c r="Q244" i="39" s="1"/>
  <c r="T243" i="39"/>
  <c r="D243" i="39"/>
  <c r="Q243" i="39" s="1"/>
  <c r="T242" i="39"/>
  <c r="D242" i="39"/>
  <c r="O242" i="39" s="1"/>
  <c r="T285" i="39"/>
  <c r="D285" i="39"/>
  <c r="O285" i="39" s="1"/>
  <c r="T284" i="39"/>
  <c r="D284" i="39"/>
  <c r="Q284" i="39" s="1"/>
  <c r="T283" i="39"/>
  <c r="D283" i="39"/>
  <c r="Q283" i="39" s="1"/>
  <c r="T282" i="39"/>
  <c r="D282" i="39"/>
  <c r="O282" i="39" s="1"/>
  <c r="T281" i="39"/>
  <c r="D281" i="39"/>
  <c r="O281" i="39" s="1"/>
  <c r="T280" i="39"/>
  <c r="D280" i="39"/>
  <c r="Q280" i="39" s="1"/>
  <c r="T279" i="39"/>
  <c r="D279" i="39"/>
  <c r="Q279" i="39" s="1"/>
  <c r="T278" i="39"/>
  <c r="D278" i="39"/>
  <c r="O278" i="39" s="1"/>
  <c r="T277" i="39"/>
  <c r="D277" i="39"/>
  <c r="O277" i="39" s="1"/>
  <c r="T276" i="39"/>
  <c r="D276" i="39"/>
  <c r="Q276" i="39" s="1"/>
  <c r="T275" i="39"/>
  <c r="D275" i="39"/>
  <c r="Q275" i="39" s="1"/>
  <c r="T274" i="39"/>
  <c r="D274" i="39"/>
  <c r="O274" i="39" s="1"/>
  <c r="T273" i="39"/>
  <c r="D273" i="39"/>
  <c r="O273" i="39" s="1"/>
  <c r="T272" i="39"/>
  <c r="D272" i="39"/>
  <c r="Q272" i="39" s="1"/>
  <c r="T271" i="39"/>
  <c r="D271" i="39"/>
  <c r="Q271" i="39" s="1"/>
  <c r="T270" i="39"/>
  <c r="D270" i="39"/>
  <c r="Q270" i="39" s="1"/>
  <c r="T269" i="39"/>
  <c r="D269" i="39"/>
  <c r="O269" i="39" s="1"/>
  <c r="T268" i="39"/>
  <c r="D268" i="39"/>
  <c r="Q268" i="39" s="1"/>
  <c r="T267" i="39"/>
  <c r="D267" i="39"/>
  <c r="Q267" i="39" s="1"/>
  <c r="T266" i="39"/>
  <c r="D266" i="39"/>
  <c r="Q266" i="39" s="1"/>
  <c r="T265" i="39"/>
  <c r="D265" i="39"/>
  <c r="Q265" i="39" s="1"/>
  <c r="T264" i="39"/>
  <c r="D264" i="39"/>
  <c r="Q264" i="39" s="1"/>
  <c r="T263" i="39"/>
  <c r="D263" i="39"/>
  <c r="Q263" i="39" s="1"/>
  <c r="T262" i="39"/>
  <c r="D262" i="39"/>
  <c r="Q262" i="39" s="1"/>
  <c r="T261" i="39"/>
  <c r="D261" i="39"/>
  <c r="P261" i="39" s="1"/>
  <c r="T260" i="39"/>
  <c r="D260" i="39"/>
  <c r="Q260" i="39" s="1"/>
  <c r="T259" i="39"/>
  <c r="D259" i="39"/>
  <c r="R259" i="39" s="1"/>
  <c r="T258" i="39"/>
  <c r="D258" i="39"/>
  <c r="P258" i="39" s="1"/>
  <c r="T241" i="39"/>
  <c r="D241" i="39"/>
  <c r="P241" i="39" s="1"/>
  <c r="T240" i="39"/>
  <c r="D240" i="39"/>
  <c r="P240" i="39" s="1"/>
  <c r="T315" i="39"/>
  <c r="D315" i="39"/>
  <c r="Q315" i="39" s="1"/>
  <c r="T314" i="39"/>
  <c r="D314" i="39"/>
  <c r="T313" i="39"/>
  <c r="D313" i="39"/>
  <c r="Q313" i="39" s="1"/>
  <c r="T312" i="39"/>
  <c r="D312" i="39"/>
  <c r="T311" i="39"/>
  <c r="D311" i="39"/>
  <c r="T310" i="39"/>
  <c r="D310" i="39"/>
  <c r="T309" i="39"/>
  <c r="D309" i="39"/>
  <c r="T308" i="39"/>
  <c r="D308" i="39"/>
  <c r="T307" i="39"/>
  <c r="D307" i="39"/>
  <c r="Q307" i="39" s="1"/>
  <c r="T306" i="39"/>
  <c r="D306" i="39"/>
  <c r="T305" i="39"/>
  <c r="D305" i="39"/>
  <c r="T304" i="39"/>
  <c r="D304" i="39"/>
  <c r="T303" i="39"/>
  <c r="D303" i="39"/>
  <c r="T302" i="39"/>
  <c r="D302" i="39"/>
  <c r="T301" i="39"/>
  <c r="D301" i="39"/>
  <c r="T300" i="39"/>
  <c r="D300" i="39"/>
  <c r="T299" i="39"/>
  <c r="D299" i="39"/>
  <c r="T298" i="39"/>
  <c r="D298" i="39"/>
  <c r="T297" i="39"/>
  <c r="D297" i="39"/>
  <c r="Q297" i="39" s="1"/>
  <c r="T296" i="39"/>
  <c r="D296" i="39"/>
  <c r="T295" i="39"/>
  <c r="D295" i="39"/>
  <c r="R295" i="39" s="1"/>
  <c r="T294" i="39"/>
  <c r="D294" i="39"/>
  <c r="T293" i="39"/>
  <c r="D293" i="39"/>
  <c r="R293" i="39" s="1"/>
  <c r="T292" i="39"/>
  <c r="D292" i="39"/>
  <c r="Q292" i="39" s="1"/>
  <c r="T291" i="39"/>
  <c r="D291" i="39"/>
  <c r="R291" i="39" s="1"/>
  <c r="T290" i="39"/>
  <c r="D290" i="39"/>
  <c r="Q290" i="39" s="1"/>
  <c r="T289" i="39"/>
  <c r="D289" i="39"/>
  <c r="R289" i="39" s="1"/>
  <c r="T288" i="39"/>
  <c r="D288" i="39"/>
  <c r="T287" i="39"/>
  <c r="D287" i="39"/>
  <c r="R287" i="39" s="1"/>
  <c r="T286" i="39"/>
  <c r="D286" i="39"/>
  <c r="Q286" i="39" s="1"/>
  <c r="T345" i="39"/>
  <c r="D345" i="39"/>
  <c r="P345" i="39" s="1"/>
  <c r="T344" i="39"/>
  <c r="D344" i="39"/>
  <c r="P344" i="39" s="1"/>
  <c r="T343" i="39"/>
  <c r="D343" i="39"/>
  <c r="P343" i="39" s="1"/>
  <c r="T342" i="39"/>
  <c r="D342" i="39"/>
  <c r="P342" i="39" s="1"/>
  <c r="T341" i="39"/>
  <c r="D341" i="39"/>
  <c r="P341" i="39" s="1"/>
  <c r="T340" i="39"/>
  <c r="D340" i="39"/>
  <c r="P340" i="39" s="1"/>
  <c r="T339" i="39"/>
  <c r="D339" i="39"/>
  <c r="P339" i="39" s="1"/>
  <c r="T338" i="39"/>
  <c r="D338" i="39"/>
  <c r="P338" i="39" s="1"/>
  <c r="T337" i="39"/>
  <c r="D337" i="39"/>
  <c r="P337" i="39" s="1"/>
  <c r="T336" i="39"/>
  <c r="D336" i="39"/>
  <c r="P336" i="39" s="1"/>
  <c r="T335" i="39"/>
  <c r="D335" i="39"/>
  <c r="P335" i="39" s="1"/>
  <c r="T334" i="39"/>
  <c r="D334" i="39"/>
  <c r="P334" i="39" s="1"/>
  <c r="T333" i="39"/>
  <c r="D333" i="39"/>
  <c r="P333" i="39" s="1"/>
  <c r="T332" i="39"/>
  <c r="D332" i="39"/>
  <c r="P332" i="39" s="1"/>
  <c r="T331" i="39"/>
  <c r="D331" i="39"/>
  <c r="P331" i="39" s="1"/>
  <c r="T330" i="39"/>
  <c r="D330" i="39"/>
  <c r="P330" i="39" s="1"/>
  <c r="T329" i="39"/>
  <c r="D329" i="39"/>
  <c r="P329" i="39" s="1"/>
  <c r="T328" i="39"/>
  <c r="D328" i="39"/>
  <c r="P328" i="39" s="1"/>
  <c r="T327" i="39"/>
  <c r="D327" i="39"/>
  <c r="P327" i="39" s="1"/>
  <c r="T326" i="39"/>
  <c r="D326" i="39"/>
  <c r="T325" i="39"/>
  <c r="D325" i="39"/>
  <c r="T324" i="39"/>
  <c r="D324" i="39"/>
  <c r="T323" i="39"/>
  <c r="D323" i="39"/>
  <c r="T322" i="39"/>
  <c r="D322" i="39"/>
  <c r="T321" i="39"/>
  <c r="D321" i="39"/>
  <c r="T320" i="39"/>
  <c r="D320" i="39"/>
  <c r="T319" i="39"/>
  <c r="D319" i="39"/>
  <c r="T318" i="39"/>
  <c r="D318" i="39"/>
  <c r="T317" i="39"/>
  <c r="D317" i="39"/>
  <c r="T316" i="39"/>
  <c r="D316" i="39"/>
  <c r="T375" i="39"/>
  <c r="D375" i="39"/>
  <c r="P375" i="39" s="1"/>
  <c r="T374" i="39"/>
  <c r="D374" i="39"/>
  <c r="P374" i="39" s="1"/>
  <c r="T373" i="39"/>
  <c r="D373" i="39"/>
  <c r="P373" i="39" s="1"/>
  <c r="T372" i="39"/>
  <c r="D372" i="39"/>
  <c r="P372" i="39" s="1"/>
  <c r="T371" i="39"/>
  <c r="D371" i="39"/>
  <c r="P371" i="39" s="1"/>
  <c r="T370" i="39"/>
  <c r="D370" i="39"/>
  <c r="P370" i="39" s="1"/>
  <c r="T369" i="39"/>
  <c r="D369" i="39"/>
  <c r="P369" i="39" s="1"/>
  <c r="T368" i="39"/>
  <c r="D368" i="39"/>
  <c r="P368" i="39" s="1"/>
  <c r="T367" i="39"/>
  <c r="D367" i="39"/>
  <c r="P367" i="39" s="1"/>
  <c r="T366" i="39"/>
  <c r="D366" i="39"/>
  <c r="P366" i="39" s="1"/>
  <c r="T365" i="39"/>
  <c r="D365" i="39"/>
  <c r="P365" i="39" s="1"/>
  <c r="T364" i="39"/>
  <c r="D364" i="39"/>
  <c r="T363" i="39"/>
  <c r="D363" i="39"/>
  <c r="T362" i="39"/>
  <c r="D362" i="39"/>
  <c r="T361" i="39"/>
  <c r="D361" i="39"/>
  <c r="T360" i="39"/>
  <c r="D360" i="39"/>
  <c r="T359" i="39"/>
  <c r="D359" i="39"/>
  <c r="T358" i="39"/>
  <c r="D358" i="39"/>
  <c r="T357" i="39"/>
  <c r="D357" i="39"/>
  <c r="T356" i="39"/>
  <c r="D356" i="39"/>
  <c r="T355" i="39"/>
  <c r="D355" i="39"/>
  <c r="T354" i="39"/>
  <c r="D354" i="39"/>
  <c r="T353" i="39"/>
  <c r="D353" i="39"/>
  <c r="T352" i="39"/>
  <c r="D352" i="39"/>
  <c r="T351" i="39"/>
  <c r="D351" i="39"/>
  <c r="O351" i="39" s="1"/>
  <c r="T350" i="39"/>
  <c r="D350" i="39"/>
  <c r="T349" i="39"/>
  <c r="D349" i="39"/>
  <c r="T348" i="39"/>
  <c r="D348" i="39"/>
  <c r="T347" i="39"/>
  <c r="D347" i="39"/>
  <c r="O347" i="39" s="1"/>
  <c r="T346" i="39"/>
  <c r="D346" i="39"/>
  <c r="O346" i="39" s="1"/>
  <c r="T390" i="39"/>
  <c r="D390" i="39"/>
  <c r="P390" i="39" s="1"/>
  <c r="T389" i="39"/>
  <c r="D389" i="39"/>
  <c r="P389" i="39" s="1"/>
  <c r="T388" i="39"/>
  <c r="D388" i="39"/>
  <c r="P388" i="39" s="1"/>
  <c r="T387" i="39"/>
  <c r="D387" i="39"/>
  <c r="P387" i="39" s="1"/>
  <c r="T386" i="39"/>
  <c r="D386" i="39"/>
  <c r="P386" i="39" s="1"/>
  <c r="T385" i="39"/>
  <c r="D385" i="39"/>
  <c r="P385" i="39" s="1"/>
  <c r="T384" i="39"/>
  <c r="D384" i="39"/>
  <c r="P384" i="39" s="1"/>
  <c r="T383" i="39"/>
  <c r="D383" i="39"/>
  <c r="P383" i="39" s="1"/>
  <c r="T382" i="39"/>
  <c r="D382" i="39"/>
  <c r="P382" i="39" s="1"/>
  <c r="T381" i="39"/>
  <c r="D381" i="39"/>
  <c r="P381" i="39" s="1"/>
  <c r="T380" i="39"/>
  <c r="D380" i="39"/>
  <c r="P380" i="39" s="1"/>
  <c r="T379" i="39"/>
  <c r="D379" i="39"/>
  <c r="P379" i="39" s="1"/>
  <c r="T378" i="39"/>
  <c r="D378" i="39"/>
  <c r="P378" i="39" s="1"/>
  <c r="T377" i="39"/>
  <c r="D377" i="39"/>
  <c r="P377" i="39" s="1"/>
  <c r="T376" i="39"/>
  <c r="D376" i="39"/>
  <c r="P376" i="39" s="1"/>
  <c r="T399" i="39"/>
  <c r="D399" i="39"/>
  <c r="P399" i="39" s="1"/>
  <c r="T398" i="39"/>
  <c r="D398" i="39"/>
  <c r="P398" i="39" s="1"/>
  <c r="T397" i="39"/>
  <c r="D397" i="39"/>
  <c r="P397" i="39" s="1"/>
  <c r="T396" i="39"/>
  <c r="D396" i="39"/>
  <c r="P396" i="39" s="1"/>
  <c r="T395" i="39"/>
  <c r="D395" i="39"/>
  <c r="P395" i="39" s="1"/>
  <c r="T394" i="39"/>
  <c r="D394" i="39"/>
  <c r="P394" i="39" s="1"/>
  <c r="T393" i="39"/>
  <c r="D393" i="39"/>
  <c r="P393" i="39" s="1"/>
  <c r="T392" i="39"/>
  <c r="D392" i="39"/>
  <c r="P392" i="39" s="1"/>
  <c r="T391" i="39"/>
  <c r="D391" i="39"/>
  <c r="P391" i="39" s="1"/>
  <c r="T169" i="39"/>
  <c r="D169" i="39"/>
  <c r="P169" i="39" s="1"/>
  <c r="T168" i="39"/>
  <c r="D168" i="39"/>
  <c r="P168" i="39" s="1"/>
  <c r="T167" i="39"/>
  <c r="D167" i="39"/>
  <c r="P167" i="39" s="1"/>
  <c r="T166" i="39"/>
  <c r="D166" i="39"/>
  <c r="P166" i="39" s="1"/>
  <c r="T165" i="39"/>
  <c r="D165" i="39"/>
  <c r="P165" i="39" s="1"/>
  <c r="T164" i="39"/>
  <c r="D164" i="39"/>
  <c r="P164" i="39" s="1"/>
  <c r="T163" i="39"/>
  <c r="D163" i="39"/>
  <c r="P163" i="39" s="1"/>
  <c r="T162" i="39"/>
  <c r="D162" i="39"/>
  <c r="P162" i="39" s="1"/>
  <c r="T161" i="39"/>
  <c r="D161" i="39"/>
  <c r="P161" i="39" s="1"/>
  <c r="T160" i="39"/>
  <c r="D160" i="39"/>
  <c r="P160" i="39" s="1"/>
  <c r="T159" i="39"/>
  <c r="D159" i="39"/>
  <c r="P159" i="39" s="1"/>
  <c r="T158" i="39"/>
  <c r="D158" i="39"/>
  <c r="P158" i="39" s="1"/>
  <c r="T157" i="39"/>
  <c r="D157" i="39"/>
  <c r="P157" i="39" s="1"/>
  <c r="T156" i="39"/>
  <c r="D156" i="39"/>
  <c r="P156" i="39" s="1"/>
  <c r="T155" i="39"/>
  <c r="D155" i="39"/>
  <c r="P155" i="39" s="1"/>
  <c r="T184" i="39"/>
  <c r="D184" i="39"/>
  <c r="P184" i="39" s="1"/>
  <c r="T183" i="39"/>
  <c r="D183" i="39"/>
  <c r="P183" i="39" s="1"/>
  <c r="T182" i="39"/>
  <c r="D182" i="39"/>
  <c r="P182" i="39" s="1"/>
  <c r="T181" i="39"/>
  <c r="D181" i="39"/>
  <c r="P181" i="39" s="1"/>
  <c r="T180" i="39"/>
  <c r="D180" i="39"/>
  <c r="P180" i="39" s="1"/>
  <c r="T179" i="39"/>
  <c r="D179" i="39"/>
  <c r="P179" i="39" s="1"/>
  <c r="T178" i="39"/>
  <c r="D178" i="39"/>
  <c r="P178" i="39" s="1"/>
  <c r="T177" i="39"/>
  <c r="D177" i="39"/>
  <c r="P177" i="39" s="1"/>
  <c r="T176" i="39"/>
  <c r="D176" i="39"/>
  <c r="P176" i="39" s="1"/>
  <c r="T175" i="39"/>
  <c r="D175" i="39"/>
  <c r="P175" i="39" s="1"/>
  <c r="T174" i="39"/>
  <c r="D174" i="39"/>
  <c r="P174" i="39" s="1"/>
  <c r="T173" i="39"/>
  <c r="D173" i="39"/>
  <c r="P173" i="39" s="1"/>
  <c r="T172" i="39"/>
  <c r="D172" i="39"/>
  <c r="P172" i="39" s="1"/>
  <c r="T171" i="39"/>
  <c r="D171" i="39"/>
  <c r="P171" i="39" s="1"/>
  <c r="T170" i="39"/>
  <c r="D170" i="39"/>
  <c r="P170" i="39" s="1"/>
  <c r="T199" i="39"/>
  <c r="D199" i="39"/>
  <c r="P199" i="39" s="1"/>
  <c r="T198" i="39"/>
  <c r="D198" i="39"/>
  <c r="P198" i="39" s="1"/>
  <c r="T197" i="39"/>
  <c r="D197" i="39"/>
  <c r="P197" i="39" s="1"/>
  <c r="T196" i="39"/>
  <c r="D196" i="39"/>
  <c r="P196" i="39" s="1"/>
  <c r="T195" i="39"/>
  <c r="D195" i="39"/>
  <c r="P195" i="39" s="1"/>
  <c r="T194" i="39"/>
  <c r="D194" i="39"/>
  <c r="P194" i="39" s="1"/>
  <c r="T193" i="39"/>
  <c r="D193" i="39"/>
  <c r="P193" i="39" s="1"/>
  <c r="T192" i="39"/>
  <c r="D192" i="39"/>
  <c r="P192" i="39" s="1"/>
  <c r="T191" i="39"/>
  <c r="D191" i="39"/>
  <c r="P191" i="39" s="1"/>
  <c r="T190" i="39"/>
  <c r="D190" i="39"/>
  <c r="P190" i="39" s="1"/>
  <c r="T189" i="39"/>
  <c r="D189" i="39"/>
  <c r="P189" i="39" s="1"/>
  <c r="T188" i="39"/>
  <c r="D188" i="39"/>
  <c r="P188" i="39" s="1"/>
  <c r="T187" i="39"/>
  <c r="D187" i="39"/>
  <c r="P187" i="39" s="1"/>
  <c r="T186" i="39"/>
  <c r="D186" i="39"/>
  <c r="P186" i="39" s="1"/>
  <c r="T185" i="39"/>
  <c r="D185" i="39"/>
  <c r="P185" i="39" s="1"/>
  <c r="T214" i="39"/>
  <c r="D214" i="39"/>
  <c r="P214" i="39" s="1"/>
  <c r="T213" i="39"/>
  <c r="D213" i="39"/>
  <c r="P213" i="39" s="1"/>
  <c r="T212" i="39"/>
  <c r="D212" i="39"/>
  <c r="P212" i="39" s="1"/>
  <c r="T211" i="39"/>
  <c r="D211" i="39"/>
  <c r="P211" i="39" s="1"/>
  <c r="T210" i="39"/>
  <c r="D210" i="39"/>
  <c r="P210" i="39" s="1"/>
  <c r="T209" i="39"/>
  <c r="D209" i="39"/>
  <c r="P209" i="39" s="1"/>
  <c r="T208" i="39"/>
  <c r="D208" i="39"/>
  <c r="P208" i="39" s="1"/>
  <c r="T207" i="39"/>
  <c r="D207" i="39"/>
  <c r="P207" i="39" s="1"/>
  <c r="T206" i="39"/>
  <c r="D206" i="39"/>
  <c r="P206" i="39" s="1"/>
  <c r="T205" i="39"/>
  <c r="D205" i="39"/>
  <c r="P205" i="39" s="1"/>
  <c r="T204" i="39"/>
  <c r="D204" i="39"/>
  <c r="P204" i="39" s="1"/>
  <c r="T203" i="39"/>
  <c r="D203" i="39"/>
  <c r="P203" i="39" s="1"/>
  <c r="T202" i="39"/>
  <c r="D202" i="39"/>
  <c r="P202" i="39" s="1"/>
  <c r="T201" i="39"/>
  <c r="D201" i="39"/>
  <c r="P201" i="39" s="1"/>
  <c r="T200" i="39"/>
  <c r="D200" i="39"/>
  <c r="P200" i="39" s="1"/>
  <c r="T229" i="39"/>
  <c r="D229" i="39"/>
  <c r="P229" i="39" s="1"/>
  <c r="T228" i="39"/>
  <c r="D228" i="39"/>
  <c r="P228" i="39" s="1"/>
  <c r="T227" i="39"/>
  <c r="D227" i="39"/>
  <c r="P227" i="39" s="1"/>
  <c r="T226" i="39"/>
  <c r="D226" i="39"/>
  <c r="P226" i="39" s="1"/>
  <c r="T225" i="39"/>
  <c r="D225" i="39"/>
  <c r="P225" i="39" s="1"/>
  <c r="T224" i="39"/>
  <c r="D224" i="39"/>
  <c r="P224" i="39" s="1"/>
  <c r="T223" i="39"/>
  <c r="D223" i="39"/>
  <c r="P223" i="39" s="1"/>
  <c r="T222" i="39"/>
  <c r="D222" i="39"/>
  <c r="P222" i="39" s="1"/>
  <c r="T221" i="39"/>
  <c r="D221" i="39"/>
  <c r="P221" i="39" s="1"/>
  <c r="T220" i="39"/>
  <c r="D220" i="39"/>
  <c r="P220" i="39" s="1"/>
  <c r="T219" i="39"/>
  <c r="D219" i="39"/>
  <c r="P219" i="39" s="1"/>
  <c r="T218" i="39"/>
  <c r="D218" i="39"/>
  <c r="P218" i="39" s="1"/>
  <c r="T217" i="39"/>
  <c r="D217" i="39"/>
  <c r="P217" i="39" s="1"/>
  <c r="T216" i="39"/>
  <c r="D216" i="39"/>
  <c r="P216" i="39" s="1"/>
  <c r="T215" i="39"/>
  <c r="D215" i="39"/>
  <c r="P215" i="39" s="1"/>
  <c r="T45" i="39"/>
  <c r="D45" i="39"/>
  <c r="P45" i="39" s="1"/>
  <c r="T44" i="39"/>
  <c r="D44" i="39"/>
  <c r="P44" i="39" s="1"/>
  <c r="T43" i="39"/>
  <c r="D43" i="39"/>
  <c r="P43" i="39" s="1"/>
  <c r="T42" i="39"/>
  <c r="D42" i="39"/>
  <c r="P42" i="39" s="1"/>
  <c r="T41" i="39"/>
  <c r="D41" i="39"/>
  <c r="P41" i="39" s="1"/>
  <c r="T40" i="39"/>
  <c r="D40" i="39"/>
  <c r="P40" i="39" s="1"/>
  <c r="T39" i="39"/>
  <c r="D39" i="39"/>
  <c r="T38" i="39"/>
  <c r="D38" i="39"/>
  <c r="T37" i="39"/>
  <c r="D37" i="39"/>
  <c r="T36" i="39"/>
  <c r="D36" i="39"/>
  <c r="T35" i="39"/>
  <c r="D35" i="39"/>
  <c r="T34" i="39"/>
  <c r="D34" i="39"/>
  <c r="T33" i="39"/>
  <c r="D33" i="39"/>
  <c r="T32" i="39"/>
  <c r="D32" i="39"/>
  <c r="T31" i="39"/>
  <c r="D31" i="39"/>
  <c r="T30" i="39"/>
  <c r="D30" i="39"/>
  <c r="T29" i="39"/>
  <c r="D29" i="39"/>
  <c r="T28" i="39"/>
  <c r="D28" i="39"/>
  <c r="T27" i="39"/>
  <c r="D27" i="39"/>
  <c r="T26" i="39"/>
  <c r="D26" i="39"/>
  <c r="T25" i="39"/>
  <c r="D25" i="39"/>
  <c r="T24" i="39"/>
  <c r="D24" i="39"/>
  <c r="T23" i="39"/>
  <c r="D23" i="39"/>
  <c r="T22" i="39"/>
  <c r="D22" i="39"/>
  <c r="T21" i="39"/>
  <c r="D21" i="39"/>
  <c r="T20" i="39"/>
  <c r="D20" i="39"/>
  <c r="T19" i="39"/>
  <c r="D19" i="39"/>
  <c r="T18" i="39"/>
  <c r="D18" i="39"/>
  <c r="T17" i="39"/>
  <c r="D17" i="39"/>
  <c r="T16" i="39"/>
  <c r="D16" i="39"/>
  <c r="T15" i="39"/>
  <c r="D15" i="39"/>
  <c r="T14" i="39"/>
  <c r="D14" i="39"/>
  <c r="T13" i="39"/>
  <c r="D13" i="39"/>
  <c r="T12" i="39"/>
  <c r="D12" i="39"/>
  <c r="T11" i="39"/>
  <c r="D11" i="39"/>
  <c r="T10" i="39"/>
  <c r="D10" i="39"/>
  <c r="T9" i="39"/>
  <c r="D9" i="39"/>
  <c r="T8" i="39"/>
  <c r="D8" i="39"/>
  <c r="T7" i="39"/>
  <c r="D7" i="39"/>
  <c r="T6" i="39"/>
  <c r="D6" i="39"/>
  <c r="T85" i="39"/>
  <c r="D85" i="39"/>
  <c r="T84" i="39"/>
  <c r="D84" i="39"/>
  <c r="T83" i="39"/>
  <c r="D83" i="39"/>
  <c r="T82" i="39"/>
  <c r="D82" i="39"/>
  <c r="T81" i="39"/>
  <c r="D81" i="39"/>
  <c r="T80" i="39"/>
  <c r="D80" i="39"/>
  <c r="T79" i="39"/>
  <c r="D79" i="39"/>
  <c r="T78" i="39"/>
  <c r="D78" i="39"/>
  <c r="T77" i="39"/>
  <c r="D77" i="39"/>
  <c r="T76" i="39"/>
  <c r="D76" i="39"/>
  <c r="T75" i="39"/>
  <c r="D75" i="39"/>
  <c r="T74" i="39"/>
  <c r="D74" i="39"/>
  <c r="T73" i="39"/>
  <c r="D73" i="39"/>
  <c r="T72" i="39"/>
  <c r="D72" i="39"/>
  <c r="T71" i="39"/>
  <c r="D71" i="39"/>
  <c r="T70" i="39"/>
  <c r="D70" i="39"/>
  <c r="T69" i="39"/>
  <c r="D69" i="39"/>
  <c r="T68" i="39"/>
  <c r="D68" i="39"/>
  <c r="T67" i="39"/>
  <c r="D67" i="39"/>
  <c r="T66" i="39"/>
  <c r="D66" i="39"/>
  <c r="T65" i="39"/>
  <c r="D65" i="39"/>
  <c r="T64" i="39"/>
  <c r="D64" i="39"/>
  <c r="T63" i="39"/>
  <c r="D63" i="39"/>
  <c r="T62" i="39"/>
  <c r="D62" i="39"/>
  <c r="T61" i="39"/>
  <c r="D61" i="39"/>
  <c r="T60" i="39"/>
  <c r="D60" i="39"/>
  <c r="T59" i="39"/>
  <c r="D59" i="39"/>
  <c r="Q59" i="39" s="1"/>
  <c r="T58" i="39"/>
  <c r="D58" i="39"/>
  <c r="T57" i="39"/>
  <c r="D57" i="39"/>
  <c r="T56" i="39"/>
  <c r="D56" i="39"/>
  <c r="T55" i="39"/>
  <c r="D55" i="39"/>
  <c r="Q55" i="39" s="1"/>
  <c r="T54" i="39"/>
  <c r="D54" i="39"/>
  <c r="T53" i="39"/>
  <c r="D53" i="39"/>
  <c r="Q53" i="39" s="1"/>
  <c r="T52" i="39"/>
  <c r="D52" i="39"/>
  <c r="T51" i="39"/>
  <c r="D51" i="39"/>
  <c r="Q51" i="39" s="1"/>
  <c r="T50" i="39"/>
  <c r="D50" i="39"/>
  <c r="Q50" i="39" s="1"/>
  <c r="T49" i="39"/>
  <c r="D49" i="39"/>
  <c r="Q49" i="39" s="1"/>
  <c r="T48" i="39"/>
  <c r="D48" i="39"/>
  <c r="N48" i="39" s="1"/>
  <c r="T47" i="39"/>
  <c r="D47" i="39"/>
  <c r="T46" i="39"/>
  <c r="D46" i="39"/>
  <c r="R46" i="39" s="1"/>
  <c r="T125" i="39"/>
  <c r="D125" i="39"/>
  <c r="P125" i="39" s="1"/>
  <c r="T124" i="39"/>
  <c r="D124" i="39"/>
  <c r="T123" i="39"/>
  <c r="D123" i="39"/>
  <c r="P123" i="39" s="1"/>
  <c r="T122" i="39"/>
  <c r="D122" i="39"/>
  <c r="P122" i="39" s="1"/>
  <c r="T121" i="39"/>
  <c r="D121" i="39"/>
  <c r="P121" i="39" s="1"/>
  <c r="T120" i="39"/>
  <c r="D120" i="39"/>
  <c r="P120" i="39" s="1"/>
  <c r="T119" i="39"/>
  <c r="D119" i="39"/>
  <c r="P119" i="39" s="1"/>
  <c r="T118" i="39"/>
  <c r="D118" i="39"/>
  <c r="P118" i="39" s="1"/>
  <c r="T117" i="39"/>
  <c r="D117" i="39"/>
  <c r="P117" i="39" s="1"/>
  <c r="T116" i="39"/>
  <c r="D116" i="39"/>
  <c r="P116" i="39" s="1"/>
  <c r="T115" i="39"/>
  <c r="D115" i="39"/>
  <c r="P115" i="39" s="1"/>
  <c r="T114" i="39"/>
  <c r="D114" i="39"/>
  <c r="P114" i="39" s="1"/>
  <c r="T113" i="39"/>
  <c r="D113" i="39"/>
  <c r="T112" i="39"/>
  <c r="D112" i="39"/>
  <c r="T111" i="39"/>
  <c r="D111" i="39"/>
  <c r="T110" i="39"/>
  <c r="D110" i="39"/>
  <c r="T109" i="39"/>
  <c r="D109" i="39"/>
  <c r="T108" i="39"/>
  <c r="D108" i="39"/>
  <c r="T107" i="39"/>
  <c r="D107" i="39"/>
  <c r="T106" i="39"/>
  <c r="D106" i="39"/>
  <c r="T105" i="39"/>
  <c r="D105" i="39"/>
  <c r="T104" i="39"/>
  <c r="D104" i="39"/>
  <c r="T103" i="39"/>
  <c r="D103" i="39"/>
  <c r="T102" i="39"/>
  <c r="D102" i="39"/>
  <c r="T101" i="39"/>
  <c r="D101" i="39"/>
  <c r="T100" i="39"/>
  <c r="D100" i="39"/>
  <c r="T99" i="39"/>
  <c r="D99" i="39"/>
  <c r="T98" i="39"/>
  <c r="D98" i="39"/>
  <c r="T97" i="39"/>
  <c r="D97" i="39"/>
  <c r="T96" i="39"/>
  <c r="D96" i="39"/>
  <c r="T95" i="39"/>
  <c r="D95" i="39"/>
  <c r="Q95" i="39" s="1"/>
  <c r="T94" i="39"/>
  <c r="D94" i="39"/>
  <c r="T93" i="39"/>
  <c r="D93" i="39"/>
  <c r="T92" i="39"/>
  <c r="D92" i="39"/>
  <c r="T91" i="39"/>
  <c r="D91" i="39"/>
  <c r="T90" i="39"/>
  <c r="D90" i="39"/>
  <c r="T89" i="39"/>
  <c r="D89" i="39"/>
  <c r="T88" i="39"/>
  <c r="D88" i="39"/>
  <c r="T87" i="39"/>
  <c r="D87" i="39"/>
  <c r="T86" i="39"/>
  <c r="D86" i="39"/>
  <c r="T133" i="39"/>
  <c r="D133" i="39"/>
  <c r="P133" i="39" s="1"/>
  <c r="T132" i="39"/>
  <c r="D132" i="39"/>
  <c r="P132" i="39" s="1"/>
  <c r="T131" i="39"/>
  <c r="D131" i="39"/>
  <c r="P131" i="39" s="1"/>
  <c r="T130" i="39"/>
  <c r="D130" i="39"/>
  <c r="P130" i="39" s="1"/>
  <c r="T129" i="39"/>
  <c r="D129" i="39"/>
  <c r="P129" i="39" s="1"/>
  <c r="T128" i="39"/>
  <c r="D128" i="39"/>
  <c r="P128" i="39" s="1"/>
  <c r="T127" i="39"/>
  <c r="D127" i="39"/>
  <c r="P127" i="39" s="1"/>
  <c r="T126" i="39"/>
  <c r="D126" i="39"/>
  <c r="P126" i="39" s="1"/>
  <c r="T141" i="39"/>
  <c r="D141" i="39"/>
  <c r="P141" i="39" s="1"/>
  <c r="T140" i="39"/>
  <c r="D140" i="39"/>
  <c r="P140" i="39" s="1"/>
  <c r="T139" i="39"/>
  <c r="D139" i="39"/>
  <c r="P139" i="39" s="1"/>
  <c r="T138" i="39"/>
  <c r="D138" i="39"/>
  <c r="P138" i="39" s="1"/>
  <c r="T137" i="39"/>
  <c r="D137" i="39"/>
  <c r="P137" i="39" s="1"/>
  <c r="T136" i="39"/>
  <c r="D136" i="39"/>
  <c r="P136" i="39" s="1"/>
  <c r="T135" i="39"/>
  <c r="D135" i="39"/>
  <c r="P135" i="39" s="1"/>
  <c r="T134" i="39"/>
  <c r="D134" i="39"/>
  <c r="P134" i="39" s="1"/>
  <c r="T149" i="39"/>
  <c r="D149" i="39"/>
  <c r="P149" i="39" s="1"/>
  <c r="T148" i="39"/>
  <c r="D148" i="39"/>
  <c r="P148" i="39" s="1"/>
  <c r="T147" i="39"/>
  <c r="D147" i="39"/>
  <c r="P147" i="39" s="1"/>
  <c r="T146" i="39"/>
  <c r="D146" i="39"/>
  <c r="P146" i="39" s="1"/>
  <c r="T145" i="39"/>
  <c r="D145" i="39"/>
  <c r="P145" i="39" s="1"/>
  <c r="T144" i="39"/>
  <c r="D144" i="39"/>
  <c r="P144" i="39" s="1"/>
  <c r="T143" i="39"/>
  <c r="D143" i="39"/>
  <c r="P143" i="39" s="1"/>
  <c r="T142" i="39"/>
  <c r="D142" i="39"/>
  <c r="P142" i="39" s="1"/>
  <c r="T232" i="39"/>
  <c r="D232" i="39"/>
  <c r="P232" i="39" s="1"/>
  <c r="T231" i="39"/>
  <c r="D231" i="39"/>
  <c r="P231" i="39" s="1"/>
  <c r="T230" i="39"/>
  <c r="D230" i="39"/>
  <c r="P230" i="39" s="1"/>
  <c r="T154" i="39"/>
  <c r="D154" i="39"/>
  <c r="P154" i="39" s="1"/>
  <c r="T153" i="39"/>
  <c r="D153" i="39"/>
  <c r="P153" i="39" s="1"/>
  <c r="T152" i="39"/>
  <c r="D152" i="39"/>
  <c r="P152" i="39" s="1"/>
  <c r="T151" i="39"/>
  <c r="D151" i="39"/>
  <c r="P151" i="39" s="1"/>
  <c r="T150" i="39"/>
  <c r="D150" i="39"/>
  <c r="P150" i="39" s="1"/>
  <c r="T400" i="39"/>
  <c r="D400" i="39"/>
  <c r="P400" i="39" s="1"/>
  <c r="T239" i="39"/>
  <c r="D239" i="39"/>
  <c r="P239" i="39" s="1"/>
  <c r="T238" i="39"/>
  <c r="D238" i="39"/>
  <c r="P238" i="39" s="1"/>
  <c r="T237" i="39"/>
  <c r="D237" i="39"/>
  <c r="P237" i="39" s="1"/>
  <c r="T236" i="39"/>
  <c r="D236" i="39"/>
  <c r="P236" i="39" s="1"/>
  <c r="T235" i="39"/>
  <c r="D235" i="39"/>
  <c r="P235" i="39" s="1"/>
  <c r="T234" i="39"/>
  <c r="D234" i="39"/>
  <c r="P234" i="39" s="1"/>
  <c r="T233" i="39"/>
  <c r="D233" i="39"/>
  <c r="P233" i="39" s="1"/>
  <c r="U13" i="46"/>
  <c r="D5" i="39"/>
  <c r="D4" i="39"/>
  <c r="L4" i="39"/>
  <c r="L5" i="39" s="1"/>
  <c r="D3" i="39"/>
  <c r="Q420" i="39" l="1"/>
  <c r="Q406" i="39"/>
  <c r="Q408" i="39"/>
  <c r="R420" i="39"/>
  <c r="Q403" i="39"/>
  <c r="Q405" i="39"/>
  <c r="Q410" i="39"/>
  <c r="Q412" i="39"/>
  <c r="Q415" i="39"/>
  <c r="Q417" i="39"/>
  <c r="Q418" i="39"/>
  <c r="Q440" i="39"/>
  <c r="R402" i="39"/>
  <c r="R403" i="39"/>
  <c r="R404" i="39"/>
  <c r="R405" i="39"/>
  <c r="R406" i="39"/>
  <c r="R407" i="39"/>
  <c r="R408" i="39"/>
  <c r="R409" i="39"/>
  <c r="N410" i="39"/>
  <c r="R411" i="39"/>
  <c r="R412" i="39"/>
  <c r="R413" i="39"/>
  <c r="R414" i="39"/>
  <c r="R415" i="39"/>
  <c r="R416" i="39"/>
  <c r="R417" i="39"/>
  <c r="R418" i="39"/>
  <c r="N420" i="39"/>
  <c r="O402" i="39"/>
  <c r="O403" i="39"/>
  <c r="O404" i="39"/>
  <c r="O405" i="39"/>
  <c r="O406" i="39"/>
  <c r="O407" i="39"/>
  <c r="O408" i="39"/>
  <c r="O409" i="39"/>
  <c r="O410" i="39"/>
  <c r="O411" i="39"/>
  <c r="O412" i="39"/>
  <c r="O413" i="39"/>
  <c r="O414" i="39"/>
  <c r="O415" i="39"/>
  <c r="O416" i="39"/>
  <c r="O417" i="39"/>
  <c r="O418" i="39"/>
  <c r="O419" i="39"/>
  <c r="O420" i="39"/>
  <c r="Q402" i="39"/>
  <c r="Q404" i="39"/>
  <c r="Q407" i="39"/>
  <c r="Q409" i="39"/>
  <c r="Q411" i="39"/>
  <c r="Q413" i="39"/>
  <c r="Q414" i="39"/>
  <c r="Q416" i="39"/>
  <c r="Q419" i="39"/>
  <c r="N402" i="39"/>
  <c r="N403" i="39"/>
  <c r="N404" i="39"/>
  <c r="N405" i="39"/>
  <c r="N406" i="39"/>
  <c r="N407" i="39"/>
  <c r="N408" i="39"/>
  <c r="N409" i="39"/>
  <c r="R410" i="39"/>
  <c r="N411" i="39"/>
  <c r="N412" i="39"/>
  <c r="N413" i="39"/>
  <c r="N414" i="39"/>
  <c r="N415" i="39"/>
  <c r="N416" i="39"/>
  <c r="N417" i="39"/>
  <c r="N418" i="39"/>
  <c r="N419" i="39"/>
  <c r="R419" i="39"/>
  <c r="Q421" i="39"/>
  <c r="Q424" i="39"/>
  <c r="Q427" i="39"/>
  <c r="Q430" i="39"/>
  <c r="Q433" i="39"/>
  <c r="Q439" i="39"/>
  <c r="Q460" i="39"/>
  <c r="N421" i="39"/>
  <c r="R421" i="39"/>
  <c r="N422" i="39"/>
  <c r="R422" i="39"/>
  <c r="N423" i="39"/>
  <c r="R423" i="39"/>
  <c r="N424" i="39"/>
  <c r="R424" i="39"/>
  <c r="N425" i="39"/>
  <c r="R425" i="39"/>
  <c r="N426" i="39"/>
  <c r="R426" i="39"/>
  <c r="N427" i="39"/>
  <c r="R427" i="39"/>
  <c r="N428" i="39"/>
  <c r="R428" i="39"/>
  <c r="N429" i="39"/>
  <c r="R429" i="39"/>
  <c r="N430" i="39"/>
  <c r="R430" i="39"/>
  <c r="N431" i="39"/>
  <c r="R431" i="39"/>
  <c r="N432" i="39"/>
  <c r="R432" i="39"/>
  <c r="N433" i="39"/>
  <c r="R433" i="39"/>
  <c r="N434" i="39"/>
  <c r="R434" i="39"/>
  <c r="N435" i="39"/>
  <c r="R435" i="39"/>
  <c r="N436" i="39"/>
  <c r="R436" i="39"/>
  <c r="N437" i="39"/>
  <c r="R437" i="39"/>
  <c r="N438" i="39"/>
  <c r="R438" i="39"/>
  <c r="N439" i="39"/>
  <c r="R439" i="39"/>
  <c r="N440" i="39"/>
  <c r="R440" i="39"/>
  <c r="Q426" i="39"/>
  <c r="Q429" i="39"/>
  <c r="Q431" i="39"/>
  <c r="O421" i="39"/>
  <c r="O422" i="39"/>
  <c r="O423" i="39"/>
  <c r="O424" i="39"/>
  <c r="O425" i="39"/>
  <c r="O426" i="39"/>
  <c r="O427" i="39"/>
  <c r="O428" i="39"/>
  <c r="O429" i="39"/>
  <c r="O430" i="39"/>
  <c r="O431" i="39"/>
  <c r="O432" i="39"/>
  <c r="O433" i="39"/>
  <c r="O434" i="39"/>
  <c r="O435" i="39"/>
  <c r="O436" i="39"/>
  <c r="O437" i="39"/>
  <c r="O438" i="39"/>
  <c r="O439" i="39"/>
  <c r="O440" i="39"/>
  <c r="Q422" i="39"/>
  <c r="Q423" i="39"/>
  <c r="Q425" i="39"/>
  <c r="Q428" i="39"/>
  <c r="Q432" i="39"/>
  <c r="Q434" i="39"/>
  <c r="Q435" i="39"/>
  <c r="Q436" i="39"/>
  <c r="Q437" i="39"/>
  <c r="Q438" i="39"/>
  <c r="Q480" i="39"/>
  <c r="N441" i="39"/>
  <c r="R441" i="39"/>
  <c r="N442" i="39"/>
  <c r="R442" i="39"/>
  <c r="N443" i="39"/>
  <c r="R443" i="39"/>
  <c r="N444" i="39"/>
  <c r="R444" i="39"/>
  <c r="N445" i="39"/>
  <c r="R445" i="39"/>
  <c r="N446" i="39"/>
  <c r="R446" i="39"/>
  <c r="N447" i="39"/>
  <c r="R447" i="39"/>
  <c r="N448" i="39"/>
  <c r="R448" i="39"/>
  <c r="N449" i="39"/>
  <c r="R449" i="39"/>
  <c r="N450" i="39"/>
  <c r="R450" i="39"/>
  <c r="N451" i="39"/>
  <c r="R451" i="39"/>
  <c r="N452" i="39"/>
  <c r="R452" i="39"/>
  <c r="N453" i="39"/>
  <c r="R453" i="39"/>
  <c r="N454" i="39"/>
  <c r="R454" i="39"/>
  <c r="N455" i="39"/>
  <c r="R455" i="39"/>
  <c r="N456" i="39"/>
  <c r="R456" i="39"/>
  <c r="N457" i="39"/>
  <c r="R457" i="39"/>
  <c r="N458" i="39"/>
  <c r="R458" i="39"/>
  <c r="N459" i="39"/>
  <c r="R459" i="39"/>
  <c r="N460" i="39"/>
  <c r="R460" i="39"/>
  <c r="Q441" i="39"/>
  <c r="Q443" i="39"/>
  <c r="Q445" i="39"/>
  <c r="Q447" i="39"/>
  <c r="Q449" i="39"/>
  <c r="Q451" i="39"/>
  <c r="Q453" i="39"/>
  <c r="Q455" i="39"/>
  <c r="Q456" i="39"/>
  <c r="Q459" i="39"/>
  <c r="O441" i="39"/>
  <c r="O442" i="39"/>
  <c r="O443" i="39"/>
  <c r="O444" i="39"/>
  <c r="O445" i="39"/>
  <c r="O446" i="39"/>
  <c r="O447" i="39"/>
  <c r="O448" i="39"/>
  <c r="O449" i="39"/>
  <c r="O450" i="39"/>
  <c r="O451" i="39"/>
  <c r="O452" i="39"/>
  <c r="O453" i="39"/>
  <c r="O454" i="39"/>
  <c r="O455" i="39"/>
  <c r="O456" i="39"/>
  <c r="O457" i="39"/>
  <c r="O458" i="39"/>
  <c r="O459" i="39"/>
  <c r="O460" i="39"/>
  <c r="Q442" i="39"/>
  <c r="Q444" i="39"/>
  <c r="Q446" i="39"/>
  <c r="Q448" i="39"/>
  <c r="Q450" i="39"/>
  <c r="Q452" i="39"/>
  <c r="Q454" i="39"/>
  <c r="Q457" i="39"/>
  <c r="Q458" i="39"/>
  <c r="Q539" i="39"/>
  <c r="Q500" i="39"/>
  <c r="N461" i="39"/>
  <c r="R461" i="39"/>
  <c r="N462" i="39"/>
  <c r="R462" i="39"/>
  <c r="N463" i="39"/>
  <c r="R463" i="39"/>
  <c r="N464" i="39"/>
  <c r="R464" i="39"/>
  <c r="N465" i="39"/>
  <c r="R465" i="39"/>
  <c r="N466" i="39"/>
  <c r="R466" i="39"/>
  <c r="N467" i="39"/>
  <c r="R467" i="39"/>
  <c r="N468" i="39"/>
  <c r="R468" i="39"/>
  <c r="N469" i="39"/>
  <c r="R469" i="39"/>
  <c r="N470" i="39"/>
  <c r="R470" i="39"/>
  <c r="N471" i="39"/>
  <c r="R471" i="39"/>
  <c r="N472" i="39"/>
  <c r="R472" i="39"/>
  <c r="N473" i="39"/>
  <c r="R473" i="39"/>
  <c r="N474" i="39"/>
  <c r="R474" i="39"/>
  <c r="N475" i="39"/>
  <c r="R475" i="39"/>
  <c r="N476" i="39"/>
  <c r="R476" i="39"/>
  <c r="N477" i="39"/>
  <c r="R477" i="39"/>
  <c r="N478" i="39"/>
  <c r="R478" i="39"/>
  <c r="N479" i="39"/>
  <c r="R479" i="39"/>
  <c r="N480" i="39"/>
  <c r="R480" i="39"/>
  <c r="Q461" i="39"/>
  <c r="Q463" i="39"/>
  <c r="Q465" i="39"/>
  <c r="Q467" i="39"/>
  <c r="Q469" i="39"/>
  <c r="Q471" i="39"/>
  <c r="Q473" i="39"/>
  <c r="Q475" i="39"/>
  <c r="Q478" i="39"/>
  <c r="Q479" i="39"/>
  <c r="O461" i="39"/>
  <c r="O462" i="39"/>
  <c r="O463" i="39"/>
  <c r="O464" i="39"/>
  <c r="O465" i="39"/>
  <c r="O466" i="39"/>
  <c r="O467" i="39"/>
  <c r="O468" i="39"/>
  <c r="O469" i="39"/>
  <c r="O470" i="39"/>
  <c r="O471" i="39"/>
  <c r="O472" i="39"/>
  <c r="O473" i="39"/>
  <c r="O474" i="39"/>
  <c r="O475" i="39"/>
  <c r="O476" i="39"/>
  <c r="O477" i="39"/>
  <c r="O478" i="39"/>
  <c r="O479" i="39"/>
  <c r="O480" i="39"/>
  <c r="Q462" i="39"/>
  <c r="Q464" i="39"/>
  <c r="Q466" i="39"/>
  <c r="Q468" i="39"/>
  <c r="Q470" i="39"/>
  <c r="Q472" i="39"/>
  <c r="Q474" i="39"/>
  <c r="Q476" i="39"/>
  <c r="Q477" i="39"/>
  <c r="Q482" i="39"/>
  <c r="Q485" i="39"/>
  <c r="Q486" i="39"/>
  <c r="Q489" i="39"/>
  <c r="Q492" i="39"/>
  <c r="Q493" i="39"/>
  <c r="N481" i="39"/>
  <c r="R481" i="39"/>
  <c r="N482" i="39"/>
  <c r="R482" i="39"/>
  <c r="N483" i="39"/>
  <c r="R483" i="39"/>
  <c r="N484" i="39"/>
  <c r="R484" i="39"/>
  <c r="N485" i="39"/>
  <c r="R485" i="39"/>
  <c r="N486" i="39"/>
  <c r="R486" i="39"/>
  <c r="N487" i="39"/>
  <c r="R487" i="39"/>
  <c r="N488" i="39"/>
  <c r="R488" i="39"/>
  <c r="N489" i="39"/>
  <c r="R489" i="39"/>
  <c r="N490" i="39"/>
  <c r="R490" i="39"/>
  <c r="N491" i="39"/>
  <c r="R491" i="39"/>
  <c r="N492" i="39"/>
  <c r="R492" i="39"/>
  <c r="N493" i="39"/>
  <c r="R493" i="39"/>
  <c r="N494" i="39"/>
  <c r="R494" i="39"/>
  <c r="N495" i="39"/>
  <c r="R495" i="39"/>
  <c r="N496" i="39"/>
  <c r="R496" i="39"/>
  <c r="N497" i="39"/>
  <c r="R497" i="39"/>
  <c r="N498" i="39"/>
  <c r="R498" i="39"/>
  <c r="N499" i="39"/>
  <c r="R499" i="39"/>
  <c r="N500" i="39"/>
  <c r="R500" i="39"/>
  <c r="Q483" i="39"/>
  <c r="Q490" i="39"/>
  <c r="Q495" i="39"/>
  <c r="Q496" i="39"/>
  <c r="Q497" i="39"/>
  <c r="O481" i="39"/>
  <c r="O482" i="39"/>
  <c r="O483" i="39"/>
  <c r="O484" i="39"/>
  <c r="O485" i="39"/>
  <c r="O486" i="39"/>
  <c r="O487" i="39"/>
  <c r="O488" i="39"/>
  <c r="O489" i="39"/>
  <c r="O490" i="39"/>
  <c r="O491" i="39"/>
  <c r="O492" i="39"/>
  <c r="O493" i="39"/>
  <c r="O494" i="39"/>
  <c r="O495" i="39"/>
  <c r="O496" i="39"/>
  <c r="O497" i="39"/>
  <c r="O498" i="39"/>
  <c r="O499" i="39"/>
  <c r="O500" i="39"/>
  <c r="Q481" i="39"/>
  <c r="Q484" i="39"/>
  <c r="Q487" i="39"/>
  <c r="Q488" i="39"/>
  <c r="Q491" i="39"/>
  <c r="Q494" i="39"/>
  <c r="Q498" i="39"/>
  <c r="Q499" i="39"/>
  <c r="Q501" i="39"/>
  <c r="Q502" i="39"/>
  <c r="Q503" i="39"/>
  <c r="Q504" i="39"/>
  <c r="Q505" i="39"/>
  <c r="Q506" i="39"/>
  <c r="Q507" i="39"/>
  <c r="Q508" i="39"/>
  <c r="Q509" i="39"/>
  <c r="Q510" i="39"/>
  <c r="Q511" i="39"/>
  <c r="Q512" i="39"/>
  <c r="Q513" i="39"/>
  <c r="Q514" i="39"/>
  <c r="Q515" i="39"/>
  <c r="Q516" i="39"/>
  <c r="Q517" i="39"/>
  <c r="Q518" i="39"/>
  <c r="Q519" i="39"/>
  <c r="Q520" i="39"/>
  <c r="Q559" i="39"/>
  <c r="N501" i="39"/>
  <c r="R501" i="39"/>
  <c r="N502" i="39"/>
  <c r="R502" i="39"/>
  <c r="N503" i="39"/>
  <c r="R503" i="39"/>
  <c r="N504" i="39"/>
  <c r="R504" i="39"/>
  <c r="N505" i="39"/>
  <c r="R505" i="39"/>
  <c r="N506" i="39"/>
  <c r="R506" i="39"/>
  <c r="N507" i="39"/>
  <c r="R507" i="39"/>
  <c r="N508" i="39"/>
  <c r="R508" i="39"/>
  <c r="N509" i="39"/>
  <c r="R509" i="39"/>
  <c r="N510" i="39"/>
  <c r="R510" i="39"/>
  <c r="N511" i="39"/>
  <c r="R511" i="39"/>
  <c r="N512" i="39"/>
  <c r="R512" i="39"/>
  <c r="N513" i="39"/>
  <c r="R513" i="39"/>
  <c r="N514" i="39"/>
  <c r="R514" i="39"/>
  <c r="N515" i="39"/>
  <c r="R515" i="39"/>
  <c r="N516" i="39"/>
  <c r="R516" i="39"/>
  <c r="N517" i="39"/>
  <c r="R517" i="39"/>
  <c r="N518" i="39"/>
  <c r="R518" i="39"/>
  <c r="N519" i="39"/>
  <c r="R519" i="39"/>
  <c r="N520" i="39"/>
  <c r="R520" i="39"/>
  <c r="O501" i="39"/>
  <c r="O502" i="39"/>
  <c r="O503" i="39"/>
  <c r="O504" i="39"/>
  <c r="O505" i="39"/>
  <c r="O506" i="39"/>
  <c r="O507" i="39"/>
  <c r="O508" i="39"/>
  <c r="O509" i="39"/>
  <c r="O510" i="39"/>
  <c r="O511" i="39"/>
  <c r="O512" i="39"/>
  <c r="O513" i="39"/>
  <c r="O514" i="39"/>
  <c r="O515" i="39"/>
  <c r="O516" i="39"/>
  <c r="O517" i="39"/>
  <c r="O518" i="39"/>
  <c r="O519" i="39"/>
  <c r="O520" i="39"/>
  <c r="R580" i="39"/>
  <c r="Q522" i="39"/>
  <c r="Q525" i="39"/>
  <c r="Q528" i="39"/>
  <c r="Q529" i="39"/>
  <c r="Q534" i="39"/>
  <c r="Q535" i="39"/>
  <c r="Q537" i="39"/>
  <c r="Q538" i="39"/>
  <c r="Q540" i="39"/>
  <c r="N521" i="39"/>
  <c r="R521" i="39"/>
  <c r="N522" i="39"/>
  <c r="R522" i="39"/>
  <c r="N523" i="39"/>
  <c r="R523" i="39"/>
  <c r="N524" i="39"/>
  <c r="R524" i="39"/>
  <c r="N525" i="39"/>
  <c r="R525" i="39"/>
  <c r="N526" i="39"/>
  <c r="R526" i="39"/>
  <c r="N527" i="39"/>
  <c r="R527" i="39"/>
  <c r="N528" i="39"/>
  <c r="R528" i="39"/>
  <c r="N529" i="39"/>
  <c r="R529" i="39"/>
  <c r="N530" i="39"/>
  <c r="R530" i="39"/>
  <c r="N531" i="39"/>
  <c r="R531" i="39"/>
  <c r="N532" i="39"/>
  <c r="R532" i="39"/>
  <c r="N533" i="39"/>
  <c r="R533" i="39"/>
  <c r="N534" i="39"/>
  <c r="R534" i="39"/>
  <c r="N535" i="39"/>
  <c r="R535" i="39"/>
  <c r="N536" i="39"/>
  <c r="R536" i="39"/>
  <c r="N537" i="39"/>
  <c r="R537" i="39"/>
  <c r="N538" i="39"/>
  <c r="R538" i="39"/>
  <c r="N539" i="39"/>
  <c r="R539" i="39"/>
  <c r="N540" i="39"/>
  <c r="R540" i="39"/>
  <c r="Q521" i="39"/>
  <c r="Q524" i="39"/>
  <c r="Q526" i="39"/>
  <c r="Q527" i="39"/>
  <c r="Q531" i="39"/>
  <c r="Q532" i="39"/>
  <c r="Q536" i="39"/>
  <c r="O521" i="39"/>
  <c r="O522" i="39"/>
  <c r="O523" i="39"/>
  <c r="O524" i="39"/>
  <c r="O525" i="39"/>
  <c r="O526" i="39"/>
  <c r="O527" i="39"/>
  <c r="O528" i="39"/>
  <c r="O529" i="39"/>
  <c r="O530" i="39"/>
  <c r="O531" i="39"/>
  <c r="O532" i="39"/>
  <c r="O533" i="39"/>
  <c r="O534" i="39"/>
  <c r="O535" i="39"/>
  <c r="O536" i="39"/>
  <c r="O537" i="39"/>
  <c r="O538" i="39"/>
  <c r="O539" i="39"/>
  <c r="O540" i="39"/>
  <c r="Q523" i="39"/>
  <c r="Q530" i="39"/>
  <c r="Q533" i="39"/>
  <c r="Q580" i="39"/>
  <c r="Q541" i="39"/>
  <c r="Q546" i="39"/>
  <c r="Q548" i="39"/>
  <c r="Q549" i="39"/>
  <c r="Q553" i="39"/>
  <c r="Q554" i="39"/>
  <c r="Q556" i="39"/>
  <c r="Q558" i="39"/>
  <c r="N541" i="39"/>
  <c r="R541" i="39"/>
  <c r="N542" i="39"/>
  <c r="R542" i="39"/>
  <c r="N543" i="39"/>
  <c r="R543" i="39"/>
  <c r="N544" i="39"/>
  <c r="R544" i="39"/>
  <c r="N545" i="39"/>
  <c r="R545" i="39"/>
  <c r="N546" i="39"/>
  <c r="R546" i="39"/>
  <c r="N547" i="39"/>
  <c r="R547" i="39"/>
  <c r="N548" i="39"/>
  <c r="R548" i="39"/>
  <c r="N549" i="39"/>
  <c r="R549" i="39"/>
  <c r="N550" i="39"/>
  <c r="R550" i="39"/>
  <c r="N551" i="39"/>
  <c r="R551" i="39"/>
  <c r="N552" i="39"/>
  <c r="R552" i="39"/>
  <c r="N553" i="39"/>
  <c r="R553" i="39"/>
  <c r="N554" i="39"/>
  <c r="R554" i="39"/>
  <c r="N555" i="39"/>
  <c r="R555" i="39"/>
  <c r="N556" i="39"/>
  <c r="R556" i="39"/>
  <c r="N557" i="39"/>
  <c r="R557" i="39"/>
  <c r="N558" i="39"/>
  <c r="R558" i="39"/>
  <c r="N559" i="39"/>
  <c r="R559" i="39"/>
  <c r="N560" i="39"/>
  <c r="R560" i="39"/>
  <c r="Q543" i="39"/>
  <c r="Q544" i="39"/>
  <c r="Q547" i="39"/>
  <c r="Q551" i="39"/>
  <c r="Q552" i="39"/>
  <c r="Q555" i="39"/>
  <c r="Q557" i="39"/>
  <c r="Q560" i="39"/>
  <c r="O541" i="39"/>
  <c r="O542" i="39"/>
  <c r="O543" i="39"/>
  <c r="O544" i="39"/>
  <c r="O545" i="39"/>
  <c r="O546" i="39"/>
  <c r="O547" i="39"/>
  <c r="O548" i="39"/>
  <c r="O549" i="39"/>
  <c r="O550" i="39"/>
  <c r="O551" i="39"/>
  <c r="O552" i="39"/>
  <c r="O553" i="39"/>
  <c r="O554" i="39"/>
  <c r="O555" i="39"/>
  <c r="O556" i="39"/>
  <c r="O557" i="39"/>
  <c r="O558" i="39"/>
  <c r="O559" i="39"/>
  <c r="O560" i="39"/>
  <c r="Q542" i="39"/>
  <c r="Q545" i="39"/>
  <c r="Q550" i="39"/>
  <c r="R561" i="39"/>
  <c r="R562" i="39"/>
  <c r="R563" i="39"/>
  <c r="R564" i="39"/>
  <c r="R565" i="39"/>
  <c r="R566" i="39"/>
  <c r="R567" i="39"/>
  <c r="R568" i="39"/>
  <c r="R569" i="39"/>
  <c r="R570" i="39"/>
  <c r="R571" i="39"/>
  <c r="R572" i="39"/>
  <c r="R573" i="39"/>
  <c r="R574" i="39"/>
  <c r="R575" i="39"/>
  <c r="R576" i="39"/>
  <c r="R577" i="39"/>
  <c r="R578" i="39"/>
  <c r="N580" i="39"/>
  <c r="O561" i="39"/>
  <c r="O562" i="39"/>
  <c r="Q561" i="39"/>
  <c r="Q562" i="39"/>
  <c r="Q563" i="39"/>
  <c r="Q564" i="39"/>
  <c r="Q565" i="39"/>
  <c r="Q566" i="39"/>
  <c r="Q567" i="39"/>
  <c r="Q568" i="39"/>
  <c r="Q569" i="39"/>
  <c r="Q570" i="39"/>
  <c r="Q571" i="39"/>
  <c r="Q572" i="39"/>
  <c r="Q573" i="39"/>
  <c r="Q574" i="39"/>
  <c r="Q575" i="39"/>
  <c r="Q576" i="39"/>
  <c r="Q577" i="39"/>
  <c r="Q578" i="39"/>
  <c r="Q579" i="39"/>
  <c r="N561" i="39"/>
  <c r="N562" i="39"/>
  <c r="N563" i="39"/>
  <c r="N564" i="39"/>
  <c r="N565" i="39"/>
  <c r="N566" i="39"/>
  <c r="N567" i="39"/>
  <c r="N568" i="39"/>
  <c r="N569" i="39"/>
  <c r="N570" i="39"/>
  <c r="N571" i="39"/>
  <c r="N572" i="39"/>
  <c r="N573" i="39"/>
  <c r="N574" i="39"/>
  <c r="N575" i="39"/>
  <c r="N576" i="39"/>
  <c r="N577" i="39"/>
  <c r="N578" i="39"/>
  <c r="N579" i="39"/>
  <c r="R579" i="39"/>
  <c r="Q599" i="39"/>
  <c r="O563" i="39"/>
  <c r="O564" i="39"/>
  <c r="O565" i="39"/>
  <c r="O566" i="39"/>
  <c r="O567" i="39"/>
  <c r="O568" i="39"/>
  <c r="O569" i="39"/>
  <c r="O570" i="39"/>
  <c r="O571" i="39"/>
  <c r="O572" i="39"/>
  <c r="O573" i="39"/>
  <c r="O574" i="39"/>
  <c r="O575" i="39"/>
  <c r="O576" i="39"/>
  <c r="O577" i="39"/>
  <c r="O578" i="39"/>
  <c r="O579" i="39"/>
  <c r="O580" i="39"/>
  <c r="Q581" i="39"/>
  <c r="Q583" i="39"/>
  <c r="Q585" i="39"/>
  <c r="Q587" i="39"/>
  <c r="Q589" i="39"/>
  <c r="Q591" i="39"/>
  <c r="Q593" i="39"/>
  <c r="Q595" i="39"/>
  <c r="Q597" i="39"/>
  <c r="Q598" i="39"/>
  <c r="N581" i="39"/>
  <c r="R581" i="39"/>
  <c r="N582" i="39"/>
  <c r="R582" i="39"/>
  <c r="N583" i="39"/>
  <c r="R583" i="39"/>
  <c r="N584" i="39"/>
  <c r="R584" i="39"/>
  <c r="N585" i="39"/>
  <c r="R585" i="39"/>
  <c r="N586" i="39"/>
  <c r="R586" i="39"/>
  <c r="N587" i="39"/>
  <c r="R587" i="39"/>
  <c r="N588" i="39"/>
  <c r="R588" i="39"/>
  <c r="N589" i="39"/>
  <c r="R589" i="39"/>
  <c r="N590" i="39"/>
  <c r="R590" i="39"/>
  <c r="N591" i="39"/>
  <c r="R591" i="39"/>
  <c r="N592" i="39"/>
  <c r="R592" i="39"/>
  <c r="N593" i="39"/>
  <c r="R593" i="39"/>
  <c r="N594" i="39"/>
  <c r="R594" i="39"/>
  <c r="N595" i="39"/>
  <c r="R595" i="39"/>
  <c r="N596" i="39"/>
  <c r="R596" i="39"/>
  <c r="N597" i="39"/>
  <c r="R597" i="39"/>
  <c r="N598" i="39"/>
  <c r="R598" i="39"/>
  <c r="N599" i="39"/>
  <c r="R599" i="39"/>
  <c r="N600" i="39"/>
  <c r="R600" i="39"/>
  <c r="O601" i="39"/>
  <c r="O602" i="39"/>
  <c r="O603" i="39"/>
  <c r="O604" i="39"/>
  <c r="O605" i="39"/>
  <c r="O606" i="39"/>
  <c r="O607" i="39"/>
  <c r="O608" i="39"/>
  <c r="O609" i="39"/>
  <c r="O610" i="39"/>
  <c r="O611" i="39"/>
  <c r="O612" i="39"/>
  <c r="O613" i="39"/>
  <c r="O614" i="39"/>
  <c r="O615" i="39"/>
  <c r="O616" i="39"/>
  <c r="O617" i="39"/>
  <c r="O618" i="39"/>
  <c r="O619" i="39"/>
  <c r="O581" i="39"/>
  <c r="O582" i="39"/>
  <c r="O583" i="39"/>
  <c r="O584" i="39"/>
  <c r="O585" i="39"/>
  <c r="O586" i="39"/>
  <c r="O587" i="39"/>
  <c r="O588" i="39"/>
  <c r="O589" i="39"/>
  <c r="O590" i="39"/>
  <c r="O591" i="39"/>
  <c r="O592" i="39"/>
  <c r="O593" i="39"/>
  <c r="O594" i="39"/>
  <c r="O595" i="39"/>
  <c r="O596" i="39"/>
  <c r="O597" i="39"/>
  <c r="O598" i="39"/>
  <c r="O599" i="39"/>
  <c r="O600" i="39"/>
  <c r="Q582" i="39"/>
  <c r="Q584" i="39"/>
  <c r="Q586" i="39"/>
  <c r="Q588" i="39"/>
  <c r="Q590" i="39"/>
  <c r="Q592" i="39"/>
  <c r="Q594" i="39"/>
  <c r="Q596" i="39"/>
  <c r="Q600" i="39"/>
  <c r="Q601" i="39"/>
  <c r="Q602" i="39"/>
  <c r="Q603" i="39"/>
  <c r="Q604" i="39"/>
  <c r="Q605" i="39"/>
  <c r="Q606" i="39"/>
  <c r="Q607" i="39"/>
  <c r="Q608" i="39"/>
  <c r="Q609" i="39"/>
  <c r="Q610" i="39"/>
  <c r="Q611" i="39"/>
  <c r="Q612" i="39"/>
  <c r="Q613" i="39"/>
  <c r="Q614" i="39"/>
  <c r="Q615" i="39"/>
  <c r="Q616" i="39"/>
  <c r="Q617" i="39"/>
  <c r="Q618" i="39"/>
  <c r="Q619" i="39"/>
  <c r="Q620" i="39"/>
  <c r="Q640" i="39"/>
  <c r="N601" i="39"/>
  <c r="R601" i="39"/>
  <c r="N602" i="39"/>
  <c r="R602" i="39"/>
  <c r="N603" i="39"/>
  <c r="R603" i="39"/>
  <c r="N604" i="39"/>
  <c r="R604" i="39"/>
  <c r="N605" i="39"/>
  <c r="R605" i="39"/>
  <c r="N606" i="39"/>
  <c r="R606" i="39"/>
  <c r="N607" i="39"/>
  <c r="R607" i="39"/>
  <c r="N608" i="39"/>
  <c r="R608" i="39"/>
  <c r="N609" i="39"/>
  <c r="R609" i="39"/>
  <c r="N610" i="39"/>
  <c r="R610" i="39"/>
  <c r="N611" i="39"/>
  <c r="R611" i="39"/>
  <c r="N612" i="39"/>
  <c r="R612" i="39"/>
  <c r="N613" i="39"/>
  <c r="R613" i="39"/>
  <c r="N614" i="39"/>
  <c r="R614" i="39"/>
  <c r="N615" i="39"/>
  <c r="R615" i="39"/>
  <c r="N616" i="39"/>
  <c r="R616" i="39"/>
  <c r="N617" i="39"/>
  <c r="R617" i="39"/>
  <c r="N618" i="39"/>
  <c r="R618" i="39"/>
  <c r="N619" i="39"/>
  <c r="R619" i="39"/>
  <c r="N620" i="39"/>
  <c r="R620" i="39"/>
  <c r="O620" i="39"/>
  <c r="N621" i="39"/>
  <c r="N622" i="39"/>
  <c r="N623" i="39"/>
  <c r="N624" i="39"/>
  <c r="N625" i="39"/>
  <c r="N626" i="39"/>
  <c r="R627" i="39"/>
  <c r="R630" i="39"/>
  <c r="N640" i="39"/>
  <c r="O621" i="39"/>
  <c r="O622" i="39"/>
  <c r="O623" i="39"/>
  <c r="O624" i="39"/>
  <c r="O625" i="39"/>
  <c r="O626" i="39"/>
  <c r="O627" i="39"/>
  <c r="O628" i="39"/>
  <c r="O629" i="39"/>
  <c r="O630" i="39"/>
  <c r="O631" i="39"/>
  <c r="O632" i="39"/>
  <c r="O633" i="39"/>
  <c r="O634" i="39"/>
  <c r="O635" i="39"/>
  <c r="O636" i="39"/>
  <c r="O637" i="39"/>
  <c r="O638" i="39"/>
  <c r="O639" i="39"/>
  <c r="O640" i="39"/>
  <c r="Q621" i="39"/>
  <c r="Q622" i="39"/>
  <c r="Q623" i="39"/>
  <c r="Q624" i="39"/>
  <c r="Q625" i="39"/>
  <c r="Q626" i="39"/>
  <c r="Q627" i="39"/>
  <c r="Q628" i="39"/>
  <c r="Q629" i="39"/>
  <c r="Q630" i="39"/>
  <c r="Q631" i="39"/>
  <c r="Q632" i="39"/>
  <c r="Q633" i="39"/>
  <c r="Q634" i="39"/>
  <c r="Q635" i="39"/>
  <c r="Q636" i="39"/>
  <c r="Q637" i="39"/>
  <c r="Q638" i="39"/>
  <c r="Q639" i="39"/>
  <c r="R621" i="39"/>
  <c r="R622" i="39"/>
  <c r="R623" i="39"/>
  <c r="R624" i="39"/>
  <c r="R625" i="39"/>
  <c r="R626" i="39"/>
  <c r="N627" i="39"/>
  <c r="N628" i="39"/>
  <c r="R628" i="39"/>
  <c r="N629" i="39"/>
  <c r="R629" i="39"/>
  <c r="N630" i="39"/>
  <c r="N631" i="39"/>
  <c r="R631" i="39"/>
  <c r="N632" i="39"/>
  <c r="R632" i="39"/>
  <c r="N633" i="39"/>
  <c r="R633" i="39"/>
  <c r="N634" i="39"/>
  <c r="R634" i="39"/>
  <c r="N635" i="39"/>
  <c r="R635" i="39"/>
  <c r="N636" i="39"/>
  <c r="R636" i="39"/>
  <c r="N637" i="39"/>
  <c r="R637" i="39"/>
  <c r="N638" i="39"/>
  <c r="R638" i="39"/>
  <c r="N639" i="39"/>
  <c r="R639" i="39"/>
  <c r="R640" i="39"/>
  <c r="Q641" i="39"/>
  <c r="Q644" i="39"/>
  <c r="Q645" i="39"/>
  <c r="Q646" i="39"/>
  <c r="Q647" i="39"/>
  <c r="O648" i="39"/>
  <c r="O649" i="39"/>
  <c r="O650" i="39"/>
  <c r="O651" i="39"/>
  <c r="O652" i="39"/>
  <c r="O653" i="39"/>
  <c r="O654" i="39"/>
  <c r="N641" i="39"/>
  <c r="R641" i="39"/>
  <c r="N642" i="39"/>
  <c r="R642" i="39"/>
  <c r="N643" i="39"/>
  <c r="R643" i="39"/>
  <c r="N644" i="39"/>
  <c r="R644" i="39"/>
  <c r="N645" i="39"/>
  <c r="R645" i="39"/>
  <c r="N646" i="39"/>
  <c r="R646" i="39"/>
  <c r="N647" i="39"/>
  <c r="R647" i="39"/>
  <c r="Q642" i="39"/>
  <c r="Q643" i="39"/>
  <c r="O641" i="39"/>
  <c r="O642" i="39"/>
  <c r="O643" i="39"/>
  <c r="O644" i="39"/>
  <c r="O645" i="39"/>
  <c r="O646" i="39"/>
  <c r="O647" i="39"/>
  <c r="Q648" i="39"/>
  <c r="Q649" i="39"/>
  <c r="Q650" i="39"/>
  <c r="Q651" i="39"/>
  <c r="Q652" i="39"/>
  <c r="Q653" i="39"/>
  <c r="Q654" i="39"/>
  <c r="N648" i="39"/>
  <c r="R648" i="39"/>
  <c r="N649" i="39"/>
  <c r="R649" i="39"/>
  <c r="N650" i="39"/>
  <c r="R650" i="39"/>
  <c r="N651" i="39"/>
  <c r="R651" i="39"/>
  <c r="N652" i="39"/>
  <c r="R652" i="39"/>
  <c r="N653" i="39"/>
  <c r="R653" i="39"/>
  <c r="N654" i="39"/>
  <c r="R654" i="39"/>
  <c r="Q261" i="39"/>
  <c r="O262" i="39"/>
  <c r="P263" i="39"/>
  <c r="Q269" i="39"/>
  <c r="O270" i="39"/>
  <c r="O271" i="39"/>
  <c r="O248" i="39"/>
  <c r="Q293" i="39"/>
  <c r="O276" i="39"/>
  <c r="O264" i="39"/>
  <c r="P265" i="39"/>
  <c r="O272" i="39"/>
  <c r="O244" i="39"/>
  <c r="Q347" i="39"/>
  <c r="Q289" i="39"/>
  <c r="O266" i="39"/>
  <c r="P267" i="39"/>
  <c r="O284" i="39"/>
  <c r="O256" i="39"/>
  <c r="Q291" i="39"/>
  <c r="Q287" i="39"/>
  <c r="Q295" i="39"/>
  <c r="O260" i="39"/>
  <c r="O268" i="39"/>
  <c r="O280" i="39"/>
  <c r="O252" i="39"/>
  <c r="Q258" i="39"/>
  <c r="Q259" i="39"/>
  <c r="P245" i="39"/>
  <c r="R245" i="39"/>
  <c r="N245" i="39"/>
  <c r="P249" i="39"/>
  <c r="R249" i="39"/>
  <c r="N249" i="39"/>
  <c r="P253" i="39"/>
  <c r="R253" i="39"/>
  <c r="N253" i="39"/>
  <c r="P257" i="39"/>
  <c r="O257" i="39"/>
  <c r="R257" i="39"/>
  <c r="N257" i="39"/>
  <c r="N240" i="39"/>
  <c r="R240" i="39"/>
  <c r="N241" i="39"/>
  <c r="R241" i="39"/>
  <c r="N258" i="39"/>
  <c r="R258" i="39"/>
  <c r="N259" i="39"/>
  <c r="P260" i="39"/>
  <c r="R261" i="39"/>
  <c r="N261" i="39"/>
  <c r="P262" i="39"/>
  <c r="R263" i="39"/>
  <c r="N263" i="39"/>
  <c r="P264" i="39"/>
  <c r="R265" i="39"/>
  <c r="N265" i="39"/>
  <c r="P266" i="39"/>
  <c r="R267" i="39"/>
  <c r="N267" i="39"/>
  <c r="P268" i="39"/>
  <c r="R269" i="39"/>
  <c r="N269" i="39"/>
  <c r="P270" i="39"/>
  <c r="R271" i="39"/>
  <c r="N271" i="39"/>
  <c r="P274" i="39"/>
  <c r="R274" i="39"/>
  <c r="N274" i="39"/>
  <c r="P278" i="39"/>
  <c r="R278" i="39"/>
  <c r="N278" i="39"/>
  <c r="P282" i="39"/>
  <c r="R282" i="39"/>
  <c r="N282" i="39"/>
  <c r="P242" i="39"/>
  <c r="R242" i="39"/>
  <c r="N242" i="39"/>
  <c r="O245" i="39"/>
  <c r="P246" i="39"/>
  <c r="R246" i="39"/>
  <c r="N246" i="39"/>
  <c r="O249" i="39"/>
  <c r="P250" i="39"/>
  <c r="R250" i="39"/>
  <c r="N250" i="39"/>
  <c r="O253" i="39"/>
  <c r="P254" i="39"/>
  <c r="R254" i="39"/>
  <c r="N254" i="39"/>
  <c r="Q257" i="39"/>
  <c r="Q240" i="39"/>
  <c r="Q241" i="39"/>
  <c r="P273" i="39"/>
  <c r="R273" i="39"/>
  <c r="N273" i="39"/>
  <c r="P277" i="39"/>
  <c r="R277" i="39"/>
  <c r="N277" i="39"/>
  <c r="P281" i="39"/>
  <c r="R281" i="39"/>
  <c r="N281" i="39"/>
  <c r="P285" i="39"/>
  <c r="R285" i="39"/>
  <c r="N285" i="39"/>
  <c r="O240" i="39"/>
  <c r="O241" i="39"/>
  <c r="O258" i="39"/>
  <c r="O259" i="39"/>
  <c r="O261" i="39"/>
  <c r="O263" i="39"/>
  <c r="O265" i="39"/>
  <c r="O267" i="39"/>
  <c r="Q273" i="39"/>
  <c r="P275" i="39"/>
  <c r="R275" i="39"/>
  <c r="N275" i="39"/>
  <c r="Q277" i="39"/>
  <c r="P279" i="39"/>
  <c r="R279" i="39"/>
  <c r="N279" i="39"/>
  <c r="Q281" i="39"/>
  <c r="P283" i="39"/>
  <c r="R283" i="39"/>
  <c r="N283" i="39"/>
  <c r="Q285" i="39"/>
  <c r="P243" i="39"/>
  <c r="R243" i="39"/>
  <c r="N243" i="39"/>
  <c r="Q245" i="39"/>
  <c r="P247" i="39"/>
  <c r="R247" i="39"/>
  <c r="N247" i="39"/>
  <c r="Q249" i="39"/>
  <c r="P251" i="39"/>
  <c r="R251" i="39"/>
  <c r="N251" i="39"/>
  <c r="Q253" i="39"/>
  <c r="P255" i="39"/>
  <c r="R255" i="39"/>
  <c r="N255" i="39"/>
  <c r="P259" i="39"/>
  <c r="R260" i="39"/>
  <c r="N260" i="39"/>
  <c r="R262" i="39"/>
  <c r="N262" i="39"/>
  <c r="R264" i="39"/>
  <c r="N264" i="39"/>
  <c r="R266" i="39"/>
  <c r="N266" i="39"/>
  <c r="R268" i="39"/>
  <c r="N268" i="39"/>
  <c r="P269" i="39"/>
  <c r="R270" i="39"/>
  <c r="N270" i="39"/>
  <c r="P271" i="39"/>
  <c r="P272" i="39"/>
  <c r="R272" i="39"/>
  <c r="N272" i="39"/>
  <c r="Q274" i="39"/>
  <c r="O275" i="39"/>
  <c r="P276" i="39"/>
  <c r="R276" i="39"/>
  <c r="N276" i="39"/>
  <c r="Q278" i="39"/>
  <c r="O279" i="39"/>
  <c r="P280" i="39"/>
  <c r="R280" i="39"/>
  <c r="N280" i="39"/>
  <c r="Q282" i="39"/>
  <c r="O283" i="39"/>
  <c r="P284" i="39"/>
  <c r="R284" i="39"/>
  <c r="N284" i="39"/>
  <c r="Q242" i="39"/>
  <c r="O243" i="39"/>
  <c r="P244" i="39"/>
  <c r="R244" i="39"/>
  <c r="N244" i="39"/>
  <c r="Q246" i="39"/>
  <c r="O247" i="39"/>
  <c r="P248" i="39"/>
  <c r="R248" i="39"/>
  <c r="N248" i="39"/>
  <c r="Q250" i="39"/>
  <c r="O251" i="39"/>
  <c r="P252" i="39"/>
  <c r="R252" i="39"/>
  <c r="N252" i="39"/>
  <c r="Q254" i="39"/>
  <c r="O255" i="39"/>
  <c r="P256" i="39"/>
  <c r="R256" i="39"/>
  <c r="N256" i="39"/>
  <c r="P358" i="39"/>
  <c r="O358" i="39"/>
  <c r="O350" i="39"/>
  <c r="Q350" i="39"/>
  <c r="P362" i="39"/>
  <c r="O362" i="39"/>
  <c r="P288" i="39"/>
  <c r="O288" i="39"/>
  <c r="P294" i="39"/>
  <c r="O294" i="39"/>
  <c r="P296" i="39"/>
  <c r="O296" i="39"/>
  <c r="R296" i="39"/>
  <c r="N296" i="39"/>
  <c r="P298" i="39"/>
  <c r="O298" i="39"/>
  <c r="R298" i="39"/>
  <c r="N298" i="39"/>
  <c r="P300" i="39"/>
  <c r="O300" i="39"/>
  <c r="R300" i="39"/>
  <c r="N300" i="39"/>
  <c r="P302" i="39"/>
  <c r="O302" i="39"/>
  <c r="R302" i="39"/>
  <c r="N302" i="39"/>
  <c r="P305" i="39"/>
  <c r="O305" i="39"/>
  <c r="R305" i="39"/>
  <c r="N305" i="39"/>
  <c r="P306" i="39"/>
  <c r="O306" i="39"/>
  <c r="R306" i="39"/>
  <c r="N306" i="39"/>
  <c r="P309" i="39"/>
  <c r="O309" i="39"/>
  <c r="R309" i="39"/>
  <c r="N309" i="39"/>
  <c r="P311" i="39"/>
  <c r="O311" i="39"/>
  <c r="R311" i="39"/>
  <c r="N311" i="39"/>
  <c r="P314" i="39"/>
  <c r="O314" i="39"/>
  <c r="R314" i="39"/>
  <c r="N314" i="39"/>
  <c r="P357" i="39"/>
  <c r="O357" i="39"/>
  <c r="Q300" i="39"/>
  <c r="Q302" i="39"/>
  <c r="Q305" i="39"/>
  <c r="Q309" i="39"/>
  <c r="Q311" i="39"/>
  <c r="P352" i="39"/>
  <c r="O352" i="39"/>
  <c r="P356" i="39"/>
  <c r="O356" i="39"/>
  <c r="P360" i="39"/>
  <c r="O360" i="39"/>
  <c r="P364" i="39"/>
  <c r="O364" i="39"/>
  <c r="P287" i="39"/>
  <c r="O287" i="39"/>
  <c r="Q288" i="39"/>
  <c r="P289" i="39"/>
  <c r="O289" i="39"/>
  <c r="P291" i="39"/>
  <c r="O291" i="39"/>
  <c r="P293" i="39"/>
  <c r="O293" i="39"/>
  <c r="Q294" i="39"/>
  <c r="P295" i="39"/>
  <c r="O295" i="39"/>
  <c r="P354" i="39"/>
  <c r="O354" i="39"/>
  <c r="P286" i="39"/>
  <c r="O286" i="39"/>
  <c r="P290" i="39"/>
  <c r="O290" i="39"/>
  <c r="P292" i="39"/>
  <c r="O292" i="39"/>
  <c r="P297" i="39"/>
  <c r="O297" i="39"/>
  <c r="R297" i="39"/>
  <c r="N297" i="39"/>
  <c r="P299" i="39"/>
  <c r="O299" i="39"/>
  <c r="R299" i="39"/>
  <c r="N299" i="39"/>
  <c r="P301" i="39"/>
  <c r="O301" i="39"/>
  <c r="R301" i="39"/>
  <c r="N301" i="39"/>
  <c r="P303" i="39"/>
  <c r="O303" i="39"/>
  <c r="R303" i="39"/>
  <c r="N303" i="39"/>
  <c r="P304" i="39"/>
  <c r="O304" i="39"/>
  <c r="R304" i="39"/>
  <c r="N304" i="39"/>
  <c r="P307" i="39"/>
  <c r="O307" i="39"/>
  <c r="R307" i="39"/>
  <c r="N307" i="39"/>
  <c r="P308" i="39"/>
  <c r="O308" i="39"/>
  <c r="R308" i="39"/>
  <c r="N308" i="39"/>
  <c r="P310" i="39"/>
  <c r="O310" i="39"/>
  <c r="R310" i="39"/>
  <c r="N310" i="39"/>
  <c r="P312" i="39"/>
  <c r="O312" i="39"/>
  <c r="R312" i="39"/>
  <c r="N312" i="39"/>
  <c r="P313" i="39"/>
  <c r="O313" i="39"/>
  <c r="R313" i="39"/>
  <c r="N313" i="39"/>
  <c r="P315" i="39"/>
  <c r="O315" i="39"/>
  <c r="R315" i="39"/>
  <c r="N315" i="39"/>
  <c r="P353" i="39"/>
  <c r="O353" i="39"/>
  <c r="P361" i="39"/>
  <c r="O361" i="39"/>
  <c r="N286" i="39"/>
  <c r="N288" i="39"/>
  <c r="N290" i="39"/>
  <c r="N292" i="39"/>
  <c r="N294" i="39"/>
  <c r="Q296" i="39"/>
  <c r="Q298" i="39"/>
  <c r="Q299" i="39"/>
  <c r="Q301" i="39"/>
  <c r="Q303" i="39"/>
  <c r="Q304" i="39"/>
  <c r="Q306" i="39"/>
  <c r="Q308" i="39"/>
  <c r="Q310" i="39"/>
  <c r="Q312" i="39"/>
  <c r="Q314" i="39"/>
  <c r="P355" i="39"/>
  <c r="O355" i="39"/>
  <c r="P359" i="39"/>
  <c r="O359" i="39"/>
  <c r="P363" i="39"/>
  <c r="O363" i="39"/>
  <c r="R286" i="39"/>
  <c r="N287" i="39"/>
  <c r="R288" i="39"/>
  <c r="N289" i="39"/>
  <c r="R290" i="39"/>
  <c r="N291" i="39"/>
  <c r="R292" i="39"/>
  <c r="N293" i="39"/>
  <c r="R294" i="39"/>
  <c r="N295" i="39"/>
  <c r="Q346" i="39"/>
  <c r="P316" i="39"/>
  <c r="N316" i="39"/>
  <c r="O316" i="39"/>
  <c r="R316" i="39"/>
  <c r="P319" i="39"/>
  <c r="N319" i="39"/>
  <c r="O319" i="39"/>
  <c r="R319" i="39"/>
  <c r="P321" i="39"/>
  <c r="N321" i="39"/>
  <c r="O321" i="39"/>
  <c r="R321" i="39"/>
  <c r="P323" i="39"/>
  <c r="N323" i="39"/>
  <c r="O323" i="39"/>
  <c r="R323" i="39"/>
  <c r="P325" i="39"/>
  <c r="R325" i="39"/>
  <c r="N325" i="39"/>
  <c r="O325" i="39"/>
  <c r="P317" i="39"/>
  <c r="N317" i="39"/>
  <c r="O317" i="39"/>
  <c r="R317" i="39"/>
  <c r="P318" i="39"/>
  <c r="N318" i="39"/>
  <c r="O318" i="39"/>
  <c r="R318" i="39"/>
  <c r="P320" i="39"/>
  <c r="N320" i="39"/>
  <c r="O320" i="39"/>
  <c r="R320" i="39"/>
  <c r="P322" i="39"/>
  <c r="N322" i="39"/>
  <c r="O322" i="39"/>
  <c r="R322" i="39"/>
  <c r="P324" i="39"/>
  <c r="N324" i="39"/>
  <c r="O324" i="39"/>
  <c r="R324" i="39"/>
  <c r="P326" i="39"/>
  <c r="R326" i="39"/>
  <c r="N326" i="39"/>
  <c r="Q326" i="39"/>
  <c r="O326" i="39"/>
  <c r="Q316" i="39"/>
  <c r="Q317" i="39"/>
  <c r="Q318" i="39"/>
  <c r="Q319" i="39"/>
  <c r="Q320" i="39"/>
  <c r="Q321" i="39"/>
  <c r="Q322" i="39"/>
  <c r="Q323" i="39"/>
  <c r="Q324" i="39"/>
  <c r="Q325" i="39"/>
  <c r="Q327" i="39"/>
  <c r="Q329" i="39"/>
  <c r="Q332" i="39"/>
  <c r="Q333" i="39"/>
  <c r="Q334" i="39"/>
  <c r="Q335" i="39"/>
  <c r="Q336" i="39"/>
  <c r="Q337" i="39"/>
  <c r="Q338" i="39"/>
  <c r="Q339" i="39"/>
  <c r="Q340" i="39"/>
  <c r="Q341" i="39"/>
  <c r="Q342" i="39"/>
  <c r="Q343" i="39"/>
  <c r="Q344" i="39"/>
  <c r="Q345" i="39"/>
  <c r="N327" i="39"/>
  <c r="N345" i="39"/>
  <c r="O327" i="39"/>
  <c r="O328" i="39"/>
  <c r="O329" i="39"/>
  <c r="O330" i="39"/>
  <c r="O331" i="39"/>
  <c r="O332" i="39"/>
  <c r="O333" i="39"/>
  <c r="O334" i="39"/>
  <c r="O335" i="39"/>
  <c r="O336" i="39"/>
  <c r="O337" i="39"/>
  <c r="O338" i="39"/>
  <c r="O339" i="39"/>
  <c r="O340" i="39"/>
  <c r="O341" i="39"/>
  <c r="O342" i="39"/>
  <c r="O343" i="39"/>
  <c r="O344" i="39"/>
  <c r="O345" i="39"/>
  <c r="Q328" i="39"/>
  <c r="Q330" i="39"/>
  <c r="Q331" i="39"/>
  <c r="R327" i="39"/>
  <c r="N328" i="39"/>
  <c r="R328" i="39"/>
  <c r="N329" i="39"/>
  <c r="R329" i="39"/>
  <c r="N330" i="39"/>
  <c r="R330" i="39"/>
  <c r="N331" i="39"/>
  <c r="R331" i="39"/>
  <c r="N332" i="39"/>
  <c r="R332" i="39"/>
  <c r="N333" i="39"/>
  <c r="R333" i="39"/>
  <c r="N334" i="39"/>
  <c r="R334" i="39"/>
  <c r="N335" i="39"/>
  <c r="R335" i="39"/>
  <c r="N336" i="39"/>
  <c r="R336" i="39"/>
  <c r="N337" i="39"/>
  <c r="R337" i="39"/>
  <c r="N338" i="39"/>
  <c r="R338" i="39"/>
  <c r="N339" i="39"/>
  <c r="R339" i="39"/>
  <c r="N340" i="39"/>
  <c r="R340" i="39"/>
  <c r="N341" i="39"/>
  <c r="R341" i="39"/>
  <c r="N342" i="39"/>
  <c r="R342" i="39"/>
  <c r="N343" i="39"/>
  <c r="R343" i="39"/>
  <c r="N344" i="39"/>
  <c r="R344" i="39"/>
  <c r="R345" i="39"/>
  <c r="P348" i="39"/>
  <c r="R348" i="39"/>
  <c r="N348" i="39"/>
  <c r="O348" i="39"/>
  <c r="P349" i="39"/>
  <c r="R349" i="39"/>
  <c r="N349" i="39"/>
  <c r="P346" i="39"/>
  <c r="R346" i="39"/>
  <c r="N346" i="39"/>
  <c r="Q348" i="39"/>
  <c r="O349" i="39"/>
  <c r="P350" i="39"/>
  <c r="R350" i="39"/>
  <c r="N350" i="39"/>
  <c r="P347" i="39"/>
  <c r="R347" i="39"/>
  <c r="N347" i="39"/>
  <c r="Q349" i="39"/>
  <c r="P351" i="39"/>
  <c r="R351" i="39"/>
  <c r="N351" i="39"/>
  <c r="Q351" i="39"/>
  <c r="Q352" i="39"/>
  <c r="Q353" i="39"/>
  <c r="Q354" i="39"/>
  <c r="Q355" i="39"/>
  <c r="Q356" i="39"/>
  <c r="Q357" i="39"/>
  <c r="Q358" i="39"/>
  <c r="Q359" i="39"/>
  <c r="Q360" i="39"/>
  <c r="Q361" i="39"/>
  <c r="Q362" i="39"/>
  <c r="Q363" i="39"/>
  <c r="Q364" i="39"/>
  <c r="Q365" i="39"/>
  <c r="Q366" i="39"/>
  <c r="Q367" i="39"/>
  <c r="Q368" i="39"/>
  <c r="Q369" i="39"/>
  <c r="Q370" i="39"/>
  <c r="Q371" i="39"/>
  <c r="Q372" i="39"/>
  <c r="Q373" i="39"/>
  <c r="Q374" i="39"/>
  <c r="Q375" i="39"/>
  <c r="N352" i="39"/>
  <c r="R352" i="39"/>
  <c r="N353" i="39"/>
  <c r="R353" i="39"/>
  <c r="N354" i="39"/>
  <c r="R354" i="39"/>
  <c r="N355" i="39"/>
  <c r="R355" i="39"/>
  <c r="N356" i="39"/>
  <c r="R356" i="39"/>
  <c r="N357" i="39"/>
  <c r="R357" i="39"/>
  <c r="N358" i="39"/>
  <c r="R358" i="39"/>
  <c r="N359" i="39"/>
  <c r="R359" i="39"/>
  <c r="N360" i="39"/>
  <c r="R360" i="39"/>
  <c r="N361" i="39"/>
  <c r="R361" i="39"/>
  <c r="N362" i="39"/>
  <c r="R362" i="39"/>
  <c r="N363" i="39"/>
  <c r="R363" i="39"/>
  <c r="N364" i="39"/>
  <c r="R364" i="39"/>
  <c r="N365" i="39"/>
  <c r="R365" i="39"/>
  <c r="N366" i="39"/>
  <c r="R366" i="39"/>
  <c r="N367" i="39"/>
  <c r="R367" i="39"/>
  <c r="N368" i="39"/>
  <c r="R368" i="39"/>
  <c r="N369" i="39"/>
  <c r="R369" i="39"/>
  <c r="N370" i="39"/>
  <c r="R370" i="39"/>
  <c r="N371" i="39"/>
  <c r="R371" i="39"/>
  <c r="N372" i="39"/>
  <c r="R372" i="39"/>
  <c r="N373" i="39"/>
  <c r="R373" i="39"/>
  <c r="N374" i="39"/>
  <c r="R374" i="39"/>
  <c r="N375" i="39"/>
  <c r="R375" i="39"/>
  <c r="O365" i="39"/>
  <c r="O366" i="39"/>
  <c r="O367" i="39"/>
  <c r="O368" i="39"/>
  <c r="O369" i="39"/>
  <c r="O370" i="39"/>
  <c r="O371" i="39"/>
  <c r="O372" i="39"/>
  <c r="O373" i="39"/>
  <c r="O374" i="39"/>
  <c r="O375" i="39"/>
  <c r="Q376" i="39"/>
  <c r="Q377" i="39"/>
  <c r="Q379" i="39"/>
  <c r="Q381" i="39"/>
  <c r="Q383" i="39"/>
  <c r="Q385" i="39"/>
  <c r="Q387" i="39"/>
  <c r="R376" i="39"/>
  <c r="R377" i="39"/>
  <c r="R378" i="39"/>
  <c r="R379" i="39"/>
  <c r="R380" i="39"/>
  <c r="N381" i="39"/>
  <c r="N382" i="39"/>
  <c r="R383" i="39"/>
  <c r="R384" i="39"/>
  <c r="R385" i="39"/>
  <c r="R386" i="39"/>
  <c r="R387" i="39"/>
  <c r="R388" i="39"/>
  <c r="R389" i="39"/>
  <c r="N390" i="39"/>
  <c r="O376" i="39"/>
  <c r="O377" i="39"/>
  <c r="O378" i="39"/>
  <c r="O379" i="39"/>
  <c r="O380" i="39"/>
  <c r="O381" i="39"/>
  <c r="O382" i="39"/>
  <c r="O383" i="39"/>
  <c r="O384" i="39"/>
  <c r="O385" i="39"/>
  <c r="O386" i="39"/>
  <c r="O387" i="39"/>
  <c r="O388" i="39"/>
  <c r="O389" i="39"/>
  <c r="O390" i="39"/>
  <c r="Q378" i="39"/>
  <c r="Q380" i="39"/>
  <c r="Q382" i="39"/>
  <c r="Q384" i="39"/>
  <c r="Q386" i="39"/>
  <c r="Q388" i="39"/>
  <c r="Q389" i="39"/>
  <c r="Q390" i="39"/>
  <c r="N376" i="39"/>
  <c r="N377" i="39"/>
  <c r="N378" i="39"/>
  <c r="N379" i="39"/>
  <c r="N380" i="39"/>
  <c r="R381" i="39"/>
  <c r="R382" i="39"/>
  <c r="N383" i="39"/>
  <c r="N384" i="39"/>
  <c r="N385" i="39"/>
  <c r="N386" i="39"/>
  <c r="N387" i="39"/>
  <c r="N388" i="39"/>
  <c r="N389" i="39"/>
  <c r="R390" i="39"/>
  <c r="Q391" i="39"/>
  <c r="Q392" i="39"/>
  <c r="Q393" i="39"/>
  <c r="Q394" i="39"/>
  <c r="Q395" i="39"/>
  <c r="Q396" i="39"/>
  <c r="Q397" i="39"/>
  <c r="Q398" i="39"/>
  <c r="Q399" i="39"/>
  <c r="N391" i="39"/>
  <c r="R391" i="39"/>
  <c r="N392" i="39"/>
  <c r="R392" i="39"/>
  <c r="N393" i="39"/>
  <c r="R393" i="39"/>
  <c r="N394" i="39"/>
  <c r="R394" i="39"/>
  <c r="N395" i="39"/>
  <c r="R395" i="39"/>
  <c r="N396" i="39"/>
  <c r="R396" i="39"/>
  <c r="N397" i="39"/>
  <c r="R397" i="39"/>
  <c r="N398" i="39"/>
  <c r="R398" i="39"/>
  <c r="N399" i="39"/>
  <c r="R399" i="39"/>
  <c r="O391" i="39"/>
  <c r="O392" i="39"/>
  <c r="O393" i="39"/>
  <c r="O394" i="39"/>
  <c r="O395" i="39"/>
  <c r="O396" i="39"/>
  <c r="O397" i="39"/>
  <c r="O398" i="39"/>
  <c r="O399" i="39"/>
  <c r="Q169" i="39"/>
  <c r="Q157" i="39"/>
  <c r="Q159" i="39"/>
  <c r="Q161" i="39"/>
  <c r="Q163" i="39"/>
  <c r="Q166" i="39"/>
  <c r="Q168" i="39"/>
  <c r="Q179" i="39"/>
  <c r="Q180" i="39"/>
  <c r="N155" i="39"/>
  <c r="R155" i="39"/>
  <c r="N156" i="39"/>
  <c r="R156" i="39"/>
  <c r="N157" i="39"/>
  <c r="R157" i="39"/>
  <c r="N158" i="39"/>
  <c r="R158" i="39"/>
  <c r="N159" i="39"/>
  <c r="R159" i="39"/>
  <c r="N160" i="39"/>
  <c r="R160" i="39"/>
  <c r="N161" i="39"/>
  <c r="R161" i="39"/>
  <c r="N162" i="39"/>
  <c r="R162" i="39"/>
  <c r="N163" i="39"/>
  <c r="R163" i="39"/>
  <c r="N164" i="39"/>
  <c r="R164" i="39"/>
  <c r="N165" i="39"/>
  <c r="R165" i="39"/>
  <c r="N166" i="39"/>
  <c r="R166" i="39"/>
  <c r="N167" i="39"/>
  <c r="R167" i="39"/>
  <c r="N168" i="39"/>
  <c r="R168" i="39"/>
  <c r="N169" i="39"/>
  <c r="R169" i="39"/>
  <c r="Q155" i="39"/>
  <c r="Q156" i="39"/>
  <c r="Q158" i="39"/>
  <c r="Q160" i="39"/>
  <c r="Q162" i="39"/>
  <c r="Q164" i="39"/>
  <c r="Q165" i="39"/>
  <c r="Q167" i="39"/>
  <c r="O155" i="39"/>
  <c r="O156" i="39"/>
  <c r="O157" i="39"/>
  <c r="O158" i="39"/>
  <c r="O159" i="39"/>
  <c r="O160" i="39"/>
  <c r="O161" i="39"/>
  <c r="O162" i="39"/>
  <c r="O163" i="39"/>
  <c r="O164" i="39"/>
  <c r="O165" i="39"/>
  <c r="O166" i="39"/>
  <c r="O167" i="39"/>
  <c r="O168" i="39"/>
  <c r="O169" i="39"/>
  <c r="Q172" i="39"/>
  <c r="Q174" i="39"/>
  <c r="Q175" i="39"/>
  <c r="Q176" i="39"/>
  <c r="Q177" i="39"/>
  <c r="Q178" i="39"/>
  <c r="Q181" i="39"/>
  <c r="Q182" i="39"/>
  <c r="Q183" i="39"/>
  <c r="Q184" i="39"/>
  <c r="N170" i="39"/>
  <c r="R170" i="39"/>
  <c r="N171" i="39"/>
  <c r="R171" i="39"/>
  <c r="N172" i="39"/>
  <c r="R172" i="39"/>
  <c r="N173" i="39"/>
  <c r="R173" i="39"/>
  <c r="N174" i="39"/>
  <c r="R174" i="39"/>
  <c r="N175" i="39"/>
  <c r="R175" i="39"/>
  <c r="N176" i="39"/>
  <c r="R176" i="39"/>
  <c r="N177" i="39"/>
  <c r="R177" i="39"/>
  <c r="N178" i="39"/>
  <c r="R178" i="39"/>
  <c r="N179" i="39"/>
  <c r="R179" i="39"/>
  <c r="N180" i="39"/>
  <c r="R180" i="39"/>
  <c r="N181" i="39"/>
  <c r="R181" i="39"/>
  <c r="N182" i="39"/>
  <c r="R182" i="39"/>
  <c r="N183" i="39"/>
  <c r="R183" i="39"/>
  <c r="N184" i="39"/>
  <c r="R184" i="39"/>
  <c r="Q170" i="39"/>
  <c r="O170" i="39"/>
  <c r="O171" i="39"/>
  <c r="O172" i="39"/>
  <c r="O173" i="39"/>
  <c r="O174" i="39"/>
  <c r="O175" i="39"/>
  <c r="O176" i="39"/>
  <c r="O177" i="39"/>
  <c r="O178" i="39"/>
  <c r="O179" i="39"/>
  <c r="O180" i="39"/>
  <c r="O181" i="39"/>
  <c r="O182" i="39"/>
  <c r="O183" i="39"/>
  <c r="O184" i="39"/>
  <c r="Q171" i="39"/>
  <c r="Q173" i="39"/>
  <c r="Q186" i="39"/>
  <c r="Q188" i="39"/>
  <c r="Q190" i="39"/>
  <c r="Q194" i="39"/>
  <c r="Q195" i="39"/>
  <c r="N185" i="39"/>
  <c r="N186" i="39"/>
  <c r="N187" i="39"/>
  <c r="N188" i="39"/>
  <c r="N189" i="39"/>
  <c r="R189" i="39"/>
  <c r="N190" i="39"/>
  <c r="N191" i="39"/>
  <c r="R191" i="39"/>
  <c r="N192" i="39"/>
  <c r="R192" i="39"/>
  <c r="N193" i="39"/>
  <c r="R193" i="39"/>
  <c r="N194" i="39"/>
  <c r="R194" i="39"/>
  <c r="N195" i="39"/>
  <c r="R195" i="39"/>
  <c r="N196" i="39"/>
  <c r="R196" i="39"/>
  <c r="N197" i="39"/>
  <c r="R197" i="39"/>
  <c r="N198" i="39"/>
  <c r="R198" i="39"/>
  <c r="R199" i="39"/>
  <c r="O185" i="39"/>
  <c r="O186" i="39"/>
  <c r="O187" i="39"/>
  <c r="O188" i="39"/>
  <c r="O189" i="39"/>
  <c r="O190" i="39"/>
  <c r="O191" i="39"/>
  <c r="O192" i="39"/>
  <c r="O193" i="39"/>
  <c r="O194" i="39"/>
  <c r="O195" i="39"/>
  <c r="O196" i="39"/>
  <c r="O197" i="39"/>
  <c r="O198" i="39"/>
  <c r="O199" i="39"/>
  <c r="Q185" i="39"/>
  <c r="Q187" i="39"/>
  <c r="Q189" i="39"/>
  <c r="Q191" i="39"/>
  <c r="Q192" i="39"/>
  <c r="Q193" i="39"/>
  <c r="Q196" i="39"/>
  <c r="Q197" i="39"/>
  <c r="Q198" i="39"/>
  <c r="Q199" i="39"/>
  <c r="R185" i="39"/>
  <c r="R186" i="39"/>
  <c r="R187" i="39"/>
  <c r="R188" i="39"/>
  <c r="R190" i="39"/>
  <c r="N199" i="39"/>
  <c r="Q200" i="39"/>
  <c r="Q202" i="39"/>
  <c r="Q204" i="39"/>
  <c r="Q207" i="39"/>
  <c r="Q208" i="39"/>
  <c r="Q209" i="39"/>
  <c r="Q210" i="39"/>
  <c r="Q211" i="39"/>
  <c r="Q212" i="39"/>
  <c r="Q213" i="39"/>
  <c r="Q214" i="39"/>
  <c r="O215" i="39"/>
  <c r="O217" i="39"/>
  <c r="O218" i="39"/>
  <c r="O220" i="39"/>
  <c r="O222" i="39"/>
  <c r="O224" i="39"/>
  <c r="O226" i="39"/>
  <c r="O229" i="39"/>
  <c r="R200" i="39"/>
  <c r="R201" i="39"/>
  <c r="R202" i="39"/>
  <c r="R203" i="39"/>
  <c r="R204" i="39"/>
  <c r="R205" i="39"/>
  <c r="R206" i="39"/>
  <c r="R208" i="39"/>
  <c r="N214" i="39"/>
  <c r="O200" i="39"/>
  <c r="O201" i="39"/>
  <c r="O202" i="39"/>
  <c r="O203" i="39"/>
  <c r="O204" i="39"/>
  <c r="O205" i="39"/>
  <c r="O206" i="39"/>
  <c r="O207" i="39"/>
  <c r="O208" i="39"/>
  <c r="O209" i="39"/>
  <c r="O210" i="39"/>
  <c r="O211" i="39"/>
  <c r="O212" i="39"/>
  <c r="O213" i="39"/>
  <c r="O214" i="39"/>
  <c r="Q201" i="39"/>
  <c r="Q203" i="39"/>
  <c r="Q205" i="39"/>
  <c r="Q206" i="39"/>
  <c r="O216" i="39"/>
  <c r="O219" i="39"/>
  <c r="O221" i="39"/>
  <c r="O223" i="39"/>
  <c r="O225" i="39"/>
  <c r="O227" i="39"/>
  <c r="O228" i="39"/>
  <c r="N200" i="39"/>
  <c r="N201" i="39"/>
  <c r="N202" i="39"/>
  <c r="N203" i="39"/>
  <c r="N204" i="39"/>
  <c r="N205" i="39"/>
  <c r="N206" i="39"/>
  <c r="N207" i="39"/>
  <c r="R207" i="39"/>
  <c r="N208" i="39"/>
  <c r="N209" i="39"/>
  <c r="R209" i="39"/>
  <c r="N210" i="39"/>
  <c r="R210" i="39"/>
  <c r="N211" i="39"/>
  <c r="R211" i="39"/>
  <c r="N212" i="39"/>
  <c r="R212" i="39"/>
  <c r="N213" i="39"/>
  <c r="R213" i="39"/>
  <c r="R214" i="39"/>
  <c r="Q215" i="39"/>
  <c r="Q216" i="39"/>
  <c r="Q217" i="39"/>
  <c r="Q218" i="39"/>
  <c r="Q219" i="39"/>
  <c r="Q220" i="39"/>
  <c r="Q221" i="39"/>
  <c r="Q222" i="39"/>
  <c r="Q223" i="39"/>
  <c r="Q224" i="39"/>
  <c r="Q225" i="39"/>
  <c r="Q226" i="39"/>
  <c r="Q227" i="39"/>
  <c r="Q228" i="39"/>
  <c r="Q229" i="39"/>
  <c r="N215" i="39"/>
  <c r="R215" i="39"/>
  <c r="N216" i="39"/>
  <c r="R216" i="39"/>
  <c r="N217" i="39"/>
  <c r="R217" i="39"/>
  <c r="N218" i="39"/>
  <c r="R218" i="39"/>
  <c r="N219" i="39"/>
  <c r="R219" i="39"/>
  <c r="N220" i="39"/>
  <c r="R220" i="39"/>
  <c r="N221" i="39"/>
  <c r="R221" i="39"/>
  <c r="N222" i="39"/>
  <c r="R222" i="39"/>
  <c r="N223" i="39"/>
  <c r="R223" i="39"/>
  <c r="N224" i="39"/>
  <c r="R224" i="39"/>
  <c r="N225" i="39"/>
  <c r="R225" i="39"/>
  <c r="N226" i="39"/>
  <c r="R226" i="39"/>
  <c r="N227" i="39"/>
  <c r="R227" i="39"/>
  <c r="N228" i="39"/>
  <c r="R228" i="39"/>
  <c r="N229" i="39"/>
  <c r="R229" i="39"/>
  <c r="R48" i="39"/>
  <c r="N51" i="39"/>
  <c r="Q44" i="39"/>
  <c r="L6" i="39"/>
  <c r="L7" i="39" s="1"/>
  <c r="L8" i="39" s="1"/>
  <c r="L9" i="39" s="1"/>
  <c r="L10" i="39" s="1"/>
  <c r="L11" i="39" s="1"/>
  <c r="L12" i="39" s="1"/>
  <c r="L13" i="39" s="1"/>
  <c r="L14" i="39" s="1"/>
  <c r="L15" i="39" s="1"/>
  <c r="L16" i="39" s="1"/>
  <c r="L17" i="39" s="1"/>
  <c r="L18" i="39" s="1"/>
  <c r="L19" i="39" s="1"/>
  <c r="L20" i="39" s="1"/>
  <c r="L21" i="39" s="1"/>
  <c r="L22" i="39" s="1"/>
  <c r="L23" i="39" s="1"/>
  <c r="L24" i="39" s="1"/>
  <c r="L25" i="39" s="1"/>
  <c r="L26" i="39" s="1"/>
  <c r="L27" i="39" s="1"/>
  <c r="L28" i="39" s="1"/>
  <c r="L29" i="39" s="1"/>
  <c r="L30" i="39" s="1"/>
  <c r="L31" i="39" s="1"/>
  <c r="L32" i="39" s="1"/>
  <c r="L33" i="39" s="1"/>
  <c r="L34" i="39" s="1"/>
  <c r="L35" i="39" s="1"/>
  <c r="L36" i="39" s="1"/>
  <c r="L37" i="39" s="1"/>
  <c r="L38" i="39" s="1"/>
  <c r="L39" i="39" s="1"/>
  <c r="L40" i="39" s="1"/>
  <c r="L41" i="39" s="1"/>
  <c r="L42" i="39" s="1"/>
  <c r="L43" i="39" s="1"/>
  <c r="L44" i="39" s="1"/>
  <c r="L45" i="39" s="1"/>
  <c r="L46" i="39" s="1"/>
  <c r="L47" i="39" s="1"/>
  <c r="L48" i="39" s="1"/>
  <c r="L49" i="39" s="1"/>
  <c r="L50" i="39" s="1"/>
  <c r="L51" i="39" s="1"/>
  <c r="L52" i="39" s="1"/>
  <c r="L53" i="39" s="1"/>
  <c r="L54" i="39" s="1"/>
  <c r="L55" i="39" s="1"/>
  <c r="L56" i="39" s="1"/>
  <c r="L57" i="39" s="1"/>
  <c r="L58" i="39" s="1"/>
  <c r="L59" i="39" s="1"/>
  <c r="L60" i="39" s="1"/>
  <c r="L61" i="39" s="1"/>
  <c r="L62" i="39" s="1"/>
  <c r="L63" i="39" s="1"/>
  <c r="L64" i="39" s="1"/>
  <c r="L65" i="39" s="1"/>
  <c r="L66" i="39" s="1"/>
  <c r="L67" i="39" s="1"/>
  <c r="L68" i="39" s="1"/>
  <c r="L69" i="39" s="1"/>
  <c r="L70" i="39" s="1"/>
  <c r="L71" i="39" s="1"/>
  <c r="L72" i="39" s="1"/>
  <c r="L73" i="39" s="1"/>
  <c r="L74" i="39" s="1"/>
  <c r="L75" i="39" s="1"/>
  <c r="L76" i="39" s="1"/>
  <c r="L77" i="39" s="1"/>
  <c r="L78" i="39" s="1"/>
  <c r="L79" i="39" s="1"/>
  <c r="L80" i="39" s="1"/>
  <c r="L81" i="39" s="1"/>
  <c r="L82" i="39" s="1"/>
  <c r="L83" i="39" s="1"/>
  <c r="L84" i="39" s="1"/>
  <c r="L85" i="39" s="1"/>
  <c r="L86" i="39" s="1"/>
  <c r="L87" i="39" s="1"/>
  <c r="L88" i="39" s="1"/>
  <c r="L89" i="39" s="1"/>
  <c r="L90" i="39" s="1"/>
  <c r="L91" i="39" s="1"/>
  <c r="L92" i="39" s="1"/>
  <c r="L93" i="39" s="1"/>
  <c r="L94" i="39" s="1"/>
  <c r="L95" i="39" s="1"/>
  <c r="L96" i="39" s="1"/>
  <c r="L97" i="39" s="1"/>
  <c r="L98" i="39" s="1"/>
  <c r="L99" i="39" s="1"/>
  <c r="L100" i="39" s="1"/>
  <c r="L101" i="39" s="1"/>
  <c r="L102" i="39" s="1"/>
  <c r="L103" i="39" s="1"/>
  <c r="L104" i="39" s="1"/>
  <c r="L105" i="39" s="1"/>
  <c r="L106" i="39" s="1"/>
  <c r="L107" i="39" s="1"/>
  <c r="L108" i="39" s="1"/>
  <c r="L109" i="39" s="1"/>
  <c r="L110" i="39" s="1"/>
  <c r="L111" i="39" s="1"/>
  <c r="L112" i="39" s="1"/>
  <c r="L113" i="39" s="1"/>
  <c r="L114" i="39" s="1"/>
  <c r="L115" i="39" s="1"/>
  <c r="L116" i="39" s="1"/>
  <c r="L117" i="39" s="1"/>
  <c r="L118" i="39" s="1"/>
  <c r="L119" i="39" s="1"/>
  <c r="L120" i="39" s="1"/>
  <c r="L121" i="39" s="1"/>
  <c r="L122" i="39" s="1"/>
  <c r="L123" i="39" s="1"/>
  <c r="L124" i="39" s="1"/>
  <c r="L125" i="39" s="1"/>
  <c r="L126" i="39" s="1"/>
  <c r="L127" i="39" s="1"/>
  <c r="L128" i="39" s="1"/>
  <c r="L129" i="39" s="1"/>
  <c r="L130" i="39" s="1"/>
  <c r="L131" i="39" s="1"/>
  <c r="L132" i="39" s="1"/>
  <c r="L133" i="39" s="1"/>
  <c r="L134" i="39" s="1"/>
  <c r="L135" i="39" s="1"/>
  <c r="L136" i="39" s="1"/>
  <c r="L137" i="39" s="1"/>
  <c r="L138" i="39" s="1"/>
  <c r="L139" i="39" s="1"/>
  <c r="L140" i="39" s="1"/>
  <c r="L141" i="39" s="1"/>
  <c r="L142" i="39" s="1"/>
  <c r="L143" i="39" s="1"/>
  <c r="L144" i="39" s="1"/>
  <c r="L145" i="39" s="1"/>
  <c r="L146" i="39" s="1"/>
  <c r="L147" i="39" s="1"/>
  <c r="L148" i="39" s="1"/>
  <c r="L149" i="39" s="1"/>
  <c r="L150" i="39" s="1"/>
  <c r="L151" i="39" s="1"/>
  <c r="L152" i="39" s="1"/>
  <c r="L153" i="39" s="1"/>
  <c r="L154" i="39" s="1"/>
  <c r="L155" i="39" s="1"/>
  <c r="L156" i="39" s="1"/>
  <c r="L157" i="39" s="1"/>
  <c r="L158" i="39" s="1"/>
  <c r="L159" i="39" s="1"/>
  <c r="L160" i="39" s="1"/>
  <c r="L161" i="39" s="1"/>
  <c r="L162" i="39" s="1"/>
  <c r="L163" i="39" s="1"/>
  <c r="L164" i="39" s="1"/>
  <c r="L165" i="39" s="1"/>
  <c r="L166" i="39" s="1"/>
  <c r="L167" i="39" s="1"/>
  <c r="L168" i="39" s="1"/>
  <c r="L169" i="39" s="1"/>
  <c r="L170" i="39" s="1"/>
  <c r="L171" i="39" s="1"/>
  <c r="L172" i="39" s="1"/>
  <c r="L173" i="39" s="1"/>
  <c r="L174" i="39" s="1"/>
  <c r="L175" i="39" s="1"/>
  <c r="L176" i="39" s="1"/>
  <c r="L177" i="39" s="1"/>
  <c r="L178" i="39" s="1"/>
  <c r="L179" i="39" s="1"/>
  <c r="L180" i="39" s="1"/>
  <c r="L181" i="39" s="1"/>
  <c r="L182" i="39" s="1"/>
  <c r="L183" i="39" s="1"/>
  <c r="L184" i="39" s="1"/>
  <c r="L185" i="39" s="1"/>
  <c r="L186" i="39" s="1"/>
  <c r="L187" i="39" s="1"/>
  <c r="L188" i="39" s="1"/>
  <c r="L189" i="39" s="1"/>
  <c r="L190" i="39" s="1"/>
  <c r="L191" i="39" s="1"/>
  <c r="L192" i="39" s="1"/>
  <c r="L193" i="39" s="1"/>
  <c r="L194" i="39" s="1"/>
  <c r="L195" i="39" s="1"/>
  <c r="L196" i="39" s="1"/>
  <c r="L197" i="39" s="1"/>
  <c r="L198" i="39" s="1"/>
  <c r="L199" i="39" s="1"/>
  <c r="L200" i="39" s="1"/>
  <c r="L201" i="39" s="1"/>
  <c r="L202" i="39" s="1"/>
  <c r="L203" i="39" s="1"/>
  <c r="L204" i="39" s="1"/>
  <c r="L205" i="39" s="1"/>
  <c r="L206" i="39" s="1"/>
  <c r="L207" i="39" s="1"/>
  <c r="L208" i="39" s="1"/>
  <c r="L209" i="39" s="1"/>
  <c r="L210" i="39" s="1"/>
  <c r="L211" i="39" s="1"/>
  <c r="L212" i="39" s="1"/>
  <c r="L213" i="39" s="1"/>
  <c r="L214" i="39" s="1"/>
  <c r="L215" i="39" s="1"/>
  <c r="L216" i="39" s="1"/>
  <c r="L217" i="39" s="1"/>
  <c r="L218" i="39" s="1"/>
  <c r="L219" i="39" s="1"/>
  <c r="L220" i="39" s="1"/>
  <c r="L221" i="39" s="1"/>
  <c r="L222" i="39" s="1"/>
  <c r="L223" i="39" s="1"/>
  <c r="L224" i="39" s="1"/>
  <c r="L225" i="39" s="1"/>
  <c r="L226" i="39" s="1"/>
  <c r="L227" i="39" s="1"/>
  <c r="L228" i="39" s="1"/>
  <c r="L229" i="39" s="1"/>
  <c r="L230" i="39" s="1"/>
  <c r="L231" i="39" s="1"/>
  <c r="L232" i="39" s="1"/>
  <c r="L233" i="39" s="1"/>
  <c r="L234" i="39" s="1"/>
  <c r="L235" i="39" s="1"/>
  <c r="L236" i="39" s="1"/>
  <c r="L237" i="39" s="1"/>
  <c r="L238" i="39" s="1"/>
  <c r="L239" i="39" s="1"/>
  <c r="L240" i="39" s="1"/>
  <c r="L241" i="39" s="1"/>
  <c r="L242" i="39" s="1"/>
  <c r="L243" i="39" s="1"/>
  <c r="L244" i="39" s="1"/>
  <c r="L245" i="39" s="1"/>
  <c r="L246" i="39" s="1"/>
  <c r="L247" i="39" s="1"/>
  <c r="L248" i="39" s="1"/>
  <c r="L249" i="39" s="1"/>
  <c r="L250" i="39" s="1"/>
  <c r="L251" i="39" s="1"/>
  <c r="L252" i="39" s="1"/>
  <c r="L253" i="39" s="1"/>
  <c r="L254" i="39" s="1"/>
  <c r="L255" i="39" s="1"/>
  <c r="L256" i="39" s="1"/>
  <c r="L257" i="39" s="1"/>
  <c r="L258" i="39" s="1"/>
  <c r="L259" i="39" s="1"/>
  <c r="L260" i="39" s="1"/>
  <c r="L261" i="39" s="1"/>
  <c r="L262" i="39" s="1"/>
  <c r="L263" i="39" s="1"/>
  <c r="L264" i="39" s="1"/>
  <c r="L265" i="39" s="1"/>
  <c r="L266" i="39" s="1"/>
  <c r="L267" i="39" s="1"/>
  <c r="L268" i="39" s="1"/>
  <c r="L269" i="39" s="1"/>
  <c r="L270" i="39" s="1"/>
  <c r="L271" i="39" s="1"/>
  <c r="L272" i="39" s="1"/>
  <c r="L273" i="39" s="1"/>
  <c r="L274" i="39" s="1"/>
  <c r="L275" i="39" s="1"/>
  <c r="L276" i="39" s="1"/>
  <c r="L277" i="39" s="1"/>
  <c r="L278" i="39" s="1"/>
  <c r="L279" i="39" s="1"/>
  <c r="L280" i="39" s="1"/>
  <c r="L281" i="39" s="1"/>
  <c r="L282" i="39" s="1"/>
  <c r="L283" i="39" s="1"/>
  <c r="L284" i="39" s="1"/>
  <c r="L285" i="39" s="1"/>
  <c r="L286" i="39" s="1"/>
  <c r="L287" i="39" s="1"/>
  <c r="L288" i="39" s="1"/>
  <c r="L289" i="39" s="1"/>
  <c r="L290" i="39" s="1"/>
  <c r="L291" i="39" s="1"/>
  <c r="L292" i="39" s="1"/>
  <c r="L293" i="39" s="1"/>
  <c r="L294" i="39" s="1"/>
  <c r="L295" i="39" s="1"/>
  <c r="L296" i="39" s="1"/>
  <c r="L297" i="39" s="1"/>
  <c r="L298" i="39" s="1"/>
  <c r="L299" i="39" s="1"/>
  <c r="L300" i="39" s="1"/>
  <c r="L301" i="39" s="1"/>
  <c r="L302" i="39" s="1"/>
  <c r="L303" i="39" s="1"/>
  <c r="L304" i="39" s="1"/>
  <c r="L305" i="39" s="1"/>
  <c r="L306" i="39" s="1"/>
  <c r="L307" i="39" s="1"/>
  <c r="L308" i="39" s="1"/>
  <c r="L309" i="39" s="1"/>
  <c r="L310" i="39" s="1"/>
  <c r="L311" i="39" s="1"/>
  <c r="L312" i="39" s="1"/>
  <c r="L313" i="39" s="1"/>
  <c r="L314" i="39" s="1"/>
  <c r="L315" i="39" s="1"/>
  <c r="L316" i="39" s="1"/>
  <c r="L317" i="39" s="1"/>
  <c r="L318" i="39" s="1"/>
  <c r="L319" i="39" s="1"/>
  <c r="L320" i="39" s="1"/>
  <c r="L321" i="39" s="1"/>
  <c r="L322" i="39" s="1"/>
  <c r="L323" i="39" s="1"/>
  <c r="L324" i="39" s="1"/>
  <c r="L325" i="39" s="1"/>
  <c r="L326" i="39" s="1"/>
  <c r="L327" i="39" s="1"/>
  <c r="L328" i="39" s="1"/>
  <c r="L329" i="39" s="1"/>
  <c r="L330" i="39" s="1"/>
  <c r="L331" i="39" s="1"/>
  <c r="L332" i="39" s="1"/>
  <c r="L333" i="39" s="1"/>
  <c r="L334" i="39" s="1"/>
  <c r="L335" i="39" s="1"/>
  <c r="L336" i="39" s="1"/>
  <c r="L337" i="39" s="1"/>
  <c r="L338" i="39" s="1"/>
  <c r="L339" i="39" s="1"/>
  <c r="L340" i="39" s="1"/>
  <c r="L341" i="39" s="1"/>
  <c r="L342" i="39" s="1"/>
  <c r="L343" i="39" s="1"/>
  <c r="L344" i="39" s="1"/>
  <c r="L345" i="39" s="1"/>
  <c r="L346" i="39" s="1"/>
  <c r="L347" i="39" s="1"/>
  <c r="L348" i="39" s="1"/>
  <c r="L349" i="39" s="1"/>
  <c r="L350" i="39" s="1"/>
  <c r="L351" i="39" s="1"/>
  <c r="L352" i="39" s="1"/>
  <c r="L353" i="39" s="1"/>
  <c r="L354" i="39" s="1"/>
  <c r="L355" i="39" s="1"/>
  <c r="L356" i="39" s="1"/>
  <c r="L357" i="39" s="1"/>
  <c r="L358" i="39" s="1"/>
  <c r="L359" i="39" s="1"/>
  <c r="L360" i="39" s="1"/>
  <c r="L361" i="39" s="1"/>
  <c r="L362" i="39" s="1"/>
  <c r="L363" i="39" s="1"/>
  <c r="L364" i="39" s="1"/>
  <c r="L365" i="39" s="1"/>
  <c r="L366" i="39" s="1"/>
  <c r="L367" i="39" s="1"/>
  <c r="L368" i="39" s="1"/>
  <c r="L369" i="39" s="1"/>
  <c r="L370" i="39" s="1"/>
  <c r="L371" i="39" s="1"/>
  <c r="L372" i="39" s="1"/>
  <c r="L373" i="39" s="1"/>
  <c r="L374" i="39" s="1"/>
  <c r="L375" i="39" s="1"/>
  <c r="L376" i="39" s="1"/>
  <c r="L377" i="39" s="1"/>
  <c r="L378" i="39" s="1"/>
  <c r="L379" i="39" s="1"/>
  <c r="L380" i="39" s="1"/>
  <c r="L381" i="39" s="1"/>
  <c r="L382" i="39" s="1"/>
  <c r="L383" i="39" s="1"/>
  <c r="L384" i="39" s="1"/>
  <c r="L385" i="39" s="1"/>
  <c r="L386" i="39" s="1"/>
  <c r="L387" i="39" s="1"/>
  <c r="L388" i="39" s="1"/>
  <c r="L389" i="39" s="1"/>
  <c r="L390" i="39" s="1"/>
  <c r="L391" i="39" s="1"/>
  <c r="L392" i="39" s="1"/>
  <c r="L393" i="39" s="1"/>
  <c r="L394" i="39" s="1"/>
  <c r="L395" i="39" s="1"/>
  <c r="L396" i="39" s="1"/>
  <c r="L397" i="39" s="1"/>
  <c r="L398" i="39" s="1"/>
  <c r="L399" i="39" s="1"/>
  <c r="L400" i="39" s="1"/>
  <c r="L401" i="39" s="1"/>
  <c r="R47" i="39"/>
  <c r="Q47" i="39"/>
  <c r="N47" i="39"/>
  <c r="P6" i="39"/>
  <c r="O6" i="39"/>
  <c r="R6" i="39"/>
  <c r="N6" i="39"/>
  <c r="P8" i="39"/>
  <c r="O8" i="39"/>
  <c r="R8" i="39"/>
  <c r="N8" i="39"/>
  <c r="P10" i="39"/>
  <c r="O10" i="39"/>
  <c r="R10" i="39"/>
  <c r="N10" i="39"/>
  <c r="P12" i="39"/>
  <c r="O12" i="39"/>
  <c r="R12" i="39"/>
  <c r="N12" i="39"/>
  <c r="P13" i="39"/>
  <c r="O13" i="39"/>
  <c r="R13" i="39"/>
  <c r="N13" i="39"/>
  <c r="P14" i="39"/>
  <c r="O14" i="39"/>
  <c r="R14" i="39"/>
  <c r="N14" i="39"/>
  <c r="P15" i="39"/>
  <c r="O15" i="39"/>
  <c r="R15" i="39"/>
  <c r="N15" i="39"/>
  <c r="P16" i="39"/>
  <c r="O16" i="39"/>
  <c r="R16" i="39"/>
  <c r="N16" i="39"/>
  <c r="P17" i="39"/>
  <c r="O17" i="39"/>
  <c r="R17" i="39"/>
  <c r="N17" i="39"/>
  <c r="P18" i="39"/>
  <c r="O18" i="39"/>
  <c r="R18" i="39"/>
  <c r="N18" i="39"/>
  <c r="P19" i="39"/>
  <c r="O19" i="39"/>
  <c r="R19" i="39"/>
  <c r="N19" i="39"/>
  <c r="P20" i="39"/>
  <c r="O20" i="39"/>
  <c r="R20" i="39"/>
  <c r="N20" i="39"/>
  <c r="P22" i="39"/>
  <c r="O22" i="39"/>
  <c r="R22" i="39"/>
  <c r="N22" i="39"/>
  <c r="P23" i="39"/>
  <c r="O23" i="39"/>
  <c r="R23" i="39"/>
  <c r="N23" i="39"/>
  <c r="P24" i="39"/>
  <c r="O24" i="39"/>
  <c r="R24" i="39"/>
  <c r="N24" i="39"/>
  <c r="P25" i="39"/>
  <c r="O25" i="39"/>
  <c r="R25" i="39"/>
  <c r="N25" i="39"/>
  <c r="P26" i="39"/>
  <c r="O26" i="39"/>
  <c r="R26" i="39"/>
  <c r="N26" i="39"/>
  <c r="P27" i="39"/>
  <c r="O27" i="39"/>
  <c r="R27" i="39"/>
  <c r="N27" i="39"/>
  <c r="P28" i="39"/>
  <c r="O28" i="39"/>
  <c r="R28" i="39"/>
  <c r="N28" i="39"/>
  <c r="P29" i="39"/>
  <c r="O29" i="39"/>
  <c r="R29" i="39"/>
  <c r="N29" i="39"/>
  <c r="P30" i="39"/>
  <c r="O30" i="39"/>
  <c r="R30" i="39"/>
  <c r="N30" i="39"/>
  <c r="P31" i="39"/>
  <c r="O31" i="39"/>
  <c r="R31" i="39"/>
  <c r="N31" i="39"/>
  <c r="P32" i="39"/>
  <c r="O32" i="39"/>
  <c r="R32" i="39"/>
  <c r="N32" i="39"/>
  <c r="P33" i="39"/>
  <c r="O33" i="39"/>
  <c r="R33" i="39"/>
  <c r="N33" i="39"/>
  <c r="P34" i="39"/>
  <c r="O34" i="39"/>
  <c r="R34" i="39"/>
  <c r="N34" i="39"/>
  <c r="P35" i="39"/>
  <c r="O35" i="39"/>
  <c r="R35" i="39"/>
  <c r="N35" i="39"/>
  <c r="P36" i="39"/>
  <c r="O36" i="39"/>
  <c r="R36" i="39"/>
  <c r="N36" i="39"/>
  <c r="P37" i="39"/>
  <c r="O37" i="39"/>
  <c r="R37" i="39"/>
  <c r="N37" i="39"/>
  <c r="P38" i="39"/>
  <c r="O38" i="39"/>
  <c r="R38" i="39"/>
  <c r="N38" i="39"/>
  <c r="P39" i="39"/>
  <c r="O39" i="39"/>
  <c r="R39" i="39"/>
  <c r="N39" i="39"/>
  <c r="Q39" i="39"/>
  <c r="P7" i="39"/>
  <c r="O7" i="39"/>
  <c r="R7" i="39"/>
  <c r="N7" i="39"/>
  <c r="P9" i="39"/>
  <c r="O9" i="39"/>
  <c r="R9" i="39"/>
  <c r="N9" i="39"/>
  <c r="P11" i="39"/>
  <c r="O11" i="39"/>
  <c r="R11" i="39"/>
  <c r="N11" i="39"/>
  <c r="P21" i="39"/>
  <c r="O21" i="39"/>
  <c r="R21" i="39"/>
  <c r="N21" i="39"/>
  <c r="Q6" i="39"/>
  <c r="Q7" i="39"/>
  <c r="Q8" i="39"/>
  <c r="Q9" i="39"/>
  <c r="Q10" i="39"/>
  <c r="Q11" i="39"/>
  <c r="Q12" i="39"/>
  <c r="Q13" i="39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Q33" i="39"/>
  <c r="Q34" i="39"/>
  <c r="Q35" i="39"/>
  <c r="Q36" i="39"/>
  <c r="Q37" i="39"/>
  <c r="Q38" i="39"/>
  <c r="Q41" i="39"/>
  <c r="Q45" i="39"/>
  <c r="N40" i="39"/>
  <c r="R40" i="39"/>
  <c r="N41" i="39"/>
  <c r="R41" i="39"/>
  <c r="N42" i="39"/>
  <c r="R42" i="39"/>
  <c r="N43" i="39"/>
  <c r="R43" i="39"/>
  <c r="N44" i="39"/>
  <c r="R44" i="39"/>
  <c r="N45" i="39"/>
  <c r="R45" i="39"/>
  <c r="Q40" i="39"/>
  <c r="Q42" i="39"/>
  <c r="Q43" i="39"/>
  <c r="O40" i="39"/>
  <c r="O41" i="39"/>
  <c r="O42" i="39"/>
  <c r="O43" i="39"/>
  <c r="O44" i="39"/>
  <c r="O45" i="39"/>
  <c r="P52" i="39"/>
  <c r="N52" i="39"/>
  <c r="O52" i="39"/>
  <c r="R52" i="39"/>
  <c r="P54" i="39"/>
  <c r="N54" i="39"/>
  <c r="O54" i="39"/>
  <c r="R54" i="39"/>
  <c r="P56" i="39"/>
  <c r="R56" i="39"/>
  <c r="O56" i="39"/>
  <c r="N56" i="39"/>
  <c r="P58" i="39"/>
  <c r="R58" i="39"/>
  <c r="O58" i="39"/>
  <c r="N58" i="39"/>
  <c r="P60" i="39"/>
  <c r="R60" i="39"/>
  <c r="O60" i="39"/>
  <c r="N60" i="39"/>
  <c r="P62" i="39"/>
  <c r="R62" i="39"/>
  <c r="O62" i="39"/>
  <c r="N62" i="39"/>
  <c r="P63" i="39"/>
  <c r="R63" i="39"/>
  <c r="O63" i="39"/>
  <c r="N63" i="39"/>
  <c r="P65" i="39"/>
  <c r="R65" i="39"/>
  <c r="O65" i="39"/>
  <c r="N65" i="39"/>
  <c r="P67" i="39"/>
  <c r="R67" i="39"/>
  <c r="O67" i="39"/>
  <c r="N67" i="39"/>
  <c r="P69" i="39"/>
  <c r="R69" i="39"/>
  <c r="O69" i="39"/>
  <c r="N69" i="39"/>
  <c r="P71" i="39"/>
  <c r="R71" i="39"/>
  <c r="O71" i="39"/>
  <c r="N71" i="39"/>
  <c r="P73" i="39"/>
  <c r="R73" i="39"/>
  <c r="N73" i="39"/>
  <c r="O73" i="39"/>
  <c r="P75" i="39"/>
  <c r="R75" i="39"/>
  <c r="N75" i="39"/>
  <c r="O75" i="39"/>
  <c r="P77" i="39"/>
  <c r="R77" i="39"/>
  <c r="N77" i="39"/>
  <c r="O77" i="39"/>
  <c r="P79" i="39"/>
  <c r="R79" i="39"/>
  <c r="N79" i="39"/>
  <c r="O79" i="39"/>
  <c r="P81" i="39"/>
  <c r="R81" i="39"/>
  <c r="N81" i="39"/>
  <c r="O81" i="39"/>
  <c r="P82" i="39"/>
  <c r="R82" i="39"/>
  <c r="N82" i="39"/>
  <c r="O82" i="39"/>
  <c r="P85" i="39"/>
  <c r="R85" i="39"/>
  <c r="O85" i="39"/>
  <c r="N85" i="39"/>
  <c r="P46" i="39"/>
  <c r="O46" i="39"/>
  <c r="Q85" i="39"/>
  <c r="N46" i="39"/>
  <c r="P53" i="39"/>
  <c r="N53" i="39"/>
  <c r="O53" i="39"/>
  <c r="R53" i="39"/>
  <c r="P55" i="39"/>
  <c r="N55" i="39"/>
  <c r="O55" i="39"/>
  <c r="R55" i="39"/>
  <c r="P57" i="39"/>
  <c r="R57" i="39"/>
  <c r="O57" i="39"/>
  <c r="N57" i="39"/>
  <c r="P59" i="39"/>
  <c r="R59" i="39"/>
  <c r="O59" i="39"/>
  <c r="N59" i="39"/>
  <c r="P61" i="39"/>
  <c r="R61" i="39"/>
  <c r="O61" i="39"/>
  <c r="N61" i="39"/>
  <c r="P64" i="39"/>
  <c r="R64" i="39"/>
  <c r="O64" i="39"/>
  <c r="N64" i="39"/>
  <c r="P66" i="39"/>
  <c r="R66" i="39"/>
  <c r="O66" i="39"/>
  <c r="N66" i="39"/>
  <c r="P68" i="39"/>
  <c r="R68" i="39"/>
  <c r="O68" i="39"/>
  <c r="N68" i="39"/>
  <c r="P70" i="39"/>
  <c r="R70" i="39"/>
  <c r="O70" i="39"/>
  <c r="N70" i="39"/>
  <c r="P72" i="39"/>
  <c r="R72" i="39"/>
  <c r="O72" i="39"/>
  <c r="N72" i="39"/>
  <c r="P74" i="39"/>
  <c r="R74" i="39"/>
  <c r="O74" i="39"/>
  <c r="N74" i="39"/>
  <c r="P76" i="39"/>
  <c r="R76" i="39"/>
  <c r="N76" i="39"/>
  <c r="O76" i="39"/>
  <c r="P78" i="39"/>
  <c r="R78" i="39"/>
  <c r="N78" i="39"/>
  <c r="O78" i="39"/>
  <c r="P80" i="39"/>
  <c r="R80" i="39"/>
  <c r="N80" i="39"/>
  <c r="O80" i="39"/>
  <c r="P83" i="39"/>
  <c r="R83" i="39"/>
  <c r="N83" i="39"/>
  <c r="O83" i="39"/>
  <c r="P84" i="39"/>
  <c r="R84" i="39"/>
  <c r="N84" i="39"/>
  <c r="O84" i="39"/>
  <c r="P48" i="39"/>
  <c r="O48" i="39"/>
  <c r="Q52" i="39"/>
  <c r="Q54" i="39"/>
  <c r="Q56" i="39"/>
  <c r="Q57" i="39"/>
  <c r="Q58" i="39"/>
  <c r="Q60" i="39"/>
  <c r="Q61" i="39"/>
  <c r="Q62" i="39"/>
  <c r="Q63" i="39"/>
  <c r="Q64" i="39"/>
  <c r="Q65" i="39"/>
  <c r="Q66" i="39"/>
  <c r="Q67" i="39"/>
  <c r="Q68" i="39"/>
  <c r="Q69" i="39"/>
  <c r="Q70" i="39"/>
  <c r="Q71" i="39"/>
  <c r="Q72" i="39"/>
  <c r="Q73" i="39"/>
  <c r="Q74" i="39"/>
  <c r="Q75" i="39"/>
  <c r="Q76" i="39"/>
  <c r="Q77" i="39"/>
  <c r="Q78" i="39"/>
  <c r="Q79" i="39"/>
  <c r="Q80" i="39"/>
  <c r="Q81" i="39"/>
  <c r="Q82" i="39"/>
  <c r="Q83" i="39"/>
  <c r="Q84" i="39"/>
  <c r="P124" i="39"/>
  <c r="Q124" i="39"/>
  <c r="Q46" i="39"/>
  <c r="P47" i="39"/>
  <c r="O47" i="39"/>
  <c r="Q48" i="39"/>
  <c r="P49" i="39"/>
  <c r="O49" i="39"/>
  <c r="R49" i="39"/>
  <c r="N49" i="39"/>
  <c r="P50" i="39"/>
  <c r="O50" i="39"/>
  <c r="R50" i="39"/>
  <c r="N50" i="39"/>
  <c r="P51" i="39"/>
  <c r="O51" i="39"/>
  <c r="R51" i="39"/>
  <c r="P113" i="39"/>
  <c r="O113" i="39"/>
  <c r="R113" i="39"/>
  <c r="N113" i="39"/>
  <c r="Q113" i="39"/>
  <c r="P87" i="39"/>
  <c r="O87" i="39"/>
  <c r="R87" i="39"/>
  <c r="N87" i="39"/>
  <c r="P88" i="39"/>
  <c r="O88" i="39"/>
  <c r="R88" i="39"/>
  <c r="N88" i="39"/>
  <c r="P89" i="39"/>
  <c r="O89" i="39"/>
  <c r="R89" i="39"/>
  <c r="N89" i="39"/>
  <c r="P90" i="39"/>
  <c r="O90" i="39"/>
  <c r="R90" i="39"/>
  <c r="N90" i="39"/>
  <c r="P91" i="39"/>
  <c r="O91" i="39"/>
  <c r="R91" i="39"/>
  <c r="N91" i="39"/>
  <c r="P92" i="39"/>
  <c r="O92" i="39"/>
  <c r="R92" i="39"/>
  <c r="N92" i="39"/>
  <c r="P93" i="39"/>
  <c r="O93" i="39"/>
  <c r="R93" i="39"/>
  <c r="N93" i="39"/>
  <c r="P94" i="39"/>
  <c r="O94" i="39"/>
  <c r="R94" i="39"/>
  <c r="N94" i="39"/>
  <c r="P97" i="39"/>
  <c r="O97" i="39"/>
  <c r="R97" i="39"/>
  <c r="N97" i="39"/>
  <c r="P98" i="39"/>
  <c r="O98" i="39"/>
  <c r="R98" i="39"/>
  <c r="N98" i="39"/>
  <c r="P99" i="39"/>
  <c r="O99" i="39"/>
  <c r="R99" i="39"/>
  <c r="N99" i="39"/>
  <c r="P100" i="39"/>
  <c r="O100" i="39"/>
  <c r="R100" i="39"/>
  <c r="N100" i="39"/>
  <c r="P101" i="39"/>
  <c r="O101" i="39"/>
  <c r="R101" i="39"/>
  <c r="N101" i="39"/>
  <c r="P102" i="39"/>
  <c r="O102" i="39"/>
  <c r="R102" i="39"/>
  <c r="N102" i="39"/>
  <c r="P103" i="39"/>
  <c r="O103" i="39"/>
  <c r="R103" i="39"/>
  <c r="N103" i="39"/>
  <c r="P104" i="39"/>
  <c r="O104" i="39"/>
  <c r="R104" i="39"/>
  <c r="N104" i="39"/>
  <c r="P105" i="39"/>
  <c r="O105" i="39"/>
  <c r="R105" i="39"/>
  <c r="N105" i="39"/>
  <c r="P106" i="39"/>
  <c r="O106" i="39"/>
  <c r="R106" i="39"/>
  <c r="N106" i="39"/>
  <c r="P107" i="39"/>
  <c r="O107" i="39"/>
  <c r="R107" i="39"/>
  <c r="N107" i="39"/>
  <c r="P108" i="39"/>
  <c r="O108" i="39"/>
  <c r="R108" i="39"/>
  <c r="N108" i="39"/>
  <c r="P109" i="39"/>
  <c r="O109" i="39"/>
  <c r="R109" i="39"/>
  <c r="N109" i="39"/>
  <c r="P110" i="39"/>
  <c r="O110" i="39"/>
  <c r="R110" i="39"/>
  <c r="N110" i="39"/>
  <c r="P111" i="39"/>
  <c r="O111" i="39"/>
  <c r="R111" i="39"/>
  <c r="N111" i="39"/>
  <c r="P112" i="39"/>
  <c r="Q112" i="39"/>
  <c r="O112" i="39"/>
  <c r="R112" i="39"/>
  <c r="N112" i="39"/>
  <c r="P86" i="39"/>
  <c r="O86" i="39"/>
  <c r="R86" i="39"/>
  <c r="N86" i="39"/>
  <c r="P96" i="39"/>
  <c r="O96" i="39"/>
  <c r="R96" i="39"/>
  <c r="N96" i="39"/>
  <c r="Q86" i="39"/>
  <c r="Q87" i="39"/>
  <c r="Q88" i="39"/>
  <c r="Q89" i="39"/>
  <c r="Q90" i="39"/>
  <c r="Q91" i="39"/>
  <c r="Q92" i="39"/>
  <c r="Q93" i="39"/>
  <c r="Q94" i="39"/>
  <c r="Q96" i="39"/>
  <c r="Q97" i="39"/>
  <c r="Q98" i="39"/>
  <c r="Q99" i="39"/>
  <c r="Q100" i="39"/>
  <c r="Q101" i="39"/>
  <c r="Q102" i="39"/>
  <c r="Q103" i="39"/>
  <c r="Q104" i="39"/>
  <c r="Q105" i="39"/>
  <c r="Q106" i="39"/>
  <c r="Q107" i="39"/>
  <c r="Q108" i="39"/>
  <c r="Q109" i="39"/>
  <c r="Q110" i="39"/>
  <c r="Q111" i="39"/>
  <c r="P95" i="39"/>
  <c r="O95" i="39"/>
  <c r="R95" i="39"/>
  <c r="N95" i="39"/>
  <c r="Q114" i="39"/>
  <c r="Q121" i="39"/>
  <c r="Q123" i="39"/>
  <c r="Q125" i="39"/>
  <c r="N114" i="39"/>
  <c r="R114" i="39"/>
  <c r="N115" i="39"/>
  <c r="R115" i="39"/>
  <c r="N116" i="39"/>
  <c r="R116" i="39"/>
  <c r="N117" i="39"/>
  <c r="R117" i="39"/>
  <c r="N118" i="39"/>
  <c r="R118" i="39"/>
  <c r="N119" i="39"/>
  <c r="R119" i="39"/>
  <c r="N120" i="39"/>
  <c r="R120" i="39"/>
  <c r="N121" i="39"/>
  <c r="R121" i="39"/>
  <c r="N122" i="39"/>
  <c r="R122" i="39"/>
  <c r="N123" i="39"/>
  <c r="R123" i="39"/>
  <c r="N124" i="39"/>
  <c r="R124" i="39"/>
  <c r="N125" i="39"/>
  <c r="R125" i="39"/>
  <c r="Q116" i="39"/>
  <c r="Q117" i="39"/>
  <c r="Q122" i="39"/>
  <c r="O114" i="39"/>
  <c r="O115" i="39"/>
  <c r="O116" i="39"/>
  <c r="O117" i="39"/>
  <c r="O118" i="39"/>
  <c r="O119" i="39"/>
  <c r="O120" i="39"/>
  <c r="O121" i="39"/>
  <c r="O122" i="39"/>
  <c r="O123" i="39"/>
  <c r="O124" i="39"/>
  <c r="O125" i="39"/>
  <c r="Q115" i="39"/>
  <c r="Q118" i="39"/>
  <c r="Q119" i="39"/>
  <c r="Q120" i="39"/>
  <c r="Q127" i="39"/>
  <c r="Q129" i="39"/>
  <c r="Q132" i="39"/>
  <c r="Q133" i="39"/>
  <c r="R126" i="39"/>
  <c r="R127" i="39"/>
  <c r="R128" i="39"/>
  <c r="N129" i="39"/>
  <c r="R129" i="39"/>
  <c r="N130" i="39"/>
  <c r="R130" i="39"/>
  <c r="N131" i="39"/>
  <c r="R131" i="39"/>
  <c r="N132" i="39"/>
  <c r="R132" i="39"/>
  <c r="R133" i="39"/>
  <c r="O126" i="39"/>
  <c r="O127" i="39"/>
  <c r="O128" i="39"/>
  <c r="O129" i="39"/>
  <c r="O130" i="39"/>
  <c r="O131" i="39"/>
  <c r="O132" i="39"/>
  <c r="O133" i="39"/>
  <c r="Q126" i="39"/>
  <c r="Q128" i="39"/>
  <c r="Q130" i="39"/>
  <c r="Q131" i="39"/>
  <c r="N126" i="39"/>
  <c r="N127" i="39"/>
  <c r="N128" i="39"/>
  <c r="N133" i="39"/>
  <c r="Q139" i="39"/>
  <c r="Q141" i="39"/>
  <c r="N134" i="39"/>
  <c r="R134" i="39"/>
  <c r="N135" i="39"/>
  <c r="R135" i="39"/>
  <c r="N136" i="39"/>
  <c r="R136" i="39"/>
  <c r="N137" i="39"/>
  <c r="R137" i="39"/>
  <c r="N138" i="39"/>
  <c r="R138" i="39"/>
  <c r="N139" i="39"/>
  <c r="R139" i="39"/>
  <c r="N140" i="39"/>
  <c r="R140" i="39"/>
  <c r="N141" i="39"/>
  <c r="R141" i="39"/>
  <c r="Q134" i="39"/>
  <c r="Q137" i="39"/>
  <c r="Q138" i="39"/>
  <c r="O134" i="39"/>
  <c r="O135" i="39"/>
  <c r="O136" i="39"/>
  <c r="O137" i="39"/>
  <c r="O138" i="39"/>
  <c r="O139" i="39"/>
  <c r="O140" i="39"/>
  <c r="O141" i="39"/>
  <c r="Q135" i="39"/>
  <c r="Q136" i="39"/>
  <c r="Q140" i="39"/>
  <c r="Q142" i="39"/>
  <c r="Q143" i="39"/>
  <c r="Q144" i="39"/>
  <c r="Q145" i="39"/>
  <c r="Q146" i="39"/>
  <c r="Q147" i="39"/>
  <c r="Q148" i="39"/>
  <c r="Q149" i="39"/>
  <c r="N142" i="39"/>
  <c r="R142" i="39"/>
  <c r="N143" i="39"/>
  <c r="R143" i="39"/>
  <c r="N144" i="39"/>
  <c r="R144" i="39"/>
  <c r="N145" i="39"/>
  <c r="R145" i="39"/>
  <c r="N146" i="39"/>
  <c r="R146" i="39"/>
  <c r="N147" i="39"/>
  <c r="R147" i="39"/>
  <c r="N148" i="39"/>
  <c r="R148" i="39"/>
  <c r="N149" i="39"/>
  <c r="R149" i="39"/>
  <c r="O142" i="39"/>
  <c r="O143" i="39"/>
  <c r="O144" i="39"/>
  <c r="O145" i="39"/>
  <c r="O146" i="39"/>
  <c r="O147" i="39"/>
  <c r="O148" i="39"/>
  <c r="O149" i="39"/>
  <c r="Q151" i="39"/>
  <c r="Q154" i="39"/>
  <c r="Q230" i="39"/>
  <c r="Q231" i="39"/>
  <c r="Q232" i="39"/>
  <c r="O233" i="39"/>
  <c r="O236" i="39"/>
  <c r="O237" i="39"/>
  <c r="O400" i="39"/>
  <c r="R150" i="39"/>
  <c r="R151" i="39"/>
  <c r="R152" i="39"/>
  <c r="R153" i="39"/>
  <c r="R154" i="39"/>
  <c r="R232" i="39"/>
  <c r="Q150" i="39"/>
  <c r="Q152" i="39"/>
  <c r="Q153" i="39"/>
  <c r="O234" i="39"/>
  <c r="O235" i="39"/>
  <c r="O238" i="39"/>
  <c r="O239" i="39"/>
  <c r="N150" i="39"/>
  <c r="N151" i="39"/>
  <c r="N152" i="39"/>
  <c r="N153" i="39"/>
  <c r="N154" i="39"/>
  <c r="N230" i="39"/>
  <c r="R230" i="39"/>
  <c r="N231" i="39"/>
  <c r="R231" i="39"/>
  <c r="N232" i="39"/>
  <c r="O150" i="39"/>
  <c r="O151" i="39"/>
  <c r="O152" i="39"/>
  <c r="O153" i="39"/>
  <c r="O154" i="39"/>
  <c r="O230" i="39"/>
  <c r="O231" i="39"/>
  <c r="O232" i="39"/>
  <c r="Q233" i="39"/>
  <c r="Q234" i="39"/>
  <c r="Q235" i="39"/>
  <c r="Q236" i="39"/>
  <c r="Q237" i="39"/>
  <c r="Q238" i="39"/>
  <c r="Q239" i="39"/>
  <c r="Q400" i="39"/>
  <c r="N233" i="39"/>
  <c r="R233" i="39"/>
  <c r="N234" i="39"/>
  <c r="R234" i="39"/>
  <c r="N235" i="39"/>
  <c r="R235" i="39"/>
  <c r="N236" i="39"/>
  <c r="R236" i="39"/>
  <c r="N237" i="39"/>
  <c r="R237" i="39"/>
  <c r="N238" i="39"/>
  <c r="R238" i="39"/>
  <c r="N239" i="39"/>
  <c r="R239" i="39"/>
  <c r="N400" i="39"/>
  <c r="R400" i="39"/>
  <c r="L402" i="39" l="1"/>
  <c r="L403" i="39" s="1"/>
  <c r="L404" i="39" s="1"/>
  <c r="L405" i="39" s="1"/>
  <c r="L406" i="39" s="1"/>
  <c r="L407" i="39" s="1"/>
  <c r="L408" i="39" s="1"/>
  <c r="L409" i="39" s="1"/>
  <c r="L410" i="39" s="1"/>
  <c r="L411" i="39" s="1"/>
  <c r="L412" i="39" s="1"/>
  <c r="L413" i="39" s="1"/>
  <c r="L414" i="39" s="1"/>
  <c r="L415" i="39" s="1"/>
  <c r="L416" i="39" s="1"/>
  <c r="L417" i="39" s="1"/>
  <c r="L418" i="39" s="1"/>
  <c r="L419" i="39" s="1"/>
  <c r="L420" i="39" s="1"/>
  <c r="L421" i="39" s="1"/>
  <c r="L422" i="39" s="1"/>
  <c r="L423" i="39" s="1"/>
  <c r="L424" i="39" s="1"/>
  <c r="L425" i="39" s="1"/>
  <c r="L426" i="39" s="1"/>
  <c r="L427" i="39" s="1"/>
  <c r="L428" i="39" s="1"/>
  <c r="L429" i="39" s="1"/>
  <c r="L430" i="39" s="1"/>
  <c r="L431" i="39" s="1"/>
  <c r="L432" i="39" s="1"/>
  <c r="L433" i="39" s="1"/>
  <c r="L434" i="39" s="1"/>
  <c r="L435" i="39" s="1"/>
  <c r="L436" i="39" s="1"/>
  <c r="L437" i="39" s="1"/>
  <c r="L438" i="39" s="1"/>
  <c r="L439" i="39" s="1"/>
  <c r="L440" i="39" s="1"/>
  <c r="L441" i="39" s="1"/>
  <c r="L442" i="39" s="1"/>
  <c r="L443" i="39" s="1"/>
  <c r="L444" i="39" s="1"/>
  <c r="L445" i="39" s="1"/>
  <c r="L446" i="39" s="1"/>
  <c r="L447" i="39" s="1"/>
  <c r="L448" i="39" s="1"/>
  <c r="L449" i="39" s="1"/>
  <c r="L450" i="39" s="1"/>
  <c r="L451" i="39" s="1"/>
  <c r="L452" i="39" s="1"/>
  <c r="L453" i="39" s="1"/>
  <c r="L454" i="39" s="1"/>
  <c r="L455" i="39" s="1"/>
  <c r="L456" i="39" s="1"/>
  <c r="L457" i="39" s="1"/>
  <c r="L458" i="39" s="1"/>
  <c r="L459" i="39" s="1"/>
  <c r="L460" i="39" s="1"/>
  <c r="L461" i="39" s="1"/>
  <c r="L462" i="39" s="1"/>
  <c r="L463" i="39" s="1"/>
  <c r="L464" i="39" s="1"/>
  <c r="L465" i="39" s="1"/>
  <c r="L466" i="39" s="1"/>
  <c r="L467" i="39" s="1"/>
  <c r="L468" i="39" s="1"/>
  <c r="L469" i="39" s="1"/>
  <c r="L470" i="39" s="1"/>
  <c r="L471" i="39" s="1"/>
  <c r="L472" i="39" s="1"/>
  <c r="L473" i="39" s="1"/>
  <c r="L474" i="39" s="1"/>
  <c r="L475" i="39" s="1"/>
  <c r="L476" i="39" s="1"/>
  <c r="L477" i="39" s="1"/>
  <c r="L478" i="39" s="1"/>
  <c r="L479" i="39" s="1"/>
  <c r="L480" i="39" s="1"/>
  <c r="L481" i="39" s="1"/>
  <c r="L482" i="39" s="1"/>
  <c r="L483" i="39" s="1"/>
  <c r="L484" i="39" s="1"/>
  <c r="L485" i="39" s="1"/>
  <c r="L486" i="39" s="1"/>
  <c r="L487" i="39" s="1"/>
  <c r="L488" i="39" s="1"/>
  <c r="L489" i="39" s="1"/>
  <c r="L490" i="39" s="1"/>
  <c r="L491" i="39" s="1"/>
  <c r="L492" i="39" s="1"/>
  <c r="L493" i="39" s="1"/>
  <c r="L494" i="39" s="1"/>
  <c r="L495" i="39" s="1"/>
  <c r="L496" i="39" s="1"/>
  <c r="L497" i="39" s="1"/>
  <c r="L498" i="39" s="1"/>
  <c r="L499" i="39" s="1"/>
  <c r="L500" i="39" s="1"/>
  <c r="L501" i="39" s="1"/>
  <c r="L502" i="39" s="1"/>
  <c r="L503" i="39" s="1"/>
  <c r="L504" i="39" s="1"/>
  <c r="L505" i="39" s="1"/>
  <c r="L506" i="39" s="1"/>
  <c r="L507" i="39" s="1"/>
  <c r="L508" i="39" s="1"/>
  <c r="L509" i="39" s="1"/>
  <c r="L510" i="39" s="1"/>
  <c r="L511" i="39" s="1"/>
  <c r="L512" i="39" s="1"/>
  <c r="L513" i="39" s="1"/>
  <c r="L514" i="39" s="1"/>
  <c r="L515" i="39" s="1"/>
  <c r="L516" i="39" s="1"/>
  <c r="L517" i="39" s="1"/>
  <c r="L518" i="39" s="1"/>
  <c r="L519" i="39" s="1"/>
  <c r="L520" i="39" s="1"/>
  <c r="L521" i="39" s="1"/>
  <c r="L522" i="39" s="1"/>
  <c r="L523" i="39" s="1"/>
  <c r="L524" i="39" s="1"/>
  <c r="L525" i="39" s="1"/>
  <c r="L526" i="39" s="1"/>
  <c r="L527" i="39" s="1"/>
  <c r="L528" i="39" s="1"/>
  <c r="L529" i="39" s="1"/>
  <c r="L530" i="39" s="1"/>
  <c r="L531" i="39" s="1"/>
  <c r="L532" i="39" s="1"/>
  <c r="L533" i="39" s="1"/>
  <c r="L534" i="39" s="1"/>
  <c r="L535" i="39" s="1"/>
  <c r="L536" i="39" s="1"/>
  <c r="L537" i="39" s="1"/>
  <c r="L538" i="39" s="1"/>
  <c r="L539" i="39" s="1"/>
  <c r="L540" i="39" s="1"/>
  <c r="L541" i="39" s="1"/>
  <c r="L542" i="39" s="1"/>
  <c r="L543" i="39" s="1"/>
  <c r="L544" i="39" s="1"/>
  <c r="L545" i="39" s="1"/>
  <c r="L546" i="39" s="1"/>
  <c r="L547" i="39" s="1"/>
  <c r="L548" i="39" s="1"/>
  <c r="L549" i="39" s="1"/>
  <c r="L550" i="39" s="1"/>
  <c r="L551" i="39" s="1"/>
  <c r="L552" i="39" s="1"/>
  <c r="L553" i="39" s="1"/>
  <c r="L554" i="39" s="1"/>
  <c r="L555" i="39" s="1"/>
  <c r="L556" i="39" s="1"/>
  <c r="L557" i="39" s="1"/>
  <c r="L558" i="39" s="1"/>
  <c r="L559" i="39" s="1"/>
  <c r="L560" i="39" s="1"/>
  <c r="L561" i="39" s="1"/>
  <c r="L562" i="39" s="1"/>
  <c r="L563" i="39" s="1"/>
  <c r="L564" i="39" s="1"/>
  <c r="L565" i="39" s="1"/>
  <c r="L566" i="39" s="1"/>
  <c r="L567" i="39" s="1"/>
  <c r="L568" i="39" s="1"/>
  <c r="L569" i="39" s="1"/>
  <c r="L570" i="39" s="1"/>
  <c r="L571" i="39" s="1"/>
  <c r="L572" i="39" s="1"/>
  <c r="L573" i="39" s="1"/>
  <c r="L574" i="39" s="1"/>
  <c r="L575" i="39" s="1"/>
  <c r="L576" i="39" s="1"/>
  <c r="L577" i="39" s="1"/>
  <c r="L578" i="39" s="1"/>
  <c r="L579" i="39" s="1"/>
  <c r="L580" i="39" s="1"/>
  <c r="L581" i="39" s="1"/>
  <c r="L582" i="39" s="1"/>
  <c r="L583" i="39" s="1"/>
  <c r="L584" i="39" s="1"/>
  <c r="L585" i="39" s="1"/>
  <c r="L586" i="39" s="1"/>
  <c r="L587" i="39" s="1"/>
  <c r="L588" i="39" s="1"/>
  <c r="L589" i="39" s="1"/>
  <c r="L590" i="39" s="1"/>
  <c r="L591" i="39" s="1"/>
  <c r="L592" i="39" s="1"/>
  <c r="L593" i="39" s="1"/>
  <c r="L594" i="39" s="1"/>
  <c r="L595" i="39" s="1"/>
  <c r="L596" i="39" s="1"/>
  <c r="L597" i="39" s="1"/>
  <c r="L598" i="39" s="1"/>
  <c r="L599" i="39" s="1"/>
  <c r="L600" i="39" s="1"/>
  <c r="L601" i="39" s="1"/>
  <c r="L602" i="39" s="1"/>
  <c r="L603" i="39" s="1"/>
  <c r="L604" i="39" s="1"/>
  <c r="L605" i="39" s="1"/>
  <c r="L606" i="39" s="1"/>
  <c r="L607" i="39" s="1"/>
  <c r="L608" i="39" s="1"/>
  <c r="L609" i="39" s="1"/>
  <c r="L610" i="39" s="1"/>
  <c r="L611" i="39" s="1"/>
  <c r="L612" i="39" s="1"/>
  <c r="L613" i="39" s="1"/>
  <c r="L614" i="39" s="1"/>
  <c r="L615" i="39" s="1"/>
  <c r="L616" i="39" s="1"/>
  <c r="L617" i="39" s="1"/>
  <c r="L618" i="39" s="1"/>
  <c r="L619" i="39" s="1"/>
  <c r="L620" i="39" s="1"/>
  <c r="L621" i="39" s="1"/>
  <c r="L622" i="39" s="1"/>
  <c r="L623" i="39" s="1"/>
  <c r="L624" i="39" s="1"/>
  <c r="L625" i="39" s="1"/>
  <c r="L626" i="39" s="1"/>
  <c r="L627" i="39" s="1"/>
  <c r="L628" i="39" s="1"/>
  <c r="L629" i="39" s="1"/>
  <c r="L630" i="39" s="1"/>
  <c r="L631" i="39" s="1"/>
  <c r="L632" i="39" s="1"/>
  <c r="L633" i="39" s="1"/>
  <c r="L634" i="39" s="1"/>
  <c r="L635" i="39" s="1"/>
  <c r="L636" i="39" s="1"/>
  <c r="L637" i="39" s="1"/>
  <c r="L638" i="39" s="1"/>
  <c r="L639" i="39" s="1"/>
  <c r="L640" i="39" s="1"/>
  <c r="L641" i="39" s="1"/>
  <c r="L642" i="39" s="1"/>
  <c r="L643" i="39" s="1"/>
  <c r="L644" i="39" s="1"/>
  <c r="L645" i="39" s="1"/>
  <c r="L646" i="39" s="1"/>
  <c r="L647" i="39" s="1"/>
  <c r="L648" i="39" s="1"/>
  <c r="L649" i="39" s="1"/>
  <c r="L650" i="39" s="1"/>
  <c r="Q16" i="46"/>
  <c r="P16" i="46"/>
  <c r="O16" i="46"/>
  <c r="N16" i="46"/>
  <c r="M16" i="46"/>
  <c r="L16" i="46"/>
  <c r="K16" i="46"/>
  <c r="J16" i="46"/>
  <c r="I16" i="46"/>
  <c r="H16" i="46"/>
  <c r="G16" i="46"/>
  <c r="F16" i="46"/>
  <c r="H5" i="40" l="1"/>
  <c r="H4" i="40"/>
  <c r="F4" i="40"/>
  <c r="Q42" i="46" l="1"/>
  <c r="P42" i="46"/>
  <c r="O42" i="46"/>
  <c r="N42" i="46"/>
  <c r="M42" i="46"/>
  <c r="L42" i="46"/>
  <c r="K42" i="46"/>
  <c r="J42" i="46"/>
  <c r="I42" i="46"/>
  <c r="H42" i="46"/>
  <c r="G42" i="46"/>
  <c r="F42" i="46"/>
  <c r="D656" i="39"/>
  <c r="P656" i="39" s="1"/>
  <c r="D655" i="39"/>
  <c r="P655" i="39" s="1"/>
  <c r="D401" i="39"/>
  <c r="O401" i="39" s="1"/>
  <c r="P5" i="39"/>
  <c r="P4" i="39"/>
  <c r="T656" i="39"/>
  <c r="T655" i="39"/>
  <c r="T401" i="39"/>
  <c r="T5" i="39"/>
  <c r="T4" i="39"/>
  <c r="T3" i="39"/>
  <c r="Q3" i="39" l="1"/>
  <c r="Q656" i="39"/>
  <c r="N656" i="39"/>
  <c r="R656" i="39"/>
  <c r="O656" i="39"/>
  <c r="Q401" i="39"/>
  <c r="P401" i="39"/>
  <c r="N401" i="39"/>
  <c r="R401" i="39"/>
  <c r="O655" i="39"/>
  <c r="Q655" i="39"/>
  <c r="N5" i="39"/>
  <c r="N655" i="39"/>
  <c r="R655" i="39"/>
  <c r="Q5" i="39"/>
  <c r="R5" i="39"/>
  <c r="O5" i="39"/>
  <c r="Q4" i="39"/>
  <c r="N4" i="39"/>
  <c r="R4" i="39"/>
  <c r="O4" i="39"/>
  <c r="N3" i="39"/>
  <c r="O3" i="39"/>
  <c r="R3" i="39"/>
  <c r="P3" i="39"/>
  <c r="Q27" i="46" l="1"/>
  <c r="M27" i="46"/>
  <c r="I27" i="46"/>
  <c r="P27" i="46"/>
  <c r="L27" i="46"/>
  <c r="H27" i="46"/>
  <c r="J27" i="46"/>
  <c r="O27" i="46"/>
  <c r="K27" i="46"/>
  <c r="G27" i="46"/>
  <c r="N27" i="46"/>
  <c r="F27" i="46"/>
  <c r="H25" i="46"/>
  <c r="G20" i="46"/>
  <c r="K20" i="46"/>
  <c r="I10" i="46"/>
  <c r="G25" i="46"/>
  <c r="J37" i="46"/>
  <c r="Q23" i="46"/>
  <c r="G9" i="46"/>
  <c r="L12" i="46"/>
  <c r="Q9" i="46"/>
  <c r="F9" i="46"/>
  <c r="O20" i="46"/>
  <c r="I11" i="46"/>
  <c r="G30" i="46"/>
  <c r="M33" i="46"/>
  <c r="Q30" i="46"/>
  <c r="L24" i="46"/>
  <c r="G36" i="46"/>
  <c r="M39" i="46"/>
  <c r="K37" i="46"/>
  <c r="I35" i="46"/>
  <c r="G33" i="46"/>
  <c r="H36" i="46"/>
  <c r="L33" i="46"/>
  <c r="P34" i="46"/>
  <c r="N32" i="46"/>
  <c r="L30" i="46"/>
  <c r="N19" i="46"/>
  <c r="M9" i="46"/>
  <c r="F23" i="46"/>
  <c r="J23" i="46"/>
  <c r="P20" i="46"/>
  <c r="K23" i="46"/>
  <c r="P19" i="46"/>
  <c r="K22" i="46"/>
  <c r="J10" i="46"/>
  <c r="O21" i="46"/>
  <c r="I9" i="46"/>
  <c r="P21" i="46"/>
  <c r="P11" i="46"/>
  <c r="H11" i="46"/>
  <c r="N18" i="46"/>
  <c r="I21" i="46"/>
  <c r="F24" i="46"/>
  <c r="N17" i="46"/>
  <c r="I20" i="46"/>
  <c r="M19" i="46"/>
  <c r="H22" i="46"/>
  <c r="M28" i="46"/>
  <c r="P39" i="46"/>
  <c r="Q26" i="46"/>
  <c r="M8" i="46"/>
  <c r="P17" i="46"/>
  <c r="N8" i="46"/>
  <c r="K8" i="46"/>
  <c r="H17" i="46"/>
  <c r="P10" i="46"/>
  <c r="K13" i="46"/>
  <c r="G19" i="46"/>
  <c r="L26" i="46"/>
  <c r="O38" i="46"/>
  <c r="K12" i="46"/>
  <c r="G18" i="46"/>
  <c r="O34" i="46"/>
  <c r="K17" i="46"/>
  <c r="F20" i="46"/>
  <c r="H31" i="46"/>
  <c r="O24" i="46"/>
  <c r="J28" i="46"/>
  <c r="O7" i="46"/>
  <c r="I22" i="46"/>
  <c r="G7" i="46"/>
  <c r="K7" i="46"/>
  <c r="H10" i="46"/>
  <c r="H7" i="46"/>
  <c r="Q8" i="46"/>
  <c r="J9" i="46"/>
  <c r="I12" i="46"/>
  <c r="I18" i="46"/>
  <c r="I7" i="46"/>
  <c r="K9" i="46"/>
  <c r="F10" i="46"/>
  <c r="M12" i="46"/>
  <c r="M18" i="46"/>
  <c r="H21" i="46"/>
  <c r="P35" i="46"/>
  <c r="F7" i="46"/>
  <c r="O8" i="46"/>
  <c r="H9" i="46"/>
  <c r="N23" i="46"/>
  <c r="N33" i="46"/>
  <c r="M11" i="46"/>
  <c r="F12" i="46"/>
  <c r="O13" i="46"/>
  <c r="I17" i="46"/>
  <c r="K19" i="46"/>
  <c r="M21" i="46"/>
  <c r="F22" i="46"/>
  <c r="O23" i="46"/>
  <c r="N24" i="46"/>
  <c r="M36" i="46"/>
  <c r="H39" i="46"/>
  <c r="M10" i="46"/>
  <c r="F11" i="46"/>
  <c r="O12" i="46"/>
  <c r="H13" i="46"/>
  <c r="K18" i="46"/>
  <c r="M20" i="46"/>
  <c r="F21" i="46"/>
  <c r="O22" i="46"/>
  <c r="H23" i="46"/>
  <c r="M32" i="46"/>
  <c r="H35" i="46"/>
  <c r="N10" i="46"/>
  <c r="G11" i="46"/>
  <c r="P12" i="46"/>
  <c r="I13" i="46"/>
  <c r="O17" i="46"/>
  <c r="H18" i="46"/>
  <c r="Q19" i="46"/>
  <c r="J20" i="46"/>
  <c r="L22" i="46"/>
  <c r="K25" i="46"/>
  <c r="F29" i="46"/>
  <c r="N37" i="46"/>
  <c r="L25" i="46"/>
  <c r="N28" i="46"/>
  <c r="G29" i="46"/>
  <c r="P30" i="46"/>
  <c r="I31" i="46"/>
  <c r="K33" i="46"/>
  <c r="M35" i="46"/>
  <c r="F36" i="46"/>
  <c r="O37" i="46"/>
  <c r="H38" i="46"/>
  <c r="Q39" i="46"/>
  <c r="P24" i="46"/>
  <c r="M25" i="46"/>
  <c r="O28" i="46"/>
  <c r="J31" i="46"/>
  <c r="P28" i="46"/>
  <c r="K31" i="46"/>
  <c r="F34" i="46"/>
  <c r="O39" i="46"/>
  <c r="F38" i="46"/>
  <c r="M37" i="46"/>
  <c r="K35" i="46"/>
  <c r="I33" i="46"/>
  <c r="P32" i="46"/>
  <c r="G31" i="46"/>
  <c r="N30" i="46"/>
  <c r="L28" i="46"/>
  <c r="J25" i="46"/>
  <c r="N39" i="46"/>
  <c r="L37" i="46"/>
  <c r="J35" i="46"/>
  <c r="Q34" i="46"/>
  <c r="H33" i="46"/>
  <c r="O32" i="46"/>
  <c r="F31" i="46"/>
  <c r="M30" i="46"/>
  <c r="K28" i="46"/>
  <c r="I25" i="46"/>
  <c r="K39" i="46"/>
  <c r="I37" i="46"/>
  <c r="P36" i="46"/>
  <c r="G35" i="46"/>
  <c r="N34" i="46"/>
  <c r="L32" i="46"/>
  <c r="J30" i="46"/>
  <c r="Q29" i="46"/>
  <c r="H28" i="46"/>
  <c r="O26" i="46"/>
  <c r="F25" i="46"/>
  <c r="J39" i="46"/>
  <c r="Q38" i="46"/>
  <c r="H37" i="46"/>
  <c r="O36" i="46"/>
  <c r="F35" i="46"/>
  <c r="M34" i="46"/>
  <c r="K32" i="46"/>
  <c r="I30" i="46"/>
  <c r="P29" i="46"/>
  <c r="G28" i="46"/>
  <c r="N26" i="46"/>
  <c r="G39" i="46"/>
  <c r="N38" i="46"/>
  <c r="L36" i="46"/>
  <c r="J34" i="46"/>
  <c r="Q33" i="46"/>
  <c r="H32" i="46"/>
  <c r="O31" i="46"/>
  <c r="F30" i="46"/>
  <c r="M29" i="46"/>
  <c r="K26" i="46"/>
  <c r="F39" i="46"/>
  <c r="M38" i="46"/>
  <c r="K36" i="46"/>
  <c r="I34" i="46"/>
  <c r="P33" i="46"/>
  <c r="G32" i="46"/>
  <c r="N31" i="46"/>
  <c r="L29" i="46"/>
  <c r="J26" i="46"/>
  <c r="Q25" i="46"/>
  <c r="H8" i="46"/>
  <c r="N13" i="46"/>
  <c r="Q28" i="46"/>
  <c r="L11" i="46"/>
  <c r="L31" i="46"/>
  <c r="G34" i="46"/>
  <c r="L7" i="46"/>
  <c r="N9" i="46"/>
  <c r="K10" i="46"/>
  <c r="O25" i="46"/>
  <c r="M7" i="46"/>
  <c r="F8" i="46"/>
  <c r="O9" i="46"/>
  <c r="L10" i="46"/>
  <c r="F13" i="46"/>
  <c r="F19" i="46"/>
  <c r="H26" i="46"/>
  <c r="K38" i="46"/>
  <c r="J7" i="46"/>
  <c r="L9" i="46"/>
  <c r="G10" i="46"/>
  <c r="Q12" i="46"/>
  <c r="Q18" i="46"/>
  <c r="L21" i="46"/>
  <c r="M24" i="46"/>
  <c r="I36" i="46"/>
  <c r="Q11" i="46"/>
  <c r="J12" i="46"/>
  <c r="M17" i="46"/>
  <c r="F18" i="46"/>
  <c r="O19" i="46"/>
  <c r="H20" i="46"/>
  <c r="Q21" i="46"/>
  <c r="J22" i="46"/>
  <c r="P31" i="46"/>
  <c r="K34" i="46"/>
  <c r="F37" i="46"/>
  <c r="Q10" i="46"/>
  <c r="J11" i="46"/>
  <c r="L13" i="46"/>
  <c r="F17" i="46"/>
  <c r="O18" i="46"/>
  <c r="H19" i="46"/>
  <c r="Q20" i="46"/>
  <c r="J21" i="46"/>
  <c r="L23" i="46"/>
  <c r="I24" i="46"/>
  <c r="P26" i="46"/>
  <c r="K30" i="46"/>
  <c r="F33" i="46"/>
  <c r="K11" i="46"/>
  <c r="M13" i="46"/>
  <c r="L18" i="46"/>
  <c r="N20" i="46"/>
  <c r="G21" i="46"/>
  <c r="P22" i="46"/>
  <c r="I23" i="46"/>
  <c r="Q32" i="46"/>
  <c r="L35" i="46"/>
  <c r="G38" i="46"/>
  <c r="G24" i="46"/>
  <c r="P25" i="46"/>
  <c r="I26" i="46"/>
  <c r="K29" i="46"/>
  <c r="M31" i="46"/>
  <c r="F32" i="46"/>
  <c r="O33" i="46"/>
  <c r="H34" i="46"/>
  <c r="Q35" i="46"/>
  <c r="J36" i="46"/>
  <c r="L38" i="46"/>
  <c r="H29" i="46"/>
  <c r="P37" i="46"/>
  <c r="N25" i="46"/>
  <c r="I29" i="46"/>
  <c r="Q37" i="46"/>
  <c r="L8" i="46"/>
  <c r="L17" i="46"/>
  <c r="P8" i="46"/>
  <c r="P7" i="46"/>
  <c r="I8" i="46"/>
  <c r="M22" i="46"/>
  <c r="J29" i="46"/>
  <c r="Q7" i="46"/>
  <c r="J8" i="46"/>
  <c r="Q22" i="46"/>
  <c r="N7" i="46"/>
  <c r="G8" i="46"/>
  <c r="P9" i="46"/>
  <c r="O10" i="46"/>
  <c r="J13" i="46"/>
  <c r="J19" i="46"/>
  <c r="N12" i="46"/>
  <c r="G13" i="46"/>
  <c r="Q17" i="46"/>
  <c r="J18" i="46"/>
  <c r="L20" i="46"/>
  <c r="N22" i="46"/>
  <c r="G23" i="46"/>
  <c r="N29" i="46"/>
  <c r="I32" i="46"/>
  <c r="N11" i="46"/>
  <c r="G12" i="46"/>
  <c r="P13" i="46"/>
  <c r="J17" i="46"/>
  <c r="L19" i="46"/>
  <c r="N21" i="46"/>
  <c r="G22" i="46"/>
  <c r="P23" i="46"/>
  <c r="Q24" i="46"/>
  <c r="I28" i="46"/>
  <c r="Q36" i="46"/>
  <c r="L39" i="46"/>
  <c r="O11" i="46"/>
  <c r="H12" i="46"/>
  <c r="Q13" i="46"/>
  <c r="G17" i="46"/>
  <c r="P18" i="46"/>
  <c r="I19" i="46"/>
  <c r="K21" i="46"/>
  <c r="M23" i="46"/>
  <c r="J24" i="46"/>
  <c r="O30" i="46"/>
  <c r="J33" i="46"/>
  <c r="K24" i="46"/>
  <c r="M26" i="46"/>
  <c r="F28" i="46"/>
  <c r="O29" i="46"/>
  <c r="H30" i="46"/>
  <c r="Q31" i="46"/>
  <c r="J32" i="46"/>
  <c r="L34" i="46"/>
  <c r="N36" i="46"/>
  <c r="G37" i="46"/>
  <c r="P38" i="46"/>
  <c r="I39" i="46"/>
  <c r="H24" i="46"/>
  <c r="F26" i="46"/>
  <c r="N35" i="46"/>
  <c r="I38" i="46"/>
  <c r="G26" i="46"/>
  <c r="O35" i="46"/>
  <c r="J38" i="46"/>
  <c r="G48" i="46" l="1"/>
  <c r="M48" i="46"/>
  <c r="P48" i="46"/>
  <c r="L48" i="46"/>
  <c r="N48" i="46"/>
  <c r="F48" i="46"/>
  <c r="I48" i="46"/>
  <c r="J48" i="46"/>
  <c r="K48" i="46"/>
  <c r="Q48" i="46"/>
  <c r="O48" i="46"/>
  <c r="H48" i="46"/>
  <c r="K1" i="39"/>
  <c r="E27" i="46"/>
  <c r="H14" i="46"/>
  <c r="H44" i="46" s="1"/>
  <c r="P14" i="46"/>
  <c r="P44" i="46" s="1"/>
  <c r="F14" i="46"/>
  <c r="F44" i="46" s="1"/>
  <c r="Q14" i="46"/>
  <c r="Q44" i="46" s="1"/>
  <c r="O14" i="46"/>
  <c r="O44" i="46" s="1"/>
  <c r="N14" i="46"/>
  <c r="N44" i="46" s="1"/>
  <c r="G14" i="46"/>
  <c r="G44" i="46" s="1"/>
  <c r="M14" i="46"/>
  <c r="M44" i="46" s="1"/>
  <c r="I14" i="46"/>
  <c r="I44" i="46" s="1"/>
  <c r="K14" i="46"/>
  <c r="K44" i="46" s="1"/>
  <c r="O40" i="46"/>
  <c r="O45" i="46" s="1"/>
  <c r="J14" i="46"/>
  <c r="J44" i="46" s="1"/>
  <c r="L14" i="46"/>
  <c r="L44" i="46" s="1"/>
  <c r="F40" i="46"/>
  <c r="F45" i="46" s="1"/>
  <c r="K40" i="46"/>
  <c r="K45" i="46" s="1"/>
  <c r="N40" i="46"/>
  <c r="N45" i="46" s="1"/>
  <c r="M40" i="46"/>
  <c r="M45" i="46" s="1"/>
  <c r="I40" i="46"/>
  <c r="I45" i="46" s="1"/>
  <c r="P40" i="46"/>
  <c r="P45" i="46" s="1"/>
  <c r="L40" i="46"/>
  <c r="L45" i="46" s="1"/>
  <c r="J40" i="46"/>
  <c r="J45" i="46" s="1"/>
  <c r="H40" i="46"/>
  <c r="H45" i="46" s="1"/>
  <c r="Q40" i="46"/>
  <c r="Q45" i="46" s="1"/>
  <c r="G40" i="46"/>
  <c r="G45" i="46" s="1"/>
  <c r="E18" i="46"/>
  <c r="E26" i="46"/>
  <c r="E35" i="46"/>
  <c r="E36" i="46"/>
  <c r="E21" i="46"/>
  <c r="E25" i="46"/>
  <c r="E29" i="46"/>
  <c r="U12" i="46" s="1"/>
  <c r="E33" i="46"/>
  <c r="E39" i="46"/>
  <c r="E22" i="46"/>
  <c r="E31" i="46"/>
  <c r="E30" i="46"/>
  <c r="U11" i="46" s="1"/>
  <c r="E20" i="46"/>
  <c r="E24" i="46"/>
  <c r="E38" i="46"/>
  <c r="E19" i="46"/>
  <c r="E37" i="46"/>
  <c r="E23" i="46"/>
  <c r="E34" i="46"/>
  <c r="E28" i="46"/>
  <c r="E32" i="46"/>
  <c r="E17" i="46"/>
  <c r="E12" i="46"/>
  <c r="E13" i="46"/>
  <c r="E7" i="46"/>
  <c r="E9" i="46"/>
  <c r="E11" i="46"/>
  <c r="E8" i="46"/>
  <c r="E10" i="46"/>
  <c r="U9" i="46" l="1"/>
  <c r="U8" i="46"/>
  <c r="U7" i="46"/>
  <c r="U5" i="46"/>
  <c r="V11" i="46" s="1"/>
  <c r="U10" i="46"/>
  <c r="U6" i="46"/>
  <c r="E44" i="46"/>
  <c r="E14" i="46"/>
  <c r="E40" i="46"/>
  <c r="N43" i="46"/>
  <c r="N46" i="46" s="1"/>
  <c r="P43" i="46"/>
  <c r="P46" i="46" s="1"/>
  <c r="Q43" i="46"/>
  <c r="Q46" i="46" s="1"/>
  <c r="M43" i="46"/>
  <c r="M46" i="46" s="1"/>
  <c r="O43" i="46"/>
  <c r="O46" i="46" s="1"/>
  <c r="L43" i="46"/>
  <c r="L46" i="46" s="1"/>
  <c r="E45" i="46"/>
  <c r="V9" i="46" l="1"/>
  <c r="V6" i="46"/>
  <c r="V13" i="46"/>
  <c r="V5" i="46"/>
  <c r="V12" i="46"/>
  <c r="V7" i="46"/>
  <c r="V8" i="46"/>
  <c r="V10" i="46"/>
  <c r="E46" i="46"/>
  <c r="U14" i="46" l="1"/>
  <c r="V14" i="46" s="1"/>
  <c r="F46" i="46" l="1"/>
  <c r="G43" i="46" l="1"/>
  <c r="G46" i="46" s="1"/>
  <c r="H43" i="46" s="1"/>
  <c r="H46" i="46" s="1"/>
  <c r="I43" i="46" s="1"/>
  <c r="I46" i="46" s="1"/>
  <c r="J43" i="46" s="1"/>
  <c r="J46" i="46" s="1"/>
  <c r="K43" i="46" s="1"/>
  <c r="K46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Costa dos Santos</author>
  </authors>
  <commentList>
    <comment ref="F43" authorId="0" shapeId="0" xr:uid="{6C7435F4-F99A-4918-8693-B1C495349DF7}">
      <text>
        <r>
          <rPr>
            <b/>
            <sz val="9"/>
            <color indexed="81"/>
            <rFont val="Segoe UI"/>
            <family val="2"/>
          </rPr>
          <t>marcelo Costa dos Santos:</t>
        </r>
        <r>
          <rPr>
            <sz val="9"/>
            <color indexed="81"/>
            <rFont val="Segoe UI"/>
            <family val="2"/>
          </rPr>
          <t xml:space="preserve">
Saldo inicial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Costa dos Santos</author>
  </authors>
  <commentList>
    <comment ref="L3" authorId="0" shapeId="0" xr:uid="{D44C330F-19A0-453F-8F61-A86C0FAE4267}">
      <text>
        <r>
          <rPr>
            <b/>
            <sz val="9"/>
            <color indexed="81"/>
            <rFont val="Segoe UI"/>
            <family val="2"/>
          </rPr>
          <t>marcelo Costa dos Santos:</t>
        </r>
        <r>
          <rPr>
            <sz val="9"/>
            <color indexed="81"/>
            <rFont val="Segoe UI"/>
            <family val="2"/>
          </rPr>
          <t xml:space="preserve">
Inserir manualmente o saldo inicial aqui</t>
        </r>
      </text>
    </comment>
  </commentList>
</comments>
</file>

<file path=xl/sharedStrings.xml><?xml version="1.0" encoding="utf-8"?>
<sst xmlns="http://schemas.openxmlformats.org/spreadsheetml/2006/main" count="2197" uniqueCount="114">
  <si>
    <t>ENTRADAS</t>
  </si>
  <si>
    <t>SAÍDAS</t>
  </si>
  <si>
    <t>RESULTADO</t>
  </si>
  <si>
    <t>(+) TOTAL DE ENTRADAS</t>
  </si>
  <si>
    <t>(-) TOTAL DE SAÍDAS</t>
  </si>
  <si>
    <t>ACUM</t>
  </si>
  <si>
    <t>(=) TOTAL SAÍDAS</t>
  </si>
  <si>
    <t>(=) TOTAL ENTRADAS</t>
  </si>
  <si>
    <t>OPF1</t>
  </si>
  <si>
    <t>OPF2</t>
  </si>
  <si>
    <t>TRI1</t>
  </si>
  <si>
    <t>FIN1</t>
  </si>
  <si>
    <t>REC1</t>
  </si>
  <si>
    <t>REC2</t>
  </si>
  <si>
    <t>REC3</t>
  </si>
  <si>
    <t>REC4</t>
  </si>
  <si>
    <t>Observações</t>
  </si>
  <si>
    <t>Descrição</t>
  </si>
  <si>
    <t>x</t>
  </si>
  <si>
    <t>Concat 2</t>
  </si>
  <si>
    <t>Concat 3</t>
  </si>
  <si>
    <t>Sinko</t>
  </si>
  <si>
    <t>TODAS</t>
  </si>
  <si>
    <t>SELECIONE O CENTRO DE RESULTADO =&gt;</t>
  </si>
  <si>
    <t>Centro de Resultado</t>
  </si>
  <si>
    <t>MCS</t>
  </si>
  <si>
    <t>FLUXO DE CAIXA ANO - MCS</t>
  </si>
  <si>
    <t>Descrição CR</t>
  </si>
  <si>
    <t>TODOS CRs</t>
  </si>
  <si>
    <t>-</t>
  </si>
  <si>
    <t>Natureza</t>
  </si>
  <si>
    <t>Total</t>
  </si>
  <si>
    <t>CPF - Desp. Impostos e Obrigações</t>
  </si>
  <si>
    <t>CPF - Pensão - Alimentação</t>
  </si>
  <si>
    <t>CPF - Pensão - Farmácia e Saúde</t>
  </si>
  <si>
    <t>Saldo banco</t>
  </si>
  <si>
    <t>CPF - Desp. Financeiras - Empréstimos</t>
  </si>
  <si>
    <t>FIN2</t>
  </si>
  <si>
    <t>CPF - Pensão - Energia</t>
  </si>
  <si>
    <t>CPF - Pensão - Água</t>
  </si>
  <si>
    <t>CPF - Pensão - Aluguel</t>
  </si>
  <si>
    <t>PENS1</t>
  </si>
  <si>
    <t>PENS2</t>
  </si>
  <si>
    <t>PENS3</t>
  </si>
  <si>
    <t>DESP1</t>
  </si>
  <si>
    <t>DESP2</t>
  </si>
  <si>
    <t>DESP3</t>
  </si>
  <si>
    <t>DESP4</t>
  </si>
  <si>
    <t>PENS4</t>
  </si>
  <si>
    <t>PENS5</t>
  </si>
  <si>
    <t>PENS6</t>
  </si>
  <si>
    <t>PENS7</t>
  </si>
  <si>
    <t>PENS8</t>
  </si>
  <si>
    <t>REC5</t>
  </si>
  <si>
    <t>X</t>
  </si>
  <si>
    <t>DESP5</t>
  </si>
  <si>
    <t>CPF - Desp. Cartão de crédito</t>
  </si>
  <si>
    <t>CPF - Transf. Da conta PJ para a conta PF</t>
  </si>
  <si>
    <t>CPF - Pensão - Outros Gastos</t>
  </si>
  <si>
    <t xml:space="preserve">CPF - Desp. com veículo - Manut. / Gastos </t>
  </si>
  <si>
    <t>CPF - Pensão - Internet</t>
  </si>
  <si>
    <t>PENS9</t>
  </si>
  <si>
    <t>CPF - Desp. Telefone / Internet</t>
  </si>
  <si>
    <t>CPF - Outras receitas</t>
  </si>
  <si>
    <t>CPF - Desp. Transporte / Combustível</t>
  </si>
  <si>
    <t>CPF - Desp. Lazer e Entretenimento - Bares</t>
  </si>
  <si>
    <t>CPF - Desp. Lazer e Entretenimento - Cigarro</t>
  </si>
  <si>
    <t>CPF - Desp. Alimentação / Refeição</t>
  </si>
  <si>
    <t>CPF - Remun. Salário / Pró-Labore</t>
  </si>
  <si>
    <t>CPF - Pensão - Plano de saúde</t>
  </si>
  <si>
    <t>CPF - Outros gastos</t>
  </si>
  <si>
    <t>CPF - Pensão - Supermercado</t>
  </si>
  <si>
    <t>CPF - Desp. Financeiras - Juros / Tarifas</t>
  </si>
  <si>
    <t>CPF - Transf. Da conta PF para a conta PJ</t>
  </si>
  <si>
    <t>CPF - Desp. Moradia</t>
  </si>
  <si>
    <t>CPF - Pensão - Outras receitas</t>
  </si>
  <si>
    <t>REC7</t>
  </si>
  <si>
    <t>GAST1</t>
  </si>
  <si>
    <t>GAST2</t>
  </si>
  <si>
    <t>OUG1</t>
  </si>
  <si>
    <t>(=) SALDO ATUAL</t>
  </si>
  <si>
    <t>SALDO ANTERIOR</t>
  </si>
  <si>
    <t>CARGA % DA PENSÃO =&gt;</t>
  </si>
  <si>
    <t>CPF - Rec. Financeiras - Empréstimos</t>
  </si>
  <si>
    <t>CPF - Ajuda de custo - Combustível</t>
  </si>
  <si>
    <t>CPF - Ajuda de custo - Refeição</t>
  </si>
  <si>
    <t>TOTAL</t>
  </si>
  <si>
    <t>REC</t>
  </si>
  <si>
    <t>OPF</t>
  </si>
  <si>
    <t>DESP</t>
  </si>
  <si>
    <t>GAST</t>
  </si>
  <si>
    <t>FIN</t>
  </si>
  <si>
    <t>TRI</t>
  </si>
  <si>
    <t>OUG</t>
  </si>
  <si>
    <t>PENS</t>
  </si>
  <si>
    <t>Grupo</t>
  </si>
  <si>
    <t>GRUPO</t>
  </si>
  <si>
    <t>REC6</t>
  </si>
  <si>
    <t>Entidade</t>
  </si>
  <si>
    <r>
      <t xml:space="preserve">SELECIONE A ENTIDADE QUE </t>
    </r>
    <r>
      <rPr>
        <b/>
        <sz val="14"/>
        <color rgb="FFFF0000"/>
        <rFont val="Calibri"/>
        <family val="2"/>
        <scheme val="minor"/>
      </rPr>
      <t>PAGOU</t>
    </r>
    <r>
      <rPr>
        <b/>
        <sz val="14"/>
        <color rgb="FF0070C0"/>
        <rFont val="Calibri"/>
        <family val="2"/>
        <scheme val="minor"/>
      </rPr>
      <t xml:space="preserve"> OU </t>
    </r>
    <r>
      <rPr>
        <b/>
        <sz val="14"/>
        <color rgb="FF00B050"/>
        <rFont val="Calibri"/>
        <family val="2"/>
        <scheme val="minor"/>
      </rPr>
      <t>RECEBEU</t>
    </r>
    <r>
      <rPr>
        <b/>
        <sz val="14"/>
        <color rgb="FF0070C0"/>
        <rFont val="Calibri"/>
        <family val="2"/>
        <scheme val="minor"/>
      </rPr>
      <t xml:space="preserve"> =&gt;</t>
    </r>
  </si>
  <si>
    <t>RESUMO FLUXO CAIXA</t>
  </si>
  <si>
    <t>A.V. %</t>
  </si>
  <si>
    <t>SUPERÁVIT</t>
  </si>
  <si>
    <t>DATA REAL</t>
  </si>
  <si>
    <t>EMPRESA</t>
  </si>
  <si>
    <t>Data real</t>
  </si>
  <si>
    <t>Data prevista</t>
  </si>
  <si>
    <t>REAL</t>
  </si>
  <si>
    <t>PREVISTO</t>
  </si>
  <si>
    <t>Fluxo</t>
  </si>
  <si>
    <t>Empresa &amp; Natureza</t>
  </si>
  <si>
    <t>Empresa &amp; CR</t>
  </si>
  <si>
    <t>FIN3</t>
  </si>
  <si>
    <t>CPF - Desp. Financeiras - Empréstimos bancários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</si>
</sst>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/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/>
      <bottom/>
      <diagonal/>
    </border>
    <border>
      <left style="thin">
        <color theme="0" tint="-0.1499679555650502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1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19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8" borderId="0" xfId="0" applyFont="1" applyFill="1"/>
    <xf numFmtId="0" fontId="5" fillId="8" borderId="0" xfId="0" applyFont="1" applyFill="1" applyAlignment="1">
      <alignment horizontal="center" vertical="center"/>
    </xf>
    <xf numFmtId="0" fontId="11" fillId="8" borderId="0" xfId="0" applyFont="1" applyFill="1"/>
    <xf numFmtId="0" fontId="12" fillId="0" borderId="0" xfId="0" applyFont="1" applyAlignment="1">
      <alignment horizontal="right"/>
    </xf>
    <xf numFmtId="164" fontId="2" fillId="0" borderId="0" xfId="1" applyNumberFormat="1" applyFont="1"/>
    <xf numFmtId="0" fontId="2" fillId="9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43" fontId="2" fillId="9" borderId="0" xfId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vertical="center"/>
    </xf>
    <xf numFmtId="43" fontId="7" fillId="4" borderId="0" xfId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left" vertical="center"/>
    </xf>
    <xf numFmtId="164" fontId="0" fillId="0" borderId="0" xfId="1" applyNumberFormat="1" applyFont="1"/>
    <xf numFmtId="0" fontId="5" fillId="7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9" fontId="4" fillId="0" borderId="0" xfId="2" applyFont="1" applyAlignment="1">
      <alignment horizontal="center"/>
    </xf>
    <xf numFmtId="43" fontId="4" fillId="0" borderId="0" xfId="1" applyFont="1"/>
    <xf numFmtId="0" fontId="16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43" fontId="2" fillId="0" borderId="0" xfId="1" applyFont="1" applyAlignment="1">
      <alignment vertical="center"/>
    </xf>
    <xf numFmtId="0" fontId="2" fillId="9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14" fontId="7" fillId="4" borderId="0" xfId="0" applyNumberFormat="1" applyFont="1" applyFill="1" applyAlignment="1">
      <alignment horizontal="center" vertical="center"/>
    </xf>
    <xf numFmtId="14" fontId="7" fillId="4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1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21" fillId="0" borderId="0" xfId="0" applyFont="1"/>
    <xf numFmtId="0" fontId="20" fillId="0" borderId="0" xfId="0" applyFont="1"/>
    <xf numFmtId="43" fontId="20" fillId="4" borderId="0" xfId="1" applyFont="1" applyFill="1" applyBorder="1" applyAlignment="1" applyProtection="1">
      <alignment vertical="center"/>
      <protection locked="0"/>
    </xf>
    <xf numFmtId="0" fontId="21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vertical="center"/>
    </xf>
    <xf numFmtId="0" fontId="21" fillId="4" borderId="0" xfId="0" applyFont="1" applyFill="1" applyAlignment="1">
      <alignment horizontal="left" vertical="center"/>
    </xf>
    <xf numFmtId="14" fontId="21" fillId="4" borderId="0" xfId="0" applyNumberFormat="1" applyFont="1" applyFill="1" applyAlignment="1">
      <alignment horizontal="center" vertical="center"/>
    </xf>
    <xf numFmtId="14" fontId="21" fillId="4" borderId="0" xfId="0" applyNumberFormat="1" applyFont="1" applyFill="1" applyAlignment="1">
      <alignment horizontal="left" vertical="center"/>
    </xf>
    <xf numFmtId="43" fontId="21" fillId="4" borderId="0" xfId="1" applyFont="1" applyFill="1" applyBorder="1" applyAlignment="1" applyProtection="1">
      <alignment vertical="center"/>
      <protection locked="0"/>
    </xf>
    <xf numFmtId="14" fontId="20" fillId="4" borderId="0" xfId="0" applyNumberFormat="1" applyFont="1" applyFill="1" applyAlignment="1">
      <alignment horizontal="left" vertical="center"/>
    </xf>
    <xf numFmtId="0" fontId="21" fillId="8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center" vertical="center"/>
    </xf>
    <xf numFmtId="14" fontId="20" fillId="4" borderId="0" xfId="0" applyNumberFormat="1" applyFont="1" applyFill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0" fillId="0" borderId="5" xfId="0" applyBorder="1"/>
    <xf numFmtId="0" fontId="21" fillId="0" borderId="4" xfId="0" applyFont="1" applyBorder="1"/>
    <xf numFmtId="0" fontId="21" fillId="0" borderId="5" xfId="0" applyFont="1" applyBorder="1"/>
    <xf numFmtId="0" fontId="20" fillId="0" borderId="4" xfId="0" applyFont="1" applyBorder="1"/>
    <xf numFmtId="0" fontId="20" fillId="0" borderId="5" xfId="0" applyFont="1" applyBorder="1"/>
    <xf numFmtId="0" fontId="5" fillId="7" borderId="6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center"/>
    </xf>
    <xf numFmtId="0" fontId="2" fillId="0" borderId="8" xfId="0" applyFont="1" applyBorder="1"/>
    <xf numFmtId="164" fontId="13" fillId="0" borderId="6" xfId="1" applyNumberFormat="1" applyFont="1" applyBorder="1" applyAlignment="1">
      <alignment horizontal="center"/>
    </xf>
    <xf numFmtId="43" fontId="13" fillId="0" borderId="6" xfId="1" applyFont="1" applyBorder="1"/>
    <xf numFmtId="0" fontId="3" fillId="0" borderId="8" xfId="0" applyFont="1" applyBorder="1"/>
    <xf numFmtId="164" fontId="3" fillId="0" borderId="6" xfId="1" applyNumberFormat="1" applyFont="1" applyBorder="1" applyAlignment="1">
      <alignment horizontal="center"/>
    </xf>
    <xf numFmtId="43" fontId="8" fillId="0" borderId="6" xfId="1" applyFont="1" applyBorder="1"/>
    <xf numFmtId="0" fontId="2" fillId="2" borderId="8" xfId="0" applyFont="1" applyFill="1" applyBorder="1"/>
    <xf numFmtId="164" fontId="3" fillId="2" borderId="1" xfId="1" applyNumberFormat="1" applyFont="1" applyFill="1" applyBorder="1"/>
    <xf numFmtId="43" fontId="2" fillId="0" borderId="6" xfId="1" applyFont="1" applyBorder="1"/>
    <xf numFmtId="0" fontId="26" fillId="0" borderId="0" xfId="0" applyFont="1"/>
    <xf numFmtId="0" fontId="11" fillId="8" borderId="6" xfId="0" applyFont="1" applyFill="1" applyBorder="1" applyAlignment="1">
      <alignment horizontal="right" vertical="center"/>
    </xf>
    <xf numFmtId="165" fontId="27" fillId="0" borderId="1" xfId="2" applyNumberFormat="1" applyFont="1" applyBorder="1"/>
    <xf numFmtId="0" fontId="28" fillId="0" borderId="0" xfId="0" applyFont="1" applyAlignment="1">
      <alignment horizontal="center" vertical="center"/>
    </xf>
    <xf numFmtId="0" fontId="28" fillId="2" borderId="0" xfId="0" applyFont="1" applyFill="1"/>
    <xf numFmtId="164" fontId="28" fillId="2" borderId="0" xfId="1" applyNumberFormat="1" applyFont="1" applyFill="1" applyAlignment="1">
      <alignment horizontal="center"/>
    </xf>
    <xf numFmtId="0" fontId="29" fillId="0" borderId="0" xfId="0" applyFont="1"/>
    <xf numFmtId="0" fontId="30" fillId="0" borderId="0" xfId="0" applyFont="1"/>
    <xf numFmtId="0" fontId="12" fillId="2" borderId="0" xfId="0" applyFont="1" applyFill="1"/>
    <xf numFmtId="164" fontId="28" fillId="2" borderId="0" xfId="1" applyNumberFormat="1" applyFont="1" applyFill="1" applyProtection="1"/>
    <xf numFmtId="164" fontId="12" fillId="2" borderId="0" xfId="1" applyNumberFormat="1" applyFont="1" applyFill="1"/>
    <xf numFmtId="0" fontId="2" fillId="9" borderId="6" xfId="0" applyFont="1" applyFill="1" applyBorder="1"/>
    <xf numFmtId="0" fontId="2" fillId="9" borderId="8" xfId="0" applyFont="1" applyFill="1" applyBorder="1" applyAlignment="1">
      <alignment horizontal="center"/>
    </xf>
    <xf numFmtId="164" fontId="1" fillId="9" borderId="6" xfId="1" applyNumberFormat="1" applyFont="1" applyFill="1" applyBorder="1"/>
    <xf numFmtId="0" fontId="21" fillId="0" borderId="8" xfId="0" applyFont="1" applyBorder="1"/>
    <xf numFmtId="164" fontId="22" fillId="0" borderId="6" xfId="1" applyNumberFormat="1" applyFont="1" applyBorder="1" applyAlignment="1">
      <alignment horizontal="center"/>
    </xf>
    <xf numFmtId="43" fontId="22" fillId="0" borderId="6" xfId="1" applyFont="1" applyBorder="1"/>
    <xf numFmtId="0" fontId="28" fillId="2" borderId="0" xfId="0" applyFont="1" applyFill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3" borderId="8" xfId="0" applyFont="1" applyFill="1" applyBorder="1" applyAlignment="1">
      <alignment horizontal="center"/>
    </xf>
    <xf numFmtId="0" fontId="23" fillId="3" borderId="6" xfId="0" applyFont="1" applyFill="1" applyBorder="1"/>
    <xf numFmtId="164" fontId="23" fillId="3" borderId="6" xfId="1" applyNumberFormat="1" applyFont="1" applyFill="1" applyBorder="1" applyAlignment="1">
      <alignment horizontal="center"/>
    </xf>
    <xf numFmtId="164" fontId="19" fillId="3" borderId="6" xfId="1" applyNumberFormat="1" applyFont="1" applyFill="1" applyBorder="1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3" fillId="5" borderId="8" xfId="0" applyFont="1" applyFill="1" applyBorder="1" applyAlignment="1">
      <alignment horizontal="center"/>
    </xf>
    <xf numFmtId="0" fontId="23" fillId="5" borderId="6" xfId="0" applyFont="1" applyFill="1" applyBorder="1"/>
    <xf numFmtId="164" fontId="23" fillId="5" borderId="6" xfId="1" applyNumberFormat="1" applyFont="1" applyFill="1" applyBorder="1" applyAlignment="1">
      <alignment horizontal="center"/>
    </xf>
    <xf numFmtId="164" fontId="19" fillId="5" borderId="6" xfId="1" applyNumberFormat="1" applyFont="1" applyFill="1" applyBorder="1"/>
    <xf numFmtId="164" fontId="19" fillId="3" borderId="6" xfId="1" applyNumberFormat="1" applyFont="1" applyFill="1" applyBorder="1" applyProtection="1"/>
    <xf numFmtId="164" fontId="19" fillId="3" borderId="11" xfId="1" applyNumberFormat="1" applyFont="1" applyFill="1" applyBorder="1"/>
    <xf numFmtId="164" fontId="19" fillId="5" borderId="11" xfId="1" applyNumberFormat="1" applyFont="1" applyFill="1" applyBorder="1"/>
    <xf numFmtId="164" fontId="19" fillId="3" borderId="11" xfId="1" applyNumberFormat="1" applyFont="1" applyFill="1" applyBorder="1" applyProtection="1"/>
    <xf numFmtId="164" fontId="28" fillId="2" borderId="12" xfId="1" applyNumberFormat="1" applyFont="1" applyFill="1" applyBorder="1" applyProtection="1"/>
    <xf numFmtId="43" fontId="8" fillId="0" borderId="11" xfId="1" applyFont="1" applyBorder="1"/>
    <xf numFmtId="165" fontId="27" fillId="0" borderId="9" xfId="2" applyNumberFormat="1" applyFont="1" applyBorder="1"/>
    <xf numFmtId="165" fontId="27" fillId="0" borderId="11" xfId="2" applyNumberFormat="1" applyFont="1" applyBorder="1"/>
    <xf numFmtId="43" fontId="2" fillId="0" borderId="11" xfId="1" applyFont="1" applyBorder="1"/>
    <xf numFmtId="0" fontId="23" fillId="5" borderId="14" xfId="0" applyFont="1" applyFill="1" applyBorder="1" applyAlignment="1">
      <alignment horizontal="center"/>
    </xf>
    <xf numFmtId="0" fontId="23" fillId="5" borderId="15" xfId="0" applyFont="1" applyFill="1" applyBorder="1"/>
    <xf numFmtId="164" fontId="23" fillId="5" borderId="15" xfId="1" applyNumberFormat="1" applyFont="1" applyFill="1" applyBorder="1" applyAlignment="1">
      <alignment horizontal="center"/>
    </xf>
    <xf numFmtId="164" fontId="19" fillId="5" borderId="15" xfId="1" applyNumberFormat="1" applyFont="1" applyFill="1" applyBorder="1" applyProtection="1"/>
    <xf numFmtId="164" fontId="19" fillId="5" borderId="10" xfId="1" applyNumberFormat="1" applyFont="1" applyFill="1" applyBorder="1" applyProtection="1"/>
    <xf numFmtId="0" fontId="23" fillId="3" borderId="13" xfId="0" applyFont="1" applyFill="1" applyBorder="1" applyAlignment="1">
      <alignment horizontal="center"/>
    </xf>
    <xf numFmtId="0" fontId="23" fillId="3" borderId="16" xfId="0" applyFont="1" applyFill="1" applyBorder="1"/>
    <xf numFmtId="164" fontId="23" fillId="3" borderId="16" xfId="1" applyNumberFormat="1" applyFont="1" applyFill="1" applyBorder="1" applyAlignment="1">
      <alignment horizontal="center"/>
    </xf>
    <xf numFmtId="164" fontId="19" fillId="3" borderId="16" xfId="1" applyNumberFormat="1" applyFont="1" applyFill="1" applyBorder="1" applyProtection="1"/>
    <xf numFmtId="164" fontId="19" fillId="3" borderId="17" xfId="1" applyNumberFormat="1" applyFont="1" applyFill="1" applyBorder="1" applyProtection="1"/>
    <xf numFmtId="0" fontId="23" fillId="9" borderId="8" xfId="0" applyFont="1" applyFill="1" applyBorder="1" applyAlignment="1">
      <alignment horizontal="center"/>
    </xf>
    <xf numFmtId="0" fontId="23" fillId="9" borderId="6" xfId="0" applyFont="1" applyFill="1" applyBorder="1"/>
    <xf numFmtId="0" fontId="22" fillId="9" borderId="8" xfId="0" applyFont="1" applyFill="1" applyBorder="1" applyAlignment="1">
      <alignment horizontal="center"/>
    </xf>
    <xf numFmtId="0" fontId="22" fillId="9" borderId="6" xfId="0" applyFont="1" applyFill="1" applyBorder="1"/>
    <xf numFmtId="164" fontId="21" fillId="9" borderId="6" xfId="1" applyNumberFormat="1" applyFont="1" applyFill="1" applyBorder="1"/>
    <xf numFmtId="0" fontId="19" fillId="0" borderId="4" xfId="0" applyFont="1" applyBorder="1"/>
    <xf numFmtId="0" fontId="19" fillId="0" borderId="5" xfId="0" applyFont="1" applyBorder="1"/>
    <xf numFmtId="0" fontId="20" fillId="5" borderId="4" xfId="0" applyFont="1" applyFill="1" applyBorder="1"/>
    <xf numFmtId="0" fontId="20" fillId="5" borderId="5" xfId="0" applyFont="1" applyFill="1" applyBorder="1"/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5" fillId="8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3" fillId="0" borderId="0" xfId="0" applyFont="1"/>
    <xf numFmtId="164" fontId="23" fillId="9" borderId="6" xfId="1" applyNumberFormat="1" applyFont="1" applyFill="1" applyBorder="1"/>
    <xf numFmtId="0" fontId="23" fillId="0" borderId="18" xfId="0" applyFont="1" applyBorder="1" applyAlignment="1">
      <alignment horizontal="left"/>
    </xf>
    <xf numFmtId="9" fontId="23" fillId="0" borderId="18" xfId="2" applyFont="1" applyBorder="1"/>
    <xf numFmtId="43" fontId="23" fillId="0" borderId="18" xfId="1" applyFont="1" applyBorder="1"/>
    <xf numFmtId="17" fontId="5" fillId="7" borderId="6" xfId="0" applyNumberFormat="1" applyFont="1" applyFill="1" applyBorder="1" applyAlignment="1">
      <alignment horizontal="left" vertical="center"/>
    </xf>
    <xf numFmtId="17" fontId="5" fillId="7" borderId="11" xfId="0" applyNumberFormat="1" applyFont="1" applyFill="1" applyBorder="1" applyAlignment="1">
      <alignment horizontal="left" vertical="center"/>
    </xf>
    <xf numFmtId="17" fontId="5" fillId="6" borderId="0" xfId="0" applyNumberFormat="1" applyFont="1" applyFill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43" fontId="22" fillId="0" borderId="11" xfId="1" applyFont="1" applyBorder="1"/>
    <xf numFmtId="43" fontId="3" fillId="11" borderId="7" xfId="1" applyFont="1" applyFill="1" applyBorder="1"/>
    <xf numFmtId="0" fontId="5" fillId="8" borderId="15" xfId="0" applyFont="1" applyFill="1" applyBorder="1" applyAlignment="1">
      <alignment horizontal="center" vertical="center"/>
    </xf>
    <xf numFmtId="0" fontId="22" fillId="0" borderId="19" xfId="0" applyFont="1" applyBorder="1" applyAlignment="1">
      <alignment horizontal="left"/>
    </xf>
    <xf numFmtId="43" fontId="22" fillId="0" borderId="19" xfId="1" applyFont="1" applyBorder="1"/>
    <xf numFmtId="0" fontId="23" fillId="0" borderId="21" xfId="0" applyFont="1" applyBorder="1" applyAlignment="1">
      <alignment horizontal="left"/>
    </xf>
    <xf numFmtId="43" fontId="23" fillId="0" borderId="21" xfId="1" applyFont="1" applyBorder="1"/>
    <xf numFmtId="9" fontId="23" fillId="0" borderId="21" xfId="2" applyFont="1" applyBorder="1"/>
    <xf numFmtId="0" fontId="22" fillId="2" borderId="19" xfId="0" applyFont="1" applyFill="1" applyBorder="1"/>
    <xf numFmtId="43" fontId="22" fillId="2" borderId="19" xfId="1" applyFont="1" applyFill="1" applyBorder="1"/>
    <xf numFmtId="9" fontId="22" fillId="0" borderId="20" xfId="2" applyFont="1" applyBorder="1"/>
    <xf numFmtId="0" fontId="20" fillId="0" borderId="18" xfId="0" applyFont="1" applyBorder="1" applyAlignment="1">
      <alignment horizontal="left"/>
    </xf>
    <xf numFmtId="43" fontId="20" fillId="0" borderId="18" xfId="1" applyFont="1" applyBorder="1"/>
    <xf numFmtId="9" fontId="20" fillId="0" borderId="18" xfId="2" applyFont="1" applyBorder="1"/>
    <xf numFmtId="0" fontId="3" fillId="3" borderId="22" xfId="0" applyFont="1" applyFill="1" applyBorder="1"/>
    <xf numFmtId="43" fontId="3" fillId="3" borderId="22" xfId="1" applyFont="1" applyFill="1" applyBorder="1"/>
    <xf numFmtId="9" fontId="3" fillId="3" borderId="23" xfId="2" applyFont="1" applyFill="1" applyBorder="1"/>
    <xf numFmtId="9" fontId="22" fillId="2" borderId="20" xfId="2" applyFont="1" applyFill="1" applyBorder="1"/>
    <xf numFmtId="0" fontId="3" fillId="0" borderId="18" xfId="0" applyFont="1" applyBorder="1" applyAlignment="1">
      <alignment horizontal="left"/>
    </xf>
    <xf numFmtId="43" fontId="3" fillId="0" borderId="18" xfId="1" applyFont="1" applyBorder="1"/>
    <xf numFmtId="9" fontId="3" fillId="0" borderId="18" xfId="2" applyFont="1" applyBorder="1"/>
    <xf numFmtId="14" fontId="0" fillId="0" borderId="0" xfId="0" applyNumberFormat="1" applyAlignment="1">
      <alignment vertical="center"/>
    </xf>
    <xf numFmtId="14" fontId="2" fillId="9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9" fillId="2" borderId="6" xfId="0" applyNumberFormat="1" applyFont="1" applyFill="1" applyBorder="1" applyAlignment="1">
      <alignment horizontal="center" vertical="center"/>
    </xf>
    <xf numFmtId="17" fontId="9" fillId="2" borderId="11" xfId="0" applyNumberFormat="1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17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9" fillId="0" borderId="18" xfId="0" applyFont="1" applyBorder="1" applyAlignment="1">
      <alignment horizontal="left"/>
    </xf>
    <xf numFmtId="43" fontId="19" fillId="0" borderId="18" xfId="1" applyFont="1" applyBorder="1"/>
    <xf numFmtId="9" fontId="19" fillId="0" borderId="18" xfId="2" applyFont="1" applyBorder="1"/>
    <xf numFmtId="0" fontId="20" fillId="0" borderId="0" xfId="0" applyFont="1" applyAlignment="1">
      <alignment vertical="center"/>
    </xf>
    <xf numFmtId="0" fontId="20" fillId="10" borderId="0" xfId="0" applyFont="1" applyFill="1" applyAlignment="1">
      <alignment horizontal="center" vertical="center"/>
    </xf>
    <xf numFmtId="0" fontId="20" fillId="8" borderId="0" xfId="0" applyFont="1" applyFill="1" applyAlignment="1">
      <alignment vertical="center"/>
    </xf>
    <xf numFmtId="43" fontId="20" fillId="11" borderId="0" xfId="1" applyFont="1" applyFill="1" applyBorder="1" applyAlignment="1" applyProtection="1">
      <alignment vertical="center"/>
      <protection locked="0"/>
    </xf>
    <xf numFmtId="17" fontId="20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7" fontId="9" fillId="11" borderId="6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164" fontId="22" fillId="9" borderId="24" xfId="1" applyNumberFormat="1" applyFont="1" applyFill="1" applyBorder="1" applyAlignment="1">
      <alignment horizontal="center"/>
    </xf>
    <xf numFmtId="164" fontId="6" fillId="9" borderId="24" xfId="1" applyNumberFormat="1" applyFont="1" applyFill="1" applyBorder="1" applyAlignment="1">
      <alignment horizontal="center"/>
    </xf>
    <xf numFmtId="164" fontId="23" fillId="9" borderId="24" xfId="1" applyNumberFormat="1" applyFont="1" applyFill="1" applyBorder="1" applyAlignment="1">
      <alignment horizontal="center"/>
    </xf>
    <xf numFmtId="164" fontId="12" fillId="2" borderId="25" xfId="1" applyNumberFormat="1" applyFont="1" applyFill="1" applyBorder="1" applyAlignment="1">
      <alignment horizontal="center"/>
    </xf>
    <xf numFmtId="0" fontId="16" fillId="4" borderId="0" xfId="0" applyFont="1" applyFill="1" applyAlignment="1">
      <alignment horizontal="left" vertical="center"/>
    </xf>
  </cellXfs>
  <cellStyles count="6">
    <cellStyle name="Normal" xfId="0" builtinId="0"/>
    <cellStyle name="Normal 2" xfId="3" xr:uid="{00000000-0005-0000-0000-000001000000}"/>
    <cellStyle name="Porcentagem" xfId="2" builtinId="5"/>
    <cellStyle name="Porcentagem 2" xfId="5" xr:uid="{00000000-0005-0000-0000-000003000000}"/>
    <cellStyle name="Vírgula" xfId="1" builtinId="3"/>
    <cellStyle name="Vírgula 2" xfId="4" xr:uid="{00000000-0005-0000-0000-000005000000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CCFFCC"/>
      <color rgb="FFFF00FF"/>
      <color rgb="FF00FF00"/>
      <color rgb="FF66FF33"/>
      <color rgb="FFFF6699"/>
      <color rgb="FF6666FF"/>
      <color rgb="FFFF99FF"/>
      <color rgb="FFFF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6D53-4352-4A9E-920E-606D1C313C6A}">
  <sheetPr codeName="Planilha2">
    <tabColor theme="1"/>
  </sheetPr>
  <dimension ref="A1:W48"/>
  <sheetViews>
    <sheetView showGridLines="0" tabSelected="1" zoomScale="80" zoomScaleNormal="80" workbookViewId="0">
      <pane ySplit="6" topLeftCell="A7" activePane="bottomLeft" state="frozen"/>
      <selection pane="bottomLeft" activeCell="G10" sqref="G10"/>
    </sheetView>
  </sheetViews>
  <sheetFormatPr defaultColWidth="9.140625" defaultRowHeight="15" x14ac:dyDescent="0.25"/>
  <cols>
    <col min="1" max="1" width="2.7109375" style="1" customWidth="1"/>
    <col min="2" max="2" width="9.85546875" style="1" bestFit="1" customWidth="1"/>
    <col min="3" max="3" width="11.42578125" style="1" customWidth="1"/>
    <col min="4" max="4" width="41.42578125" style="1" customWidth="1"/>
    <col min="5" max="5" width="19.85546875" style="2" customWidth="1"/>
    <col min="6" max="16" width="12.28515625" style="1" customWidth="1"/>
    <col min="17" max="17" width="11.5703125" style="1" customWidth="1"/>
    <col min="18" max="18" width="9.140625" style="1"/>
    <col min="19" max="19" width="6.5703125" style="1" customWidth="1"/>
    <col min="20" max="20" width="12.85546875" style="1" customWidth="1"/>
    <col min="21" max="21" width="14.7109375" style="1" customWidth="1"/>
    <col min="22" max="22" width="11" style="1" customWidth="1"/>
    <col min="23" max="23" width="12" style="1" bestFit="1" customWidth="1"/>
    <col min="24" max="16384" width="9.140625" style="1"/>
  </cols>
  <sheetData>
    <row r="1" spans="1:23" ht="12.75" customHeight="1" x14ac:dyDescent="0.25">
      <c r="A1"/>
      <c r="D1" s="24"/>
      <c r="E1" s="23"/>
    </row>
    <row r="2" spans="1:23" ht="18.75" x14ac:dyDescent="0.3">
      <c r="A2" s="6" t="s">
        <v>25</v>
      </c>
      <c r="B2" s="9" t="s">
        <v>26</v>
      </c>
      <c r="C2" s="9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23" ht="16.5" customHeight="1" x14ac:dyDescent="0.3">
      <c r="A3" s="6" t="s">
        <v>25</v>
      </c>
      <c r="B3" s="6"/>
      <c r="C3" s="6"/>
      <c r="D3" s="10" t="s">
        <v>99</v>
      </c>
      <c r="E3" s="25" t="s">
        <v>25</v>
      </c>
      <c r="F3"/>
      <c r="G3"/>
      <c r="H3"/>
      <c r="I3"/>
      <c r="J3"/>
      <c r="K3"/>
      <c r="L3"/>
      <c r="M3"/>
      <c r="N3"/>
      <c r="O3"/>
      <c r="P3"/>
      <c r="Q3"/>
      <c r="T3" s="40" t="s">
        <v>100</v>
      </c>
    </row>
    <row r="4" spans="1:23" ht="16.5" customHeight="1" x14ac:dyDescent="0.3">
      <c r="A4" s="6" t="s">
        <v>25</v>
      </c>
      <c r="B4" s="6"/>
      <c r="C4" s="6"/>
      <c r="D4" s="10" t="s">
        <v>23</v>
      </c>
      <c r="E4" s="193" t="s">
        <v>28</v>
      </c>
      <c r="F4" s="193"/>
      <c r="G4" s="193"/>
      <c r="H4" s="193"/>
      <c r="I4"/>
      <c r="J4"/>
      <c r="K4"/>
      <c r="L4"/>
      <c r="M4"/>
      <c r="N4"/>
      <c r="O4"/>
      <c r="P4"/>
      <c r="Q4"/>
      <c r="T4" s="150" t="s">
        <v>96</v>
      </c>
      <c r="U4" s="150" t="s">
        <v>86</v>
      </c>
      <c r="V4" s="150" t="s">
        <v>101</v>
      </c>
    </row>
    <row r="5" spans="1:23" x14ac:dyDescent="0.25">
      <c r="A5" s="6" t="s">
        <v>21</v>
      </c>
      <c r="B5" s="6"/>
      <c r="C5" s="6"/>
      <c r="D5" s="19"/>
      <c r="E5" s="19"/>
      <c r="F5"/>
      <c r="G5"/>
      <c r="H5"/>
      <c r="I5"/>
      <c r="J5"/>
      <c r="K5"/>
      <c r="L5"/>
      <c r="M5"/>
      <c r="N5"/>
      <c r="O5"/>
      <c r="P5"/>
      <c r="Q5"/>
      <c r="T5" s="151" t="s">
        <v>87</v>
      </c>
      <c r="U5" s="152">
        <f t="shared" ref="U5:U13" si="0">SUMIFS($E$7:$E$40,$B$7:$B$40,T5)</f>
        <v>33591.75</v>
      </c>
      <c r="V5" s="158">
        <f t="shared" ref="V5:V13" si="1">IFERROR(ABS(U5/$U$5),0)</f>
        <v>1</v>
      </c>
    </row>
    <row r="6" spans="1:23" ht="15" customHeight="1" x14ac:dyDescent="0.25">
      <c r="A6" s="6" t="s">
        <v>22</v>
      </c>
      <c r="B6" s="66" t="s">
        <v>95</v>
      </c>
      <c r="C6" s="66" t="s">
        <v>30</v>
      </c>
      <c r="D6" s="67" t="s">
        <v>0</v>
      </c>
      <c r="E6" s="188" t="s">
        <v>5</v>
      </c>
      <c r="F6" s="187">
        <v>46023</v>
      </c>
      <c r="G6" s="146">
        <v>46054</v>
      </c>
      <c r="H6" s="146">
        <v>46082</v>
      </c>
      <c r="I6" s="146">
        <v>46113</v>
      </c>
      <c r="J6" s="146">
        <v>46143</v>
      </c>
      <c r="K6" s="146">
        <v>46174</v>
      </c>
      <c r="L6" s="146">
        <v>46204</v>
      </c>
      <c r="M6" s="146">
        <v>46235</v>
      </c>
      <c r="N6" s="146">
        <v>46266</v>
      </c>
      <c r="O6" s="146">
        <v>46296</v>
      </c>
      <c r="P6" s="146">
        <v>46327</v>
      </c>
      <c r="Q6" s="146">
        <v>46357</v>
      </c>
      <c r="T6" s="153" t="s">
        <v>94</v>
      </c>
      <c r="U6" s="154">
        <f t="shared" si="0"/>
        <v>-11734.05</v>
      </c>
      <c r="V6" s="155">
        <f t="shared" si="1"/>
        <v>0.34931344749826965</v>
      </c>
    </row>
    <row r="7" spans="1:23" s="41" customFormat="1" ht="15" customHeight="1" x14ac:dyDescent="0.25">
      <c r="B7" s="127" t="s">
        <v>87</v>
      </c>
      <c r="C7" s="127" t="s">
        <v>12</v>
      </c>
      <c r="D7" s="128" t="s">
        <v>68</v>
      </c>
      <c r="E7" s="189">
        <f t="shared" ref="E7:E13" si="2">SUM(F7:Q7)</f>
        <v>0</v>
      </c>
      <c r="F7" s="129">
        <f>IF((AND($E$3="MCS",$E$4="TODOS CRs")),
SUMIFS('2026'!$K:$K,'2026'!$R:$R,$E$3&amp;$C7,'2026'!$T:$T,F$6),
SUMIFS('2026'!$K:$K,'2026'!$N:$N,$E$3&amp;$C7&amp;$E$4,'2026'!$T:$T,F$6))</f>
        <v>0</v>
      </c>
      <c r="G7" s="129">
        <f>IF((AND($E$3="MCS",$E$4="TODOS CRs")),
SUMIFS('2026'!$K:$K,'2026'!$R:$R,$E$3&amp;$C7,'2026'!$T:$T,G$6),
SUMIFS('2026'!$K:$K,'2026'!$N:$N,$E$3&amp;$C7&amp;$E$4,'2026'!$T:$T,G$6))</f>
        <v>0</v>
      </c>
      <c r="H7" s="129">
        <f>IF((AND($E$3="MCS",$E$4="TODOS CRs")),
SUMIFS('2026'!$K:$K,'2026'!$R:$R,$E$3&amp;$C7,'2026'!$T:$T,H$6),
SUMIFS('2026'!$K:$K,'2026'!$N:$N,$E$3&amp;$C7&amp;$E$4,'2026'!$T:$T,H$6))</f>
        <v>0</v>
      </c>
      <c r="I7" s="129">
        <f>IF((AND($E$3="MCS",$E$4="TODOS CRs")),
SUMIFS('2026'!$K:$K,'2026'!$R:$R,$E$3&amp;$C7,'2026'!$T:$T,I$6),
SUMIFS('2026'!$K:$K,'2026'!$N:$N,$E$3&amp;$C7&amp;$E$4,'2026'!$T:$T,I$6))</f>
        <v>0</v>
      </c>
      <c r="J7" s="129">
        <f>IF((AND($E$3="MCS",$E$4="TODOS CRs")),
SUMIFS('2026'!$K:$K,'2026'!$R:$R,$E$3&amp;$C7,'2026'!$T:$T,J$6),
SUMIFS('2026'!$K:$K,'2026'!$N:$N,$E$3&amp;$C7&amp;$E$4,'2026'!$T:$T,J$6))</f>
        <v>0</v>
      </c>
      <c r="K7" s="129">
        <f>IF((AND($E$3="MCS",$E$4="TODOS CRs")),
SUMIFS('2026'!$K:$K,'2026'!$R:$R,$E$3&amp;$C7,'2026'!$T:$T,K$6),
SUMIFS('2026'!$K:$K,'2026'!$N:$N,$E$3&amp;$C7&amp;$E$4,'2026'!$T:$T,K$6))</f>
        <v>0</v>
      </c>
      <c r="L7" s="129">
        <f>IF((AND($E$3="MCS",$E$4="TODOS CRs")),
SUMIFS('2026'!$K:$K,'2026'!$R:$R,$E$3&amp;$C7,'2026'!$T:$T,L$6),
SUMIFS('2026'!$K:$K,'2026'!$N:$N,$E$3&amp;$C7&amp;$E$4,'2026'!$T:$T,L$6))</f>
        <v>0</v>
      </c>
      <c r="M7" s="129">
        <f>IF((AND($E$3="MCS",$E$4="TODOS CRs")),
SUMIFS('2026'!$K:$K,'2026'!$R:$R,$E$3&amp;$C7,'2026'!$T:$T,M$6),
SUMIFS('2026'!$K:$K,'2026'!$N:$N,$E$3&amp;$C7&amp;$E$4,'2026'!$T:$T,M$6))</f>
        <v>0</v>
      </c>
      <c r="N7" s="129">
        <f>IF((AND($E$3="MCS",$E$4="TODOS CRs")),
SUMIFS('2026'!$K:$K,'2026'!$R:$R,$E$3&amp;$C7,'2026'!$T:$T,N$6),
SUMIFS('2026'!$K:$K,'2026'!$N:$N,$E$3&amp;$C7&amp;$E$4,'2026'!$T:$T,N$6))</f>
        <v>0</v>
      </c>
      <c r="O7" s="129">
        <f>IF((AND($E$3="MCS",$E$4="TODOS CRs")),
SUMIFS('2026'!$K:$K,'2026'!$R:$R,$E$3&amp;$C7,'2026'!$T:$T,O$6),
SUMIFS('2026'!$K:$K,'2026'!$N:$N,$E$3&amp;$C7&amp;$E$4,'2026'!$T:$T,O$6))</f>
        <v>0</v>
      </c>
      <c r="P7" s="129">
        <f>IF((AND($E$3="MCS",$E$4="TODOS CRs")),
SUMIFS('2026'!$K:$K,'2026'!$R:$R,$E$3&amp;$C7,'2026'!$T:$T,P$6),
SUMIFS('2026'!$K:$K,'2026'!$N:$N,$E$3&amp;$C7&amp;$E$4,'2026'!$T:$T,P$6))</f>
        <v>0</v>
      </c>
      <c r="Q7" s="129">
        <f>IF((AND($E$3="MCS",$E$4="TODOS CRs")),
SUMIFS('2026'!$K:$K,'2026'!$R:$R,$E$3&amp;$C7,'2026'!$T:$T,Q$6),
SUMIFS('2026'!$K:$K,'2026'!$N:$N,$E$3&amp;$C7&amp;$E$4,'2026'!$T:$T,Q$6))</f>
        <v>0</v>
      </c>
      <c r="T7" s="141" t="s">
        <v>88</v>
      </c>
      <c r="U7" s="143">
        <f t="shared" si="0"/>
        <v>-6840.46</v>
      </c>
      <c r="V7" s="142">
        <f t="shared" si="1"/>
        <v>0.203635118741953</v>
      </c>
      <c r="W7" s="1"/>
    </row>
    <row r="8" spans="1:23" ht="15" customHeight="1" x14ac:dyDescent="0.25">
      <c r="B8" s="89" t="s">
        <v>87</v>
      </c>
      <c r="C8" s="89" t="s">
        <v>13</v>
      </c>
      <c r="D8" s="88" t="s">
        <v>84</v>
      </c>
      <c r="E8" s="190">
        <f t="shared" si="2"/>
        <v>0</v>
      </c>
      <c r="F8" s="90">
        <f>IF((AND($E$3="MCS",$E$4="TODOS CRs")),
SUMIFS('2026'!$K:$K,'2026'!$R:$R,$E$3&amp;$C8,'2026'!$T:$T,F$6),
SUMIFS('2026'!$K:$K,'2026'!$N:$N,$E$3&amp;$C8&amp;$E$4,'2026'!$T:$T,F$6))</f>
        <v>0</v>
      </c>
      <c r="G8" s="90">
        <f>IF((AND($E$3="MCS",$E$4="TODOS CRs")),
SUMIFS('2026'!$K:$K,'2026'!$R:$R,$E$3&amp;$C8,'2026'!$T:$T,G$6),
SUMIFS('2026'!$K:$K,'2026'!$N:$N,$E$3&amp;$C8&amp;$E$4,'2026'!$T:$T,G$6))</f>
        <v>0</v>
      </c>
      <c r="H8" s="90">
        <f>IF((AND($E$3="MCS",$E$4="TODOS CRs")),
SUMIFS('2026'!$K:$K,'2026'!$R:$R,$E$3&amp;$C8,'2026'!$T:$T,H$6),
SUMIFS('2026'!$K:$K,'2026'!$N:$N,$E$3&amp;$C8&amp;$E$4,'2026'!$T:$T,H$6))</f>
        <v>0</v>
      </c>
      <c r="I8" s="90">
        <f>IF((AND($E$3="MCS",$E$4="TODOS CRs")),
SUMIFS('2026'!$K:$K,'2026'!$R:$R,$E$3&amp;$C8,'2026'!$T:$T,I$6),
SUMIFS('2026'!$K:$K,'2026'!$N:$N,$E$3&amp;$C8&amp;$E$4,'2026'!$T:$T,I$6))</f>
        <v>0</v>
      </c>
      <c r="J8" s="90">
        <f>IF((AND($E$3="MCS",$E$4="TODOS CRs")),
SUMIFS('2026'!$K:$K,'2026'!$R:$R,$E$3&amp;$C8,'2026'!$T:$T,J$6),
SUMIFS('2026'!$K:$K,'2026'!$N:$N,$E$3&amp;$C8&amp;$E$4,'2026'!$T:$T,J$6))</f>
        <v>0</v>
      </c>
      <c r="K8" s="90">
        <f>IF((AND($E$3="MCS",$E$4="TODOS CRs")),
SUMIFS('2026'!$K:$K,'2026'!$R:$R,$E$3&amp;$C8,'2026'!$T:$T,K$6),
SUMIFS('2026'!$K:$K,'2026'!$N:$N,$E$3&amp;$C8&amp;$E$4,'2026'!$T:$T,K$6))</f>
        <v>0</v>
      </c>
      <c r="L8" s="90">
        <f>IF((AND($E$3="MCS",$E$4="TODOS CRs")),
SUMIFS('2026'!$K:$K,'2026'!$R:$R,$E$3&amp;$C8,'2026'!$T:$T,L$6),
SUMIFS('2026'!$K:$K,'2026'!$N:$N,$E$3&amp;$C8&amp;$E$4,'2026'!$T:$T,L$6))</f>
        <v>0</v>
      </c>
      <c r="M8" s="90">
        <f>IF((AND($E$3="MCS",$E$4="TODOS CRs")),
SUMIFS('2026'!$K:$K,'2026'!$R:$R,$E$3&amp;$C8,'2026'!$T:$T,M$6),
SUMIFS('2026'!$K:$K,'2026'!$N:$N,$E$3&amp;$C8&amp;$E$4,'2026'!$T:$T,M$6))</f>
        <v>0</v>
      </c>
      <c r="N8" s="90">
        <f>IF((AND($E$3="MCS",$E$4="TODOS CRs")),
SUMIFS('2026'!$K:$K,'2026'!$R:$R,$E$3&amp;$C8,'2026'!$T:$T,N$6),
SUMIFS('2026'!$K:$K,'2026'!$N:$N,$E$3&amp;$C8&amp;$E$4,'2026'!$T:$T,N$6))</f>
        <v>0</v>
      </c>
      <c r="O8" s="90">
        <f>IF((AND($E$3="MCS",$E$4="TODOS CRs")),
SUMIFS('2026'!$K:$K,'2026'!$R:$R,$E$3&amp;$C8,'2026'!$T:$T,O$6),
SUMIFS('2026'!$K:$K,'2026'!$N:$N,$E$3&amp;$C8&amp;$E$4,'2026'!$T:$T,O$6))</f>
        <v>0</v>
      </c>
      <c r="P8" s="90">
        <f>IF((AND($E$3="MCS",$E$4="TODOS CRs")),
SUMIFS('2026'!$K:$K,'2026'!$R:$R,$E$3&amp;$C8,'2026'!$T:$T,P$6),
SUMIFS('2026'!$K:$K,'2026'!$N:$N,$E$3&amp;$C8&amp;$E$4,'2026'!$T:$T,P$6))</f>
        <v>0</v>
      </c>
      <c r="Q8" s="90">
        <f>IF((AND($E$3="MCS",$E$4="TODOS CRs")),
SUMIFS('2026'!$K:$K,'2026'!$R:$R,$E$3&amp;$C8,'2026'!$T:$T,Q$6),
SUMIFS('2026'!$K:$K,'2026'!$N:$N,$E$3&amp;$C8&amp;$E$4,'2026'!$T:$T,Q$6))</f>
        <v>0</v>
      </c>
      <c r="T8" s="166" t="s">
        <v>90</v>
      </c>
      <c r="U8" s="167">
        <f t="shared" si="0"/>
        <v>-6045.55</v>
      </c>
      <c r="V8" s="168">
        <f t="shared" si="1"/>
        <v>0.17997127270832869</v>
      </c>
    </row>
    <row r="9" spans="1:23" ht="15" customHeight="1" x14ac:dyDescent="0.25">
      <c r="B9" s="89" t="s">
        <v>87</v>
      </c>
      <c r="C9" s="89" t="s">
        <v>14</v>
      </c>
      <c r="D9" s="88" t="s">
        <v>85</v>
      </c>
      <c r="E9" s="190">
        <f t="shared" si="2"/>
        <v>0</v>
      </c>
      <c r="F9" s="90">
        <f>IF((AND($E$3="MCS",$E$4="TODOS CRs")),
SUMIFS('2026'!$K:$K,'2026'!$R:$R,$E$3&amp;$C9,'2026'!$T:$T,F$6),
SUMIFS('2026'!$K:$K,'2026'!$N:$N,$E$3&amp;$C9&amp;$E$4,'2026'!$T:$T,F$6))</f>
        <v>0</v>
      </c>
      <c r="G9" s="90">
        <f>IF((AND($E$3="MCS",$E$4="TODOS CRs")),
SUMIFS('2026'!$K:$K,'2026'!$R:$R,$E$3&amp;$C9,'2026'!$T:$T,G$6),
SUMIFS('2026'!$K:$K,'2026'!$N:$N,$E$3&amp;$C9&amp;$E$4,'2026'!$T:$T,G$6))</f>
        <v>0</v>
      </c>
      <c r="H9" s="90">
        <f>IF((AND($E$3="MCS",$E$4="TODOS CRs")),
SUMIFS('2026'!$K:$K,'2026'!$R:$R,$E$3&amp;$C9,'2026'!$T:$T,H$6),
SUMIFS('2026'!$K:$K,'2026'!$N:$N,$E$3&amp;$C9&amp;$E$4,'2026'!$T:$T,H$6))</f>
        <v>0</v>
      </c>
      <c r="I9" s="90">
        <f>IF((AND($E$3="MCS",$E$4="TODOS CRs")),
SUMIFS('2026'!$K:$K,'2026'!$R:$R,$E$3&amp;$C9,'2026'!$T:$T,I$6),
SUMIFS('2026'!$K:$K,'2026'!$N:$N,$E$3&amp;$C9&amp;$E$4,'2026'!$T:$T,I$6))</f>
        <v>0</v>
      </c>
      <c r="J9" s="90">
        <f>IF((AND($E$3="MCS",$E$4="TODOS CRs")),
SUMIFS('2026'!$K:$K,'2026'!$R:$R,$E$3&amp;$C9,'2026'!$T:$T,J$6),
SUMIFS('2026'!$K:$K,'2026'!$N:$N,$E$3&amp;$C9&amp;$E$4,'2026'!$T:$T,J$6))</f>
        <v>0</v>
      </c>
      <c r="K9" s="90">
        <f>IF((AND($E$3="MCS",$E$4="TODOS CRs")),
SUMIFS('2026'!$K:$K,'2026'!$R:$R,$E$3&amp;$C9,'2026'!$T:$T,K$6),
SUMIFS('2026'!$K:$K,'2026'!$N:$N,$E$3&amp;$C9&amp;$E$4,'2026'!$T:$T,K$6))</f>
        <v>0</v>
      </c>
      <c r="L9" s="90">
        <f>IF((AND($E$3="MCS",$E$4="TODOS CRs")),
SUMIFS('2026'!$K:$K,'2026'!$R:$R,$E$3&amp;$C9,'2026'!$T:$T,L$6),
SUMIFS('2026'!$K:$K,'2026'!$N:$N,$E$3&amp;$C9&amp;$E$4,'2026'!$T:$T,L$6))</f>
        <v>0</v>
      </c>
      <c r="M9" s="90">
        <f>IF((AND($E$3="MCS",$E$4="TODOS CRs")),
SUMIFS('2026'!$K:$K,'2026'!$R:$R,$E$3&amp;$C9,'2026'!$T:$T,M$6),
SUMIFS('2026'!$K:$K,'2026'!$N:$N,$E$3&amp;$C9&amp;$E$4,'2026'!$T:$T,M$6))</f>
        <v>0</v>
      </c>
      <c r="N9" s="90">
        <f>IF((AND($E$3="MCS",$E$4="TODOS CRs")),
SUMIFS('2026'!$K:$K,'2026'!$R:$R,$E$3&amp;$C9,'2026'!$T:$T,N$6),
SUMIFS('2026'!$K:$K,'2026'!$N:$N,$E$3&amp;$C9&amp;$E$4,'2026'!$T:$T,N$6))</f>
        <v>0</v>
      </c>
      <c r="O9" s="90">
        <f>IF((AND($E$3="MCS",$E$4="TODOS CRs")),
SUMIFS('2026'!$K:$K,'2026'!$R:$R,$E$3&amp;$C9,'2026'!$T:$T,O$6),
SUMIFS('2026'!$K:$K,'2026'!$N:$N,$E$3&amp;$C9&amp;$E$4,'2026'!$T:$T,O$6))</f>
        <v>0</v>
      </c>
      <c r="P9" s="90">
        <f>IF((AND($E$3="MCS",$E$4="TODOS CRs")),
SUMIFS('2026'!$K:$K,'2026'!$R:$R,$E$3&amp;$C9,'2026'!$T:$T,P$6),
SUMIFS('2026'!$K:$K,'2026'!$N:$N,$E$3&amp;$C9&amp;$E$4,'2026'!$T:$T,P$6))</f>
        <v>0</v>
      </c>
      <c r="Q9" s="90">
        <f>IF((AND($E$3="MCS",$E$4="TODOS CRs")),
SUMIFS('2026'!$K:$K,'2026'!$R:$R,$E$3&amp;$C9,'2026'!$T:$T,Q$6),
SUMIFS('2026'!$K:$K,'2026'!$N:$N,$E$3&amp;$C9&amp;$E$4,'2026'!$T:$T,Q$6))</f>
        <v>0</v>
      </c>
      <c r="T9" s="178" t="s">
        <v>89</v>
      </c>
      <c r="U9" s="179">
        <f t="shared" si="0"/>
        <v>-4028.63</v>
      </c>
      <c r="V9" s="180">
        <f t="shared" si="1"/>
        <v>0.11992914927028214</v>
      </c>
    </row>
    <row r="10" spans="1:23" ht="15" customHeight="1" x14ac:dyDescent="0.25">
      <c r="B10" s="89" t="s">
        <v>87</v>
      </c>
      <c r="C10" s="89" t="s">
        <v>15</v>
      </c>
      <c r="D10" s="88" t="s">
        <v>57</v>
      </c>
      <c r="E10" s="190">
        <f t="shared" si="2"/>
        <v>32740</v>
      </c>
      <c r="F10" s="90">
        <f>IF((AND($E$3="MCS",$E$4="TODOS CRs")),
SUMIFS('2026'!$K:$K,'2026'!$R:$R,$E$3&amp;$C10,'2026'!$T:$T,F$6),
SUMIFS('2026'!$K:$K,'2026'!$N:$N,$E$3&amp;$C10&amp;$E$4,'2026'!$T:$T,F$6))</f>
        <v>4900</v>
      </c>
      <c r="G10" s="90">
        <f>IF((AND($E$3="MCS",$E$4="TODOS CRs")),
SUMIFS('2026'!$K:$K,'2026'!$R:$R,$E$3&amp;$C10,'2026'!$T:$T,G$6),
SUMIFS('2026'!$K:$K,'2026'!$N:$N,$E$3&amp;$C10&amp;$E$4,'2026'!$T:$T,G$6))</f>
        <v>5500</v>
      </c>
      <c r="H10" s="90">
        <f>IF((AND($E$3="MCS",$E$4="TODOS CRs")),
SUMIFS('2026'!$K:$K,'2026'!$R:$R,$E$3&amp;$C10,'2026'!$T:$T,H$6),
SUMIFS('2026'!$K:$K,'2026'!$N:$N,$E$3&amp;$C10&amp;$E$4,'2026'!$T:$T,H$6))</f>
        <v>5040</v>
      </c>
      <c r="I10" s="90">
        <f>IF((AND($E$3="MCS",$E$4="TODOS CRs")),
SUMIFS('2026'!$K:$K,'2026'!$R:$R,$E$3&amp;$C10,'2026'!$T:$T,I$6),
SUMIFS('2026'!$K:$K,'2026'!$N:$N,$E$3&amp;$C10&amp;$E$4,'2026'!$T:$T,I$6))</f>
        <v>7000</v>
      </c>
      <c r="J10" s="90">
        <f>IF((AND($E$3="MCS",$E$4="TODOS CRs")),
SUMIFS('2026'!$K:$K,'2026'!$R:$R,$E$3&amp;$C10,'2026'!$T:$T,J$6),
SUMIFS('2026'!$K:$K,'2026'!$N:$N,$E$3&amp;$C10&amp;$E$4,'2026'!$T:$T,J$6))</f>
        <v>6300</v>
      </c>
      <c r="K10" s="90">
        <f>IF((AND($E$3="MCS",$E$4="TODOS CRs")),
SUMIFS('2026'!$K:$K,'2026'!$R:$R,$E$3&amp;$C10,'2026'!$T:$T,K$6),
SUMIFS('2026'!$K:$K,'2026'!$N:$N,$E$3&amp;$C10&amp;$E$4,'2026'!$T:$T,K$6))</f>
        <v>4000</v>
      </c>
      <c r="L10" s="90">
        <f>IF((AND($E$3="MCS",$E$4="TODOS CRs")),
SUMIFS('2026'!$K:$K,'2026'!$R:$R,$E$3&amp;$C10,'2026'!$T:$T,L$6),
SUMIFS('2026'!$K:$K,'2026'!$N:$N,$E$3&amp;$C10&amp;$E$4,'2026'!$T:$T,L$6))</f>
        <v>0</v>
      </c>
      <c r="M10" s="90">
        <f>IF((AND($E$3="MCS",$E$4="TODOS CRs")),
SUMIFS('2026'!$K:$K,'2026'!$R:$R,$E$3&amp;$C10,'2026'!$T:$T,M$6),
SUMIFS('2026'!$K:$K,'2026'!$N:$N,$E$3&amp;$C10&amp;$E$4,'2026'!$T:$T,M$6))</f>
        <v>0</v>
      </c>
      <c r="N10" s="90">
        <f>IF((AND($E$3="MCS",$E$4="TODOS CRs")),
SUMIFS('2026'!$K:$K,'2026'!$R:$R,$E$3&amp;$C10,'2026'!$T:$T,N$6),
SUMIFS('2026'!$K:$K,'2026'!$N:$N,$E$3&amp;$C10&amp;$E$4,'2026'!$T:$T,N$6))</f>
        <v>0</v>
      </c>
      <c r="O10" s="90">
        <f>IF((AND($E$3="MCS",$E$4="TODOS CRs")),
SUMIFS('2026'!$K:$K,'2026'!$R:$R,$E$3&amp;$C10,'2026'!$T:$T,O$6),
SUMIFS('2026'!$K:$K,'2026'!$N:$N,$E$3&amp;$C10&amp;$E$4,'2026'!$T:$T,O$6))</f>
        <v>0</v>
      </c>
      <c r="P10" s="90">
        <f>IF((AND($E$3="MCS",$E$4="TODOS CRs")),
SUMIFS('2026'!$K:$K,'2026'!$R:$R,$E$3&amp;$C10,'2026'!$T:$T,P$6),
SUMIFS('2026'!$K:$K,'2026'!$N:$N,$E$3&amp;$C10&amp;$E$4,'2026'!$T:$T,P$6))</f>
        <v>0</v>
      </c>
      <c r="Q10" s="90">
        <f>IF((AND($E$3="MCS",$E$4="TODOS CRs")),
SUMIFS('2026'!$K:$K,'2026'!$R:$R,$E$3&amp;$C10,'2026'!$T:$T,Q$6),
SUMIFS('2026'!$K:$K,'2026'!$N:$N,$E$3&amp;$C10&amp;$E$4,'2026'!$T:$T,Q$6))</f>
        <v>0</v>
      </c>
      <c r="T10" s="159" t="s">
        <v>91</v>
      </c>
      <c r="U10" s="160">
        <f t="shared" si="0"/>
        <v>-2350.3000000000002</v>
      </c>
      <c r="V10" s="161">
        <f t="shared" si="1"/>
        <v>6.9966584057097353E-2</v>
      </c>
    </row>
    <row r="11" spans="1:23" ht="15" customHeight="1" x14ac:dyDescent="0.25">
      <c r="B11" s="89" t="s">
        <v>87</v>
      </c>
      <c r="C11" s="89" t="s">
        <v>53</v>
      </c>
      <c r="D11" s="88" t="s">
        <v>63</v>
      </c>
      <c r="E11" s="190">
        <f t="shared" si="2"/>
        <v>681.75</v>
      </c>
      <c r="F11" s="90">
        <f>IF((AND($E$3="MCS",$E$4="TODOS CRs")),
SUMIFS('2026'!$K:$K,'2026'!$R:$R,$E$3&amp;$C11,'2026'!$T:$T,F$6),
SUMIFS('2026'!$K:$K,'2026'!$N:$N,$E$3&amp;$C11&amp;$E$4,'2026'!$T:$T,F$6))</f>
        <v>0</v>
      </c>
      <c r="G11" s="90">
        <f>IF((AND($E$3="MCS",$E$4="TODOS CRs")),
SUMIFS('2026'!$K:$K,'2026'!$R:$R,$E$3&amp;$C11,'2026'!$T:$T,G$6),
SUMIFS('2026'!$K:$K,'2026'!$N:$N,$E$3&amp;$C11&amp;$E$4,'2026'!$T:$T,G$6))</f>
        <v>17.62</v>
      </c>
      <c r="H11" s="90">
        <f>IF((AND($E$3="MCS",$E$4="TODOS CRs")),
SUMIFS('2026'!$K:$K,'2026'!$R:$R,$E$3&amp;$C11,'2026'!$T:$T,H$6),
SUMIFS('2026'!$K:$K,'2026'!$N:$N,$E$3&amp;$C11&amp;$E$4,'2026'!$T:$T,H$6))</f>
        <v>56</v>
      </c>
      <c r="I11" s="90">
        <f>IF((AND($E$3="MCS",$E$4="TODOS CRs")),
SUMIFS('2026'!$K:$K,'2026'!$R:$R,$E$3&amp;$C11,'2026'!$T:$T,I$6),
SUMIFS('2026'!$K:$K,'2026'!$N:$N,$E$3&amp;$C11&amp;$E$4,'2026'!$T:$T,I$6))</f>
        <v>25</v>
      </c>
      <c r="J11" s="90">
        <f>IF((AND($E$3="MCS",$E$4="TODOS CRs")),
SUMIFS('2026'!$K:$K,'2026'!$R:$R,$E$3&amp;$C11,'2026'!$T:$T,J$6),
SUMIFS('2026'!$K:$K,'2026'!$N:$N,$E$3&amp;$C11&amp;$E$4,'2026'!$T:$T,J$6))</f>
        <v>189.99</v>
      </c>
      <c r="K11" s="90">
        <f>IF((AND($E$3="MCS",$E$4="TODOS CRs")),
SUMIFS('2026'!$K:$K,'2026'!$R:$R,$E$3&amp;$C11,'2026'!$T:$T,K$6),
SUMIFS('2026'!$K:$K,'2026'!$N:$N,$E$3&amp;$C11&amp;$E$4,'2026'!$T:$T,K$6))</f>
        <v>393.14000000000004</v>
      </c>
      <c r="L11" s="90">
        <f>IF((AND($E$3="MCS",$E$4="TODOS CRs")),
SUMIFS('2026'!$K:$K,'2026'!$R:$R,$E$3&amp;$C11,'2026'!$T:$T,L$6),
SUMIFS('2026'!$K:$K,'2026'!$N:$N,$E$3&amp;$C11&amp;$E$4,'2026'!$T:$T,L$6))</f>
        <v>0</v>
      </c>
      <c r="M11" s="90">
        <f>IF((AND($E$3="MCS",$E$4="TODOS CRs")),
SUMIFS('2026'!$K:$K,'2026'!$R:$R,$E$3&amp;$C11,'2026'!$T:$T,M$6),
SUMIFS('2026'!$K:$K,'2026'!$N:$N,$E$3&amp;$C11&amp;$E$4,'2026'!$T:$T,M$6))</f>
        <v>0</v>
      </c>
      <c r="N11" s="90">
        <f>IF((AND($E$3="MCS",$E$4="TODOS CRs")),
SUMIFS('2026'!$K:$K,'2026'!$R:$R,$E$3&amp;$C11,'2026'!$T:$T,N$6),
SUMIFS('2026'!$K:$K,'2026'!$N:$N,$E$3&amp;$C11&amp;$E$4,'2026'!$T:$T,N$6))</f>
        <v>0</v>
      </c>
      <c r="O11" s="90">
        <f>IF((AND($E$3="MCS",$E$4="TODOS CRs")),
SUMIFS('2026'!$K:$K,'2026'!$R:$R,$E$3&amp;$C11,'2026'!$T:$T,O$6),
SUMIFS('2026'!$K:$K,'2026'!$N:$N,$E$3&amp;$C11&amp;$E$4,'2026'!$T:$T,O$6))</f>
        <v>0</v>
      </c>
      <c r="P11" s="90">
        <f>IF((AND($E$3="MCS",$E$4="TODOS CRs")),
SUMIFS('2026'!$K:$K,'2026'!$R:$R,$E$3&amp;$C11,'2026'!$T:$T,P$6),
SUMIFS('2026'!$K:$K,'2026'!$N:$N,$E$3&amp;$C11&amp;$E$4,'2026'!$T:$T,P$6))</f>
        <v>0</v>
      </c>
      <c r="Q11" s="90">
        <f>IF((AND($E$3="MCS",$E$4="TODOS CRs")),
SUMIFS('2026'!$K:$K,'2026'!$R:$R,$E$3&amp;$C11,'2026'!$T:$T,Q$6),
SUMIFS('2026'!$K:$K,'2026'!$N:$N,$E$3&amp;$C11&amp;$E$4,'2026'!$T:$T,Q$6))</f>
        <v>0</v>
      </c>
      <c r="T11" s="159" t="s">
        <v>93</v>
      </c>
      <c r="U11" s="160">
        <f t="shared" si="0"/>
        <v>-2053.59</v>
      </c>
      <c r="V11" s="161">
        <f t="shared" si="1"/>
        <v>6.1133760521556633E-2</v>
      </c>
    </row>
    <row r="12" spans="1:23" ht="15" customHeight="1" x14ac:dyDescent="0.25">
      <c r="B12" s="89" t="s">
        <v>87</v>
      </c>
      <c r="C12" s="89" t="s">
        <v>97</v>
      </c>
      <c r="D12" s="88" t="s">
        <v>75</v>
      </c>
      <c r="E12" s="190">
        <f t="shared" si="2"/>
        <v>0</v>
      </c>
      <c r="F12" s="90">
        <f>IF((AND($E$3="MCS",$E$4="TODOS CRs")),
SUMIFS('2026'!$K:$K,'2026'!$R:$R,$E$3&amp;$C12,'2026'!$T:$T,F$6),
SUMIFS('2026'!$K:$K,'2026'!$N:$N,$E$3&amp;$C12&amp;$E$4,'2026'!$T:$T,F$6))</f>
        <v>0</v>
      </c>
      <c r="G12" s="90">
        <f>IF((AND($E$3="MCS",$E$4="TODOS CRs")),
SUMIFS('2026'!$K:$K,'2026'!$R:$R,$E$3&amp;$C12,'2026'!$T:$T,G$6),
SUMIFS('2026'!$K:$K,'2026'!$N:$N,$E$3&amp;$C12&amp;$E$4,'2026'!$T:$T,G$6))</f>
        <v>0</v>
      </c>
      <c r="H12" s="90">
        <f>IF((AND($E$3="MCS",$E$4="TODOS CRs")),
SUMIFS('2026'!$K:$K,'2026'!$R:$R,$E$3&amp;$C12,'2026'!$T:$T,H$6),
SUMIFS('2026'!$K:$K,'2026'!$N:$N,$E$3&amp;$C12&amp;$E$4,'2026'!$T:$T,H$6))</f>
        <v>0</v>
      </c>
      <c r="I12" s="90">
        <f>IF((AND($E$3="MCS",$E$4="TODOS CRs")),
SUMIFS('2026'!$K:$K,'2026'!$R:$R,$E$3&amp;$C12,'2026'!$T:$T,I$6),
SUMIFS('2026'!$K:$K,'2026'!$N:$N,$E$3&amp;$C12&amp;$E$4,'2026'!$T:$T,I$6))</f>
        <v>0</v>
      </c>
      <c r="J12" s="90">
        <f>IF((AND($E$3="MCS",$E$4="TODOS CRs")),
SUMIFS('2026'!$K:$K,'2026'!$R:$R,$E$3&amp;$C12,'2026'!$T:$T,J$6),
SUMIFS('2026'!$K:$K,'2026'!$N:$N,$E$3&amp;$C12&amp;$E$4,'2026'!$T:$T,J$6))</f>
        <v>0</v>
      </c>
      <c r="K12" s="90">
        <f>IF((AND($E$3="MCS",$E$4="TODOS CRs")),
SUMIFS('2026'!$K:$K,'2026'!$R:$R,$E$3&amp;$C12,'2026'!$T:$T,K$6),
SUMIFS('2026'!$K:$K,'2026'!$N:$N,$E$3&amp;$C12&amp;$E$4,'2026'!$T:$T,K$6))</f>
        <v>0</v>
      </c>
      <c r="L12" s="90">
        <f>IF((AND($E$3="MCS",$E$4="TODOS CRs")),
SUMIFS('2026'!$K:$K,'2026'!$R:$R,$E$3&amp;$C12,'2026'!$T:$T,L$6),
SUMIFS('2026'!$K:$K,'2026'!$N:$N,$E$3&amp;$C12&amp;$E$4,'2026'!$T:$T,L$6))</f>
        <v>0</v>
      </c>
      <c r="M12" s="90">
        <f>IF((AND($E$3="MCS",$E$4="TODOS CRs")),
SUMIFS('2026'!$K:$K,'2026'!$R:$R,$E$3&amp;$C12,'2026'!$T:$T,M$6),
SUMIFS('2026'!$K:$K,'2026'!$N:$N,$E$3&amp;$C12&amp;$E$4,'2026'!$T:$T,M$6))</f>
        <v>0</v>
      </c>
      <c r="N12" s="90">
        <f>IF((AND($E$3="MCS",$E$4="TODOS CRs")),
SUMIFS('2026'!$K:$K,'2026'!$R:$R,$E$3&amp;$C12,'2026'!$T:$T,N$6),
SUMIFS('2026'!$K:$K,'2026'!$N:$N,$E$3&amp;$C12&amp;$E$4,'2026'!$T:$T,N$6))</f>
        <v>0</v>
      </c>
      <c r="O12" s="90">
        <f>IF((AND($E$3="MCS",$E$4="TODOS CRs")),
SUMIFS('2026'!$K:$K,'2026'!$R:$R,$E$3&amp;$C12,'2026'!$T:$T,O$6),
SUMIFS('2026'!$K:$K,'2026'!$N:$N,$E$3&amp;$C12&amp;$E$4,'2026'!$T:$T,O$6))</f>
        <v>0</v>
      </c>
      <c r="P12" s="90">
        <f>IF((AND($E$3="MCS",$E$4="TODOS CRs")),
SUMIFS('2026'!$K:$K,'2026'!$R:$R,$E$3&amp;$C12,'2026'!$T:$T,P$6),
SUMIFS('2026'!$K:$K,'2026'!$N:$N,$E$3&amp;$C12&amp;$E$4,'2026'!$T:$T,P$6))</f>
        <v>0</v>
      </c>
      <c r="Q12" s="90">
        <f>IF((AND($E$3="MCS",$E$4="TODOS CRs")),
SUMIFS('2026'!$K:$K,'2026'!$R:$R,$E$3&amp;$C12,'2026'!$T:$T,Q$6),
SUMIFS('2026'!$K:$K,'2026'!$N:$N,$E$3&amp;$C12&amp;$E$4,'2026'!$T:$T,Q$6))</f>
        <v>0</v>
      </c>
      <c r="T12" s="159" t="s">
        <v>92</v>
      </c>
      <c r="U12" s="160">
        <f t="shared" si="0"/>
        <v>-296</v>
      </c>
      <c r="V12" s="161">
        <f t="shared" si="1"/>
        <v>8.8116873934820303E-3</v>
      </c>
    </row>
    <row r="13" spans="1:23" s="139" customFormat="1" ht="15" customHeight="1" x14ac:dyDescent="0.25">
      <c r="B13" s="125" t="s">
        <v>87</v>
      </c>
      <c r="C13" s="125" t="s">
        <v>76</v>
      </c>
      <c r="D13" s="126" t="s">
        <v>83</v>
      </c>
      <c r="E13" s="191">
        <f t="shared" si="2"/>
        <v>170</v>
      </c>
      <c r="F13" s="140">
        <f>IF((AND($E$3="MCS",$E$4="TODOS CRs")),
SUMIFS('2026'!$K:$K,'2026'!$R:$R,$E$3&amp;$C13,'2026'!$T:$T,F$6),
SUMIFS('2026'!$K:$K,'2026'!$N:$N,$E$3&amp;$C13&amp;$E$4,'2026'!$T:$T,F$6))</f>
        <v>0</v>
      </c>
      <c r="G13" s="140">
        <f>IF((AND($E$3="MCS",$E$4="TODOS CRs")),
SUMIFS('2026'!$K:$K,'2026'!$R:$R,$E$3&amp;$C13,'2026'!$T:$T,G$6),
SUMIFS('2026'!$K:$K,'2026'!$N:$N,$E$3&amp;$C13&amp;$E$4,'2026'!$T:$T,G$6))</f>
        <v>0</v>
      </c>
      <c r="H13" s="140">
        <f>IF((AND($E$3="MCS",$E$4="TODOS CRs")),
SUMIFS('2026'!$K:$K,'2026'!$R:$R,$E$3&amp;$C13,'2026'!$T:$T,H$6),
SUMIFS('2026'!$K:$K,'2026'!$N:$N,$E$3&amp;$C13&amp;$E$4,'2026'!$T:$T,H$6))</f>
        <v>0</v>
      </c>
      <c r="I13" s="140">
        <f>IF((AND($E$3="MCS",$E$4="TODOS CRs")),
SUMIFS('2026'!$K:$K,'2026'!$R:$R,$E$3&amp;$C13,'2026'!$T:$T,I$6),
SUMIFS('2026'!$K:$K,'2026'!$N:$N,$E$3&amp;$C13&amp;$E$4,'2026'!$T:$T,I$6))</f>
        <v>0</v>
      </c>
      <c r="J13" s="140">
        <f>IF((AND($E$3="MCS",$E$4="TODOS CRs")),
SUMIFS('2026'!$K:$K,'2026'!$R:$R,$E$3&amp;$C13,'2026'!$T:$T,J$6),
SUMIFS('2026'!$K:$K,'2026'!$N:$N,$E$3&amp;$C13&amp;$E$4,'2026'!$T:$T,J$6))</f>
        <v>170</v>
      </c>
      <c r="K13" s="140">
        <f>IF((AND($E$3="MCS",$E$4="TODOS CRs")),
SUMIFS('2026'!$K:$K,'2026'!$R:$R,$E$3&amp;$C13,'2026'!$T:$T,K$6),
SUMIFS('2026'!$K:$K,'2026'!$N:$N,$E$3&amp;$C13&amp;$E$4,'2026'!$T:$T,K$6))</f>
        <v>0</v>
      </c>
      <c r="L13" s="140">
        <f>IF((AND($E$3="MCS",$E$4="TODOS CRs")),
SUMIFS('2026'!$K:$K,'2026'!$R:$R,$E$3&amp;$C13,'2026'!$T:$T,L$6),
SUMIFS('2026'!$K:$K,'2026'!$N:$N,$E$3&amp;$C13&amp;$E$4,'2026'!$T:$T,L$6))</f>
        <v>0</v>
      </c>
      <c r="M13" s="140">
        <f>IF((AND($E$3="MCS",$E$4="TODOS CRs")),
SUMIFS('2026'!$K:$K,'2026'!$R:$R,$E$3&amp;$C13,'2026'!$T:$T,M$6),
SUMIFS('2026'!$K:$K,'2026'!$N:$N,$E$3&amp;$C13&amp;$E$4,'2026'!$T:$T,M$6))</f>
        <v>0</v>
      </c>
      <c r="N13" s="140">
        <f>IF((AND($E$3="MCS",$E$4="TODOS CRs")),
SUMIFS('2026'!$K:$K,'2026'!$R:$R,$E$3&amp;$C13,'2026'!$T:$T,N$6),
SUMIFS('2026'!$K:$K,'2026'!$N:$N,$E$3&amp;$C13&amp;$E$4,'2026'!$T:$T,N$6))</f>
        <v>0</v>
      </c>
      <c r="O13" s="140">
        <f>IF((AND($E$3="MCS",$E$4="TODOS CRs")),
SUMIFS('2026'!$K:$K,'2026'!$R:$R,$E$3&amp;$C13,'2026'!$T:$T,O$6),
SUMIFS('2026'!$K:$K,'2026'!$N:$N,$E$3&amp;$C13&amp;$E$4,'2026'!$T:$T,O$6))</f>
        <v>0</v>
      </c>
      <c r="P13" s="140">
        <f>IF((AND($E$3="MCS",$E$4="TODOS CRs")),
SUMIFS('2026'!$K:$K,'2026'!$R:$R,$E$3&amp;$C13,'2026'!$T:$T,P$6),
SUMIFS('2026'!$K:$K,'2026'!$N:$N,$E$3&amp;$C13&amp;$E$4,'2026'!$T:$T,P$6))</f>
        <v>0</v>
      </c>
      <c r="Q13" s="140">
        <f>IF((AND($E$3="MCS",$E$4="TODOS CRs")),
SUMIFS('2026'!$K:$K,'2026'!$R:$R,$E$3&amp;$C13,'2026'!$T:$T,Q$6),
SUMIFS('2026'!$K:$K,'2026'!$N:$N,$E$3&amp;$C13&amp;$E$4,'2026'!$T:$T,Q$6))</f>
        <v>0</v>
      </c>
      <c r="T13" s="162" t="s">
        <v>86</v>
      </c>
      <c r="U13" s="163">
        <f t="shared" si="0"/>
        <v>0</v>
      </c>
      <c r="V13" s="164">
        <f t="shared" si="1"/>
        <v>0</v>
      </c>
      <c r="W13" s="1"/>
    </row>
    <row r="14" spans="1:23" s="84" customFormat="1" ht="18.75" x14ac:dyDescent="0.3">
      <c r="D14" s="85" t="s">
        <v>7</v>
      </c>
      <c r="E14" s="192">
        <f t="shared" ref="E14" si="3">SUBTOTAL(9,E7:E13)</f>
        <v>33591.75</v>
      </c>
      <c r="F14" s="87">
        <f t="shared" ref="F14" si="4">SUBTOTAL(9,F7:F13)</f>
        <v>4900</v>
      </c>
      <c r="G14" s="87">
        <f t="shared" ref="G14" si="5">SUBTOTAL(9,G7:G13)</f>
        <v>5517.62</v>
      </c>
      <c r="H14" s="87">
        <f t="shared" ref="H14" si="6">SUBTOTAL(9,H7:H13)</f>
        <v>5096</v>
      </c>
      <c r="I14" s="87">
        <f t="shared" ref="I14" si="7">SUBTOTAL(9,I7:I13)</f>
        <v>7025</v>
      </c>
      <c r="J14" s="87">
        <f t="shared" ref="J14" si="8">SUBTOTAL(9,J7:J13)</f>
        <v>6659.99</v>
      </c>
      <c r="K14" s="87">
        <f t="shared" ref="K14" si="9">SUBTOTAL(9,K7:K13)</f>
        <v>4393.1400000000003</v>
      </c>
      <c r="L14" s="87">
        <f t="shared" ref="L14" si="10">SUBTOTAL(9,L7:L13)</f>
        <v>0</v>
      </c>
      <c r="M14" s="87">
        <f t="shared" ref="M14" si="11">SUBTOTAL(9,M7:M13)</f>
        <v>0</v>
      </c>
      <c r="N14" s="87">
        <f t="shared" ref="N14" si="12">SUBTOTAL(9,N7:N13)</f>
        <v>0</v>
      </c>
      <c r="O14" s="87">
        <f t="shared" ref="O14" si="13">SUBTOTAL(9,O7:O13)</f>
        <v>0</v>
      </c>
      <c r="P14" s="87">
        <f t="shared" ref="P14" si="14">SUBTOTAL(9,P7:P13)</f>
        <v>0</v>
      </c>
      <c r="Q14" s="87">
        <f t="shared" ref="Q14" si="15">SUBTOTAL(9,Q7:Q13)</f>
        <v>0</v>
      </c>
      <c r="T14" s="156" t="s">
        <v>102</v>
      </c>
      <c r="U14" s="157">
        <f>U5+U13</f>
        <v>33591.75</v>
      </c>
      <c r="V14" s="165">
        <f t="shared" ref="V14" si="16">ABS(U14/$U$5)</f>
        <v>1</v>
      </c>
      <c r="W14" s="1"/>
    </row>
    <row r="15" spans="1:23" ht="11.25" customHeight="1" x14ac:dyDescent="0.25">
      <c r="A15" s="5"/>
      <c r="B15" s="5"/>
      <c r="C15" s="5"/>
    </row>
    <row r="16" spans="1:23" ht="15" customHeight="1" x14ac:dyDescent="0.25">
      <c r="A16" s="4"/>
      <c r="B16" s="65" t="s">
        <v>95</v>
      </c>
      <c r="C16" s="65" t="s">
        <v>30</v>
      </c>
      <c r="D16" s="63" t="s">
        <v>1</v>
      </c>
      <c r="E16" s="64" t="s">
        <v>5</v>
      </c>
      <c r="F16" s="145">
        <f t="shared" ref="F16:Q16" si="17">F6</f>
        <v>46023</v>
      </c>
      <c r="G16" s="144">
        <f t="shared" si="17"/>
        <v>46054</v>
      </c>
      <c r="H16" s="144">
        <f t="shared" si="17"/>
        <v>46082</v>
      </c>
      <c r="I16" s="144">
        <f t="shared" si="17"/>
        <v>46113</v>
      </c>
      <c r="J16" s="144">
        <f t="shared" si="17"/>
        <v>46143</v>
      </c>
      <c r="K16" s="144">
        <f t="shared" si="17"/>
        <v>46174</v>
      </c>
      <c r="L16" s="144">
        <f t="shared" si="17"/>
        <v>46204</v>
      </c>
      <c r="M16" s="144">
        <f t="shared" si="17"/>
        <v>46235</v>
      </c>
      <c r="N16" s="144">
        <f t="shared" si="17"/>
        <v>46266</v>
      </c>
      <c r="O16" s="144">
        <f t="shared" si="17"/>
        <v>46296</v>
      </c>
      <c r="P16" s="144">
        <f t="shared" si="17"/>
        <v>46327</v>
      </c>
      <c r="Q16" s="144">
        <f t="shared" si="17"/>
        <v>46357</v>
      </c>
    </row>
    <row r="17" spans="1:17" s="100" customFormat="1" ht="15" customHeight="1" x14ac:dyDescent="0.25">
      <c r="A17" s="95"/>
      <c r="B17" s="96" t="s">
        <v>88</v>
      </c>
      <c r="C17" s="96" t="s">
        <v>8</v>
      </c>
      <c r="D17" s="97" t="s">
        <v>67</v>
      </c>
      <c r="E17" s="98">
        <f t="shared" ref="E17:E39" si="18">SUM(F17:Q17)</f>
        <v>-1928.08</v>
      </c>
      <c r="F17" s="107">
        <f>IF((AND($E$3="MCS",$E$4="TODOS CRs")),
SUMIFS('2026'!$K:$K,'2026'!$R:$R,$E$3&amp;$C17,'2026'!$T:$T,F$6),
SUMIFS('2026'!$K:$K,'2026'!$N:$N,$E$3&amp;$C17&amp;$E$4,'2026'!$T:$T,F$6))</f>
        <v>-416.33</v>
      </c>
      <c r="G17" s="99">
        <f>IF((AND($E$3="MCS",$E$4="TODOS CRs")),
SUMIFS('2026'!$K:$K,'2026'!$R:$R,$E$3&amp;$C17,'2026'!$T:$T,G$6),
SUMIFS('2026'!$K:$K,'2026'!$N:$N,$E$3&amp;$C17&amp;$E$4,'2026'!$T:$T,G$6))</f>
        <v>-293</v>
      </c>
      <c r="H17" s="99">
        <f>IF((AND($E$3="MCS",$E$4="TODOS CRs")),
SUMIFS('2026'!$K:$K,'2026'!$R:$R,$E$3&amp;$C17,'2026'!$T:$T,H$6),
SUMIFS('2026'!$K:$K,'2026'!$N:$N,$E$3&amp;$C17&amp;$E$4,'2026'!$T:$T,H$6))</f>
        <v>-24</v>
      </c>
      <c r="I17" s="99">
        <f>IF((AND($E$3="MCS",$E$4="TODOS CRs")),
SUMIFS('2026'!$K:$K,'2026'!$R:$R,$E$3&amp;$C17,'2026'!$T:$T,I$6),
SUMIFS('2026'!$K:$K,'2026'!$N:$N,$E$3&amp;$C17&amp;$E$4,'2026'!$T:$T,I$6))</f>
        <v>-250.16</v>
      </c>
      <c r="J17" s="99">
        <f>IF((AND($E$3="MCS",$E$4="TODOS CRs")),
SUMIFS('2026'!$K:$K,'2026'!$R:$R,$E$3&amp;$C17,'2026'!$T:$T,J$6),
SUMIFS('2026'!$K:$K,'2026'!$N:$N,$E$3&amp;$C17&amp;$E$4,'2026'!$T:$T,J$6))</f>
        <v>-497.16</v>
      </c>
      <c r="K17" s="99">
        <f>IF((AND($E$3="MCS",$E$4="TODOS CRs")),
SUMIFS('2026'!$K:$K,'2026'!$R:$R,$E$3&amp;$C17,'2026'!$T:$T,K$6),
SUMIFS('2026'!$K:$K,'2026'!$N:$N,$E$3&amp;$C17&amp;$E$4,'2026'!$T:$T,K$6))</f>
        <v>-447.43</v>
      </c>
      <c r="L17" s="99">
        <f>IF((AND($E$3="MCS",$E$4="TODOS CRs")),
SUMIFS('2026'!$K:$K,'2026'!$R:$R,$E$3&amp;$C17,'2026'!$T:$T,L$6),
SUMIFS('2026'!$K:$K,'2026'!$N:$N,$E$3&amp;$C17&amp;$E$4,'2026'!$T:$T,L$6))</f>
        <v>0</v>
      </c>
      <c r="M17" s="99">
        <f>IF((AND($E$3="MCS",$E$4="TODOS CRs")),
SUMIFS('2026'!$K:$K,'2026'!$R:$R,$E$3&amp;$C17,'2026'!$T:$T,M$6),
SUMIFS('2026'!$K:$K,'2026'!$N:$N,$E$3&amp;$C17&amp;$E$4,'2026'!$T:$T,M$6))</f>
        <v>0</v>
      </c>
      <c r="N17" s="99">
        <f>IF((AND($E$3="MCS",$E$4="TODOS CRs")),
SUMIFS('2026'!$K:$K,'2026'!$R:$R,$E$3&amp;$C17,'2026'!$T:$T,N$6),
SUMIFS('2026'!$K:$K,'2026'!$N:$N,$E$3&amp;$C17&amp;$E$4,'2026'!$T:$T,N$6))</f>
        <v>0</v>
      </c>
      <c r="O17" s="99">
        <f>IF((AND($E$3="MCS",$E$4="TODOS CRs")),
SUMIFS('2026'!$K:$K,'2026'!$R:$R,$E$3&amp;$C17,'2026'!$T:$T,O$6),
SUMIFS('2026'!$K:$K,'2026'!$N:$N,$E$3&amp;$C17&amp;$E$4,'2026'!$T:$T,O$6))</f>
        <v>0</v>
      </c>
      <c r="P17" s="99">
        <f>IF((AND($E$3="MCS",$E$4="TODOS CRs")),
SUMIFS('2026'!$K:$K,'2026'!$R:$R,$E$3&amp;$C17,'2026'!$T:$T,P$6),
SUMIFS('2026'!$K:$K,'2026'!$N:$N,$E$3&amp;$C17&amp;$E$4,'2026'!$T:$T,P$6))</f>
        <v>0</v>
      </c>
      <c r="Q17" s="99">
        <f>IF((AND($E$3="MCS",$E$4="TODOS CRs")),
SUMIFS('2026'!$K:$K,'2026'!$R:$R,$E$3&amp;$C17,'2026'!$T:$T,Q$6),
SUMIFS('2026'!$K:$K,'2026'!$N:$N,$E$3&amp;$C17&amp;$E$4,'2026'!$T:$T,Q$6))</f>
        <v>0</v>
      </c>
    </row>
    <row r="18" spans="1:17" s="101" customFormat="1" ht="15" customHeight="1" x14ac:dyDescent="0.25">
      <c r="A18" s="95"/>
      <c r="B18" s="96" t="s">
        <v>88</v>
      </c>
      <c r="C18" s="96" t="s">
        <v>9</v>
      </c>
      <c r="D18" s="97" t="s">
        <v>64</v>
      </c>
      <c r="E18" s="98">
        <f t="shared" si="18"/>
        <v>-4912.38</v>
      </c>
      <c r="F18" s="107">
        <f>IF((AND($E$3="MCS",$E$4="TODOS CRs")),
SUMIFS('2026'!$K:$K,'2026'!$R:$R,$E$3&amp;$C18,'2026'!$T:$T,F$6),
SUMIFS('2026'!$K:$K,'2026'!$N:$N,$E$3&amp;$C18&amp;$E$4,'2026'!$T:$T,F$6))</f>
        <v>-740</v>
      </c>
      <c r="G18" s="99">
        <f>IF((AND($E$3="MCS",$E$4="TODOS CRs")),
SUMIFS('2026'!$K:$K,'2026'!$R:$R,$E$3&amp;$C18,'2026'!$T:$T,G$6),
SUMIFS('2026'!$K:$K,'2026'!$N:$N,$E$3&amp;$C18&amp;$E$4,'2026'!$T:$T,G$6))</f>
        <v>-1096.67</v>
      </c>
      <c r="H18" s="99">
        <f>IF((AND($E$3="MCS",$E$4="TODOS CRs")),
SUMIFS('2026'!$K:$K,'2026'!$R:$R,$E$3&amp;$C18,'2026'!$T:$T,H$6),
SUMIFS('2026'!$K:$K,'2026'!$N:$N,$E$3&amp;$C18&amp;$E$4,'2026'!$T:$T,H$6))</f>
        <v>-675.2</v>
      </c>
      <c r="I18" s="99">
        <f>IF((AND($E$3="MCS",$E$4="TODOS CRs")),
SUMIFS('2026'!$K:$K,'2026'!$R:$R,$E$3&amp;$C18,'2026'!$T:$T,I$6),
SUMIFS('2026'!$K:$K,'2026'!$N:$N,$E$3&amp;$C18&amp;$E$4,'2026'!$T:$T,I$6))</f>
        <v>-887.68000000000006</v>
      </c>
      <c r="J18" s="99">
        <f>IF((AND($E$3="MCS",$E$4="TODOS CRs")),
SUMIFS('2026'!$K:$K,'2026'!$R:$R,$E$3&amp;$C18,'2026'!$T:$T,J$6),
SUMIFS('2026'!$K:$K,'2026'!$N:$N,$E$3&amp;$C18&amp;$E$4,'2026'!$T:$T,J$6))</f>
        <v>-1012.83</v>
      </c>
      <c r="K18" s="99">
        <f>IF((AND($E$3="MCS",$E$4="TODOS CRs")),
SUMIFS('2026'!$K:$K,'2026'!$R:$R,$E$3&amp;$C18,'2026'!$T:$T,K$6),
SUMIFS('2026'!$K:$K,'2026'!$N:$N,$E$3&amp;$C18&amp;$E$4,'2026'!$T:$T,K$6))</f>
        <v>-500</v>
      </c>
      <c r="L18" s="99">
        <f>IF((AND($E$3="MCS",$E$4="TODOS CRs")),
SUMIFS('2026'!$K:$K,'2026'!$R:$R,$E$3&amp;$C18,'2026'!$T:$T,L$6),
SUMIFS('2026'!$K:$K,'2026'!$N:$N,$E$3&amp;$C18&amp;$E$4,'2026'!$T:$T,L$6))</f>
        <v>0</v>
      </c>
      <c r="M18" s="99">
        <f>IF((AND($E$3="MCS",$E$4="TODOS CRs")),
SUMIFS('2026'!$K:$K,'2026'!$R:$R,$E$3&amp;$C18,'2026'!$T:$T,M$6),
SUMIFS('2026'!$K:$K,'2026'!$N:$N,$E$3&amp;$C18&amp;$E$4,'2026'!$T:$T,M$6))</f>
        <v>0</v>
      </c>
      <c r="N18" s="99">
        <f>IF((AND($E$3="MCS",$E$4="TODOS CRs")),
SUMIFS('2026'!$K:$K,'2026'!$R:$R,$E$3&amp;$C18,'2026'!$T:$T,N$6),
SUMIFS('2026'!$K:$K,'2026'!$N:$N,$E$3&amp;$C18&amp;$E$4,'2026'!$T:$T,N$6))</f>
        <v>0</v>
      </c>
      <c r="O18" s="99">
        <f>IF((AND($E$3="MCS",$E$4="TODOS CRs")),
SUMIFS('2026'!$K:$K,'2026'!$R:$R,$E$3&amp;$C18,'2026'!$T:$T,O$6),
SUMIFS('2026'!$K:$K,'2026'!$N:$N,$E$3&amp;$C18&amp;$E$4,'2026'!$T:$T,O$6))</f>
        <v>0</v>
      </c>
      <c r="P18" s="99">
        <f>IF((AND($E$3="MCS",$E$4="TODOS CRs")),
SUMIFS('2026'!$K:$K,'2026'!$R:$R,$E$3&amp;$C18,'2026'!$T:$T,P$6),
SUMIFS('2026'!$K:$K,'2026'!$N:$N,$E$3&amp;$C18&amp;$E$4,'2026'!$T:$T,P$6))</f>
        <v>0</v>
      </c>
      <c r="Q18" s="99">
        <f>IF((AND($E$3="MCS",$E$4="TODOS CRs")),
SUMIFS('2026'!$K:$K,'2026'!$R:$R,$E$3&amp;$C18,'2026'!$T:$T,Q$6),
SUMIFS('2026'!$K:$K,'2026'!$N:$N,$E$3&amp;$C18&amp;$E$4,'2026'!$T:$T,Q$6))</f>
        <v>0</v>
      </c>
    </row>
    <row r="19" spans="1:17" s="101" customFormat="1" ht="15" customHeight="1" x14ac:dyDescent="0.25">
      <c r="A19" s="95"/>
      <c r="B19" s="102" t="s">
        <v>89</v>
      </c>
      <c r="C19" s="102" t="s">
        <v>44</v>
      </c>
      <c r="D19" s="103" t="s">
        <v>56</v>
      </c>
      <c r="E19" s="104">
        <f t="shared" si="18"/>
        <v>-215.52</v>
      </c>
      <c r="F19" s="108">
        <f>IF((AND($E$3="MCS",$E$4="TODOS CRs")),
SUMIFS('2026'!$K:$K,'2026'!$R:$R,$E$3&amp;$C19,'2026'!$T:$T,F$6),
SUMIFS('2026'!$K:$K,'2026'!$N:$N,$E$3&amp;$C19&amp;$E$4,'2026'!$T:$T,F$6))</f>
        <v>0</v>
      </c>
      <c r="G19" s="105">
        <f>IF((AND($E$3="MCS",$E$4="TODOS CRs")),
SUMIFS('2026'!$K:$K,'2026'!$R:$R,$E$3&amp;$C19,'2026'!$T:$T,G$6),
SUMIFS('2026'!$K:$K,'2026'!$N:$N,$E$3&amp;$C19&amp;$E$4,'2026'!$T:$T,G$6))</f>
        <v>-203.49</v>
      </c>
      <c r="H19" s="105">
        <f>IF((AND($E$3="MCS",$E$4="TODOS CRs")),
SUMIFS('2026'!$K:$K,'2026'!$R:$R,$E$3&amp;$C19,'2026'!$T:$T,H$6),
SUMIFS('2026'!$K:$K,'2026'!$N:$N,$E$3&amp;$C19&amp;$E$4,'2026'!$T:$T,H$6))</f>
        <v>-5.9</v>
      </c>
      <c r="I19" s="105">
        <f>IF((AND($E$3="MCS",$E$4="TODOS CRs")),
SUMIFS('2026'!$K:$K,'2026'!$R:$R,$E$3&amp;$C19,'2026'!$T:$T,I$6),
SUMIFS('2026'!$K:$K,'2026'!$N:$N,$E$3&amp;$C19&amp;$E$4,'2026'!$T:$T,I$6))</f>
        <v>0</v>
      </c>
      <c r="J19" s="105">
        <f>IF((AND($E$3="MCS",$E$4="TODOS CRs")),
SUMIFS('2026'!$K:$K,'2026'!$R:$R,$E$3&amp;$C19,'2026'!$T:$T,J$6),
SUMIFS('2026'!$K:$K,'2026'!$N:$N,$E$3&amp;$C19&amp;$E$4,'2026'!$T:$T,J$6))</f>
        <v>0</v>
      </c>
      <c r="K19" s="105">
        <f>IF((AND($E$3="MCS",$E$4="TODOS CRs")),
SUMIFS('2026'!$K:$K,'2026'!$R:$R,$E$3&amp;$C19,'2026'!$T:$T,K$6),
SUMIFS('2026'!$K:$K,'2026'!$N:$N,$E$3&amp;$C19&amp;$E$4,'2026'!$T:$T,K$6))</f>
        <v>-6.13</v>
      </c>
      <c r="L19" s="105">
        <f>IF((AND($E$3="MCS",$E$4="TODOS CRs")),
SUMIFS('2026'!$K:$K,'2026'!$R:$R,$E$3&amp;$C19,'2026'!$T:$T,L$6),
SUMIFS('2026'!$K:$K,'2026'!$N:$N,$E$3&amp;$C19&amp;$E$4,'2026'!$T:$T,L$6))</f>
        <v>0</v>
      </c>
      <c r="M19" s="105">
        <f>IF((AND($E$3="MCS",$E$4="TODOS CRs")),
SUMIFS('2026'!$K:$K,'2026'!$R:$R,$E$3&amp;$C19,'2026'!$T:$T,M$6),
SUMIFS('2026'!$K:$K,'2026'!$N:$N,$E$3&amp;$C19&amp;$E$4,'2026'!$T:$T,M$6))</f>
        <v>0</v>
      </c>
      <c r="N19" s="105">
        <f>IF((AND($E$3="MCS",$E$4="TODOS CRs")),
SUMIFS('2026'!$K:$K,'2026'!$R:$R,$E$3&amp;$C19,'2026'!$T:$T,N$6),
SUMIFS('2026'!$K:$K,'2026'!$N:$N,$E$3&amp;$C19&amp;$E$4,'2026'!$T:$T,N$6))</f>
        <v>0</v>
      </c>
      <c r="O19" s="105">
        <f>IF((AND($E$3="MCS",$E$4="TODOS CRs")),
SUMIFS('2026'!$K:$K,'2026'!$R:$R,$E$3&amp;$C19,'2026'!$T:$T,O$6),
SUMIFS('2026'!$K:$K,'2026'!$N:$N,$E$3&amp;$C19&amp;$E$4,'2026'!$T:$T,O$6))</f>
        <v>0</v>
      </c>
      <c r="P19" s="105">
        <f>IF((AND($E$3="MCS",$E$4="TODOS CRs")),
SUMIFS('2026'!$K:$K,'2026'!$R:$R,$E$3&amp;$C19,'2026'!$T:$T,P$6),
SUMIFS('2026'!$K:$K,'2026'!$N:$N,$E$3&amp;$C19&amp;$E$4,'2026'!$T:$T,P$6))</f>
        <v>0</v>
      </c>
      <c r="Q19" s="105">
        <f>IF((AND($E$3="MCS",$E$4="TODOS CRs")),
SUMIFS('2026'!$K:$K,'2026'!$R:$R,$E$3&amp;$C19,'2026'!$T:$T,Q$6),
SUMIFS('2026'!$K:$K,'2026'!$N:$N,$E$3&amp;$C19&amp;$E$4,'2026'!$T:$T,Q$6))</f>
        <v>0</v>
      </c>
    </row>
    <row r="20" spans="1:17" s="101" customFormat="1" ht="15" customHeight="1" x14ac:dyDescent="0.25">
      <c r="A20" s="95"/>
      <c r="B20" s="102" t="s">
        <v>89</v>
      </c>
      <c r="C20" s="102" t="s">
        <v>45</v>
      </c>
      <c r="D20" s="103" t="s">
        <v>62</v>
      </c>
      <c r="E20" s="104">
        <f t="shared" si="18"/>
        <v>-1380.4099999999999</v>
      </c>
      <c r="F20" s="108">
        <f>IF((AND($E$3="MCS",$E$4="TODOS CRs")),
SUMIFS('2026'!$K:$K,'2026'!$R:$R,$E$3&amp;$C20,'2026'!$T:$T,F$6),
SUMIFS('2026'!$K:$K,'2026'!$N:$N,$E$3&amp;$C20&amp;$E$4,'2026'!$T:$T,F$6))</f>
        <v>-248.12</v>
      </c>
      <c r="G20" s="105">
        <f>IF((AND($E$3="MCS",$E$4="TODOS CRs")),
SUMIFS('2026'!$K:$K,'2026'!$R:$R,$E$3&amp;$C20,'2026'!$T:$T,G$6),
SUMIFS('2026'!$K:$K,'2026'!$N:$N,$E$3&amp;$C20&amp;$E$4,'2026'!$T:$T,G$6))</f>
        <v>-124.97</v>
      </c>
      <c r="H20" s="105">
        <f>IF((AND($E$3="MCS",$E$4="TODOS CRs")),
SUMIFS('2026'!$K:$K,'2026'!$R:$R,$E$3&amp;$C20,'2026'!$T:$T,H$6),
SUMIFS('2026'!$K:$K,'2026'!$N:$N,$E$3&amp;$C20&amp;$E$4,'2026'!$T:$T,H$6))</f>
        <v>-447.99</v>
      </c>
      <c r="I20" s="105">
        <f>IF((AND($E$3="MCS",$E$4="TODOS CRs")),
SUMIFS('2026'!$K:$K,'2026'!$R:$R,$E$3&amp;$C20,'2026'!$T:$T,I$6),
SUMIFS('2026'!$K:$K,'2026'!$N:$N,$E$3&amp;$C20&amp;$E$4,'2026'!$T:$T,I$6))</f>
        <v>-125.21</v>
      </c>
      <c r="J20" s="105">
        <f>IF((AND($E$3="MCS",$E$4="TODOS CRs")),
SUMIFS('2026'!$K:$K,'2026'!$R:$R,$E$3&amp;$C20,'2026'!$T:$T,J$6),
SUMIFS('2026'!$K:$K,'2026'!$N:$N,$E$3&amp;$C20&amp;$E$4,'2026'!$T:$T,J$6))</f>
        <v>-309.02</v>
      </c>
      <c r="K20" s="105">
        <f>IF((AND($E$3="MCS",$E$4="TODOS CRs")),
SUMIFS('2026'!$K:$K,'2026'!$R:$R,$E$3&amp;$C20,'2026'!$T:$T,K$6),
SUMIFS('2026'!$K:$K,'2026'!$N:$N,$E$3&amp;$C20&amp;$E$4,'2026'!$T:$T,K$6))</f>
        <v>-125.1</v>
      </c>
      <c r="L20" s="105">
        <f>IF((AND($E$3="MCS",$E$4="TODOS CRs")),
SUMIFS('2026'!$K:$K,'2026'!$R:$R,$E$3&amp;$C20,'2026'!$T:$T,L$6),
SUMIFS('2026'!$K:$K,'2026'!$N:$N,$E$3&amp;$C20&amp;$E$4,'2026'!$T:$T,L$6))</f>
        <v>0</v>
      </c>
      <c r="M20" s="105">
        <f>IF((AND($E$3="MCS",$E$4="TODOS CRs")),
SUMIFS('2026'!$K:$K,'2026'!$R:$R,$E$3&amp;$C20,'2026'!$T:$T,M$6),
SUMIFS('2026'!$K:$K,'2026'!$N:$N,$E$3&amp;$C20&amp;$E$4,'2026'!$T:$T,M$6))</f>
        <v>0</v>
      </c>
      <c r="N20" s="105">
        <f>IF((AND($E$3="MCS",$E$4="TODOS CRs")),
SUMIFS('2026'!$K:$K,'2026'!$R:$R,$E$3&amp;$C20,'2026'!$T:$T,N$6),
SUMIFS('2026'!$K:$K,'2026'!$N:$N,$E$3&amp;$C20&amp;$E$4,'2026'!$T:$T,N$6))</f>
        <v>0</v>
      </c>
      <c r="O20" s="105">
        <f>IF((AND($E$3="MCS",$E$4="TODOS CRs")),
SUMIFS('2026'!$K:$K,'2026'!$R:$R,$E$3&amp;$C20,'2026'!$T:$T,O$6),
SUMIFS('2026'!$K:$K,'2026'!$N:$N,$E$3&amp;$C20&amp;$E$4,'2026'!$T:$T,O$6))</f>
        <v>0</v>
      </c>
      <c r="P20" s="105">
        <f>IF((AND($E$3="MCS",$E$4="TODOS CRs")),
SUMIFS('2026'!$K:$K,'2026'!$R:$R,$E$3&amp;$C20,'2026'!$T:$T,P$6),
SUMIFS('2026'!$K:$K,'2026'!$N:$N,$E$3&amp;$C20&amp;$E$4,'2026'!$T:$T,P$6))</f>
        <v>0</v>
      </c>
      <c r="Q20" s="105">
        <f>IF((AND($E$3="MCS",$E$4="TODOS CRs")),
SUMIFS('2026'!$K:$K,'2026'!$R:$R,$E$3&amp;$C20,'2026'!$T:$T,Q$6),
SUMIFS('2026'!$K:$K,'2026'!$N:$N,$E$3&amp;$C20&amp;$E$4,'2026'!$T:$T,Q$6))</f>
        <v>0</v>
      </c>
    </row>
    <row r="21" spans="1:17" s="101" customFormat="1" ht="15" customHeight="1" x14ac:dyDescent="0.25">
      <c r="A21" s="95"/>
      <c r="B21" s="102" t="s">
        <v>89</v>
      </c>
      <c r="C21" s="102" t="s">
        <v>46</v>
      </c>
      <c r="D21" s="103" t="s">
        <v>59</v>
      </c>
      <c r="E21" s="104">
        <f t="shared" si="18"/>
        <v>-526.70000000000005</v>
      </c>
      <c r="F21" s="108">
        <f>IF((AND($E$3="MCS",$E$4="TODOS CRs")),
SUMIFS('2026'!$K:$K,'2026'!$R:$R,$E$3&amp;$C21,'2026'!$T:$T,F$6),
SUMIFS('2026'!$K:$K,'2026'!$N:$N,$E$3&amp;$C21&amp;$E$4,'2026'!$T:$T,F$6))</f>
        <v>0</v>
      </c>
      <c r="G21" s="105">
        <f>IF((AND($E$3="MCS",$E$4="TODOS CRs")),
SUMIFS('2026'!$K:$K,'2026'!$R:$R,$E$3&amp;$C21,'2026'!$T:$T,G$6),
SUMIFS('2026'!$K:$K,'2026'!$N:$N,$E$3&amp;$C21&amp;$E$4,'2026'!$T:$T,G$6))</f>
        <v>-60</v>
      </c>
      <c r="H21" s="105">
        <f>IF((AND($E$3="MCS",$E$4="TODOS CRs")),
SUMIFS('2026'!$K:$K,'2026'!$R:$R,$E$3&amp;$C21,'2026'!$T:$T,H$6),
SUMIFS('2026'!$K:$K,'2026'!$N:$N,$E$3&amp;$C21&amp;$E$4,'2026'!$T:$T,H$6))</f>
        <v>0</v>
      </c>
      <c r="I21" s="105">
        <f>IF((AND($E$3="MCS",$E$4="TODOS CRs")),
SUMIFS('2026'!$K:$K,'2026'!$R:$R,$E$3&amp;$C21,'2026'!$T:$T,I$6),
SUMIFS('2026'!$K:$K,'2026'!$N:$N,$E$3&amp;$C21&amp;$E$4,'2026'!$T:$T,I$6))</f>
        <v>0</v>
      </c>
      <c r="J21" s="105">
        <f>IF((AND($E$3="MCS",$E$4="TODOS CRs")),
SUMIFS('2026'!$K:$K,'2026'!$R:$R,$E$3&amp;$C21,'2026'!$T:$T,J$6),
SUMIFS('2026'!$K:$K,'2026'!$N:$N,$E$3&amp;$C21&amp;$E$4,'2026'!$T:$T,J$6))</f>
        <v>-432.95</v>
      </c>
      <c r="K21" s="105">
        <f>IF((AND($E$3="MCS",$E$4="TODOS CRs")),
SUMIFS('2026'!$K:$K,'2026'!$R:$R,$E$3&amp;$C21,'2026'!$T:$T,K$6),
SUMIFS('2026'!$K:$K,'2026'!$N:$N,$E$3&amp;$C21&amp;$E$4,'2026'!$T:$T,K$6))</f>
        <v>-33.75</v>
      </c>
      <c r="L21" s="105">
        <f>IF((AND($E$3="MCS",$E$4="TODOS CRs")),
SUMIFS('2026'!$K:$K,'2026'!$R:$R,$E$3&amp;$C21,'2026'!$T:$T,L$6),
SUMIFS('2026'!$K:$K,'2026'!$N:$N,$E$3&amp;$C21&amp;$E$4,'2026'!$T:$T,L$6))</f>
        <v>0</v>
      </c>
      <c r="M21" s="105">
        <f>IF((AND($E$3="MCS",$E$4="TODOS CRs")),
SUMIFS('2026'!$K:$K,'2026'!$R:$R,$E$3&amp;$C21,'2026'!$T:$T,M$6),
SUMIFS('2026'!$K:$K,'2026'!$N:$N,$E$3&amp;$C21&amp;$E$4,'2026'!$T:$T,M$6))</f>
        <v>0</v>
      </c>
      <c r="N21" s="105">
        <f>IF((AND($E$3="MCS",$E$4="TODOS CRs")),
SUMIFS('2026'!$K:$K,'2026'!$R:$R,$E$3&amp;$C21,'2026'!$T:$T,N$6),
SUMIFS('2026'!$K:$K,'2026'!$N:$N,$E$3&amp;$C21&amp;$E$4,'2026'!$T:$T,N$6))</f>
        <v>0</v>
      </c>
      <c r="O21" s="105">
        <f>IF((AND($E$3="MCS",$E$4="TODOS CRs")),
SUMIFS('2026'!$K:$K,'2026'!$R:$R,$E$3&amp;$C21,'2026'!$T:$T,O$6),
SUMIFS('2026'!$K:$K,'2026'!$N:$N,$E$3&amp;$C21&amp;$E$4,'2026'!$T:$T,O$6))</f>
        <v>0</v>
      </c>
      <c r="P21" s="105">
        <f>IF((AND($E$3="MCS",$E$4="TODOS CRs")),
SUMIFS('2026'!$K:$K,'2026'!$R:$R,$E$3&amp;$C21,'2026'!$T:$T,P$6),
SUMIFS('2026'!$K:$K,'2026'!$N:$N,$E$3&amp;$C21&amp;$E$4,'2026'!$T:$T,P$6))</f>
        <v>0</v>
      </c>
      <c r="Q21" s="105">
        <f>IF((AND($E$3="MCS",$E$4="TODOS CRs")),
SUMIFS('2026'!$K:$K,'2026'!$R:$R,$E$3&amp;$C21,'2026'!$T:$T,Q$6),
SUMIFS('2026'!$K:$K,'2026'!$N:$N,$E$3&amp;$C21&amp;$E$4,'2026'!$T:$T,Q$6))</f>
        <v>0</v>
      </c>
    </row>
    <row r="22" spans="1:17" s="101" customFormat="1" ht="15" customHeight="1" x14ac:dyDescent="0.25">
      <c r="A22" s="95"/>
      <c r="B22" s="102" t="s">
        <v>89</v>
      </c>
      <c r="C22" s="102" t="s">
        <v>47</v>
      </c>
      <c r="D22" s="103" t="s">
        <v>74</v>
      </c>
      <c r="E22" s="104">
        <f t="shared" si="18"/>
        <v>-1906</v>
      </c>
      <c r="F22" s="108">
        <f>IF((AND($E$3="MCS",$E$4="TODOS CRs")),
SUMIFS('2026'!$K:$K,'2026'!$R:$R,$E$3&amp;$C22,'2026'!$T:$T,F$6),
SUMIFS('2026'!$K:$K,'2026'!$N:$N,$E$3&amp;$C22&amp;$E$4,'2026'!$T:$T,F$6))</f>
        <v>0</v>
      </c>
      <c r="G22" s="105">
        <f>IF((AND($E$3="MCS",$E$4="TODOS CRs")),
SUMIFS('2026'!$K:$K,'2026'!$R:$R,$E$3&amp;$C22,'2026'!$T:$T,G$6),
SUMIFS('2026'!$K:$K,'2026'!$N:$N,$E$3&amp;$C22&amp;$E$4,'2026'!$T:$T,G$6))</f>
        <v>-204.78</v>
      </c>
      <c r="H22" s="105">
        <f>IF((AND($E$3="MCS",$E$4="TODOS CRs")),
SUMIFS('2026'!$K:$K,'2026'!$R:$R,$E$3&amp;$C22,'2026'!$T:$T,H$6),
SUMIFS('2026'!$K:$K,'2026'!$N:$N,$E$3&amp;$C22&amp;$E$4,'2026'!$T:$T,H$6))</f>
        <v>-347.67</v>
      </c>
      <c r="I22" s="105">
        <f>IF((AND($E$3="MCS",$E$4="TODOS CRs")),
SUMIFS('2026'!$K:$K,'2026'!$R:$R,$E$3&amp;$C22,'2026'!$T:$T,I$6),
SUMIFS('2026'!$K:$K,'2026'!$N:$N,$E$3&amp;$C22&amp;$E$4,'2026'!$T:$T,I$6))</f>
        <v>-511.07</v>
      </c>
      <c r="J22" s="105">
        <f>IF((AND($E$3="MCS",$E$4="TODOS CRs")),
SUMIFS('2026'!$K:$K,'2026'!$R:$R,$E$3&amp;$C22,'2026'!$T:$T,J$6),
SUMIFS('2026'!$K:$K,'2026'!$N:$N,$E$3&amp;$C22&amp;$E$4,'2026'!$T:$T,J$6))</f>
        <v>-451.48</v>
      </c>
      <c r="K22" s="105">
        <f>IF((AND($E$3="MCS",$E$4="TODOS CRs")),
SUMIFS('2026'!$K:$K,'2026'!$R:$R,$E$3&amp;$C22,'2026'!$T:$T,K$6),
SUMIFS('2026'!$K:$K,'2026'!$N:$N,$E$3&amp;$C22&amp;$E$4,'2026'!$T:$T,K$6))</f>
        <v>-391</v>
      </c>
      <c r="L22" s="105">
        <f>IF((AND($E$3="MCS",$E$4="TODOS CRs")),
SUMIFS('2026'!$K:$K,'2026'!$R:$R,$E$3&amp;$C22,'2026'!$T:$T,L$6),
SUMIFS('2026'!$K:$K,'2026'!$N:$N,$E$3&amp;$C22&amp;$E$4,'2026'!$T:$T,L$6))</f>
        <v>0</v>
      </c>
      <c r="M22" s="105">
        <f>IF((AND($E$3="MCS",$E$4="TODOS CRs")),
SUMIFS('2026'!$K:$K,'2026'!$R:$R,$E$3&amp;$C22,'2026'!$T:$T,M$6),
SUMIFS('2026'!$K:$K,'2026'!$N:$N,$E$3&amp;$C22&amp;$E$4,'2026'!$T:$T,M$6))</f>
        <v>0</v>
      </c>
      <c r="N22" s="105">
        <f>IF((AND($E$3="MCS",$E$4="TODOS CRs")),
SUMIFS('2026'!$K:$K,'2026'!$R:$R,$E$3&amp;$C22,'2026'!$T:$T,N$6),
SUMIFS('2026'!$K:$K,'2026'!$N:$N,$E$3&amp;$C22&amp;$E$4,'2026'!$T:$T,N$6))</f>
        <v>0</v>
      </c>
      <c r="O22" s="105">
        <f>IF((AND($E$3="MCS",$E$4="TODOS CRs")),
SUMIFS('2026'!$K:$K,'2026'!$R:$R,$E$3&amp;$C22,'2026'!$T:$T,O$6),
SUMIFS('2026'!$K:$K,'2026'!$N:$N,$E$3&amp;$C22&amp;$E$4,'2026'!$T:$T,O$6))</f>
        <v>0</v>
      </c>
      <c r="P22" s="105">
        <f>IF((AND($E$3="MCS",$E$4="TODOS CRs")),
SUMIFS('2026'!$K:$K,'2026'!$R:$R,$E$3&amp;$C22,'2026'!$T:$T,P$6),
SUMIFS('2026'!$K:$K,'2026'!$N:$N,$E$3&amp;$C22&amp;$E$4,'2026'!$T:$T,P$6))</f>
        <v>0</v>
      </c>
      <c r="Q22" s="105">
        <f>IF((AND($E$3="MCS",$E$4="TODOS CRs")),
SUMIFS('2026'!$K:$K,'2026'!$R:$R,$E$3&amp;$C22,'2026'!$T:$T,Q$6),
SUMIFS('2026'!$K:$K,'2026'!$N:$N,$E$3&amp;$C22&amp;$E$4,'2026'!$T:$T,Q$6))</f>
        <v>0</v>
      </c>
    </row>
    <row r="23" spans="1:17" s="101" customFormat="1" ht="15" customHeight="1" x14ac:dyDescent="0.25">
      <c r="A23" s="95"/>
      <c r="B23" s="102" t="s">
        <v>89</v>
      </c>
      <c r="C23" s="102" t="s">
        <v>55</v>
      </c>
      <c r="D23" s="103" t="s">
        <v>73</v>
      </c>
      <c r="E23" s="104">
        <f t="shared" si="18"/>
        <v>0</v>
      </c>
      <c r="F23" s="108">
        <f>IF((AND($E$3="MCS",$E$4="TODOS CRs")),
SUMIFS('2026'!$K:$K,'2026'!$R:$R,$E$3&amp;$C23,'2026'!$T:$T,F$6),
SUMIFS('2026'!$K:$K,'2026'!$N:$N,$E$3&amp;$C23&amp;$E$4,'2026'!$T:$T,F$6))</f>
        <v>0</v>
      </c>
      <c r="G23" s="105">
        <f>IF((AND($E$3="MCS",$E$4="TODOS CRs")),
SUMIFS('2026'!$K:$K,'2026'!$R:$R,$E$3&amp;$C23,'2026'!$T:$T,G$6),
SUMIFS('2026'!$K:$K,'2026'!$N:$N,$E$3&amp;$C23&amp;$E$4,'2026'!$T:$T,G$6))</f>
        <v>0</v>
      </c>
      <c r="H23" s="105">
        <f>IF((AND($E$3="MCS",$E$4="TODOS CRs")),
SUMIFS('2026'!$K:$K,'2026'!$R:$R,$E$3&amp;$C23,'2026'!$T:$T,H$6),
SUMIFS('2026'!$K:$K,'2026'!$N:$N,$E$3&amp;$C23&amp;$E$4,'2026'!$T:$T,H$6))</f>
        <v>0</v>
      </c>
      <c r="I23" s="105">
        <f>IF((AND($E$3="MCS",$E$4="TODOS CRs")),
SUMIFS('2026'!$K:$K,'2026'!$R:$R,$E$3&amp;$C23,'2026'!$T:$T,I$6),
SUMIFS('2026'!$K:$K,'2026'!$N:$N,$E$3&amp;$C23&amp;$E$4,'2026'!$T:$T,I$6))</f>
        <v>0</v>
      </c>
      <c r="J23" s="105">
        <f>IF((AND($E$3="MCS",$E$4="TODOS CRs")),
SUMIFS('2026'!$K:$K,'2026'!$R:$R,$E$3&amp;$C23,'2026'!$T:$T,J$6),
SUMIFS('2026'!$K:$K,'2026'!$N:$N,$E$3&amp;$C23&amp;$E$4,'2026'!$T:$T,J$6))</f>
        <v>0</v>
      </c>
      <c r="K23" s="105">
        <f>IF((AND($E$3="MCS",$E$4="TODOS CRs")),
SUMIFS('2026'!$K:$K,'2026'!$R:$R,$E$3&amp;$C23,'2026'!$T:$T,K$6),
SUMIFS('2026'!$K:$K,'2026'!$N:$N,$E$3&amp;$C23&amp;$E$4,'2026'!$T:$T,K$6))</f>
        <v>0</v>
      </c>
      <c r="L23" s="105">
        <f>IF((AND($E$3="MCS",$E$4="TODOS CRs")),
SUMIFS('2026'!$K:$K,'2026'!$R:$R,$E$3&amp;$C23,'2026'!$T:$T,L$6),
SUMIFS('2026'!$K:$K,'2026'!$N:$N,$E$3&amp;$C23&amp;$E$4,'2026'!$T:$T,L$6))</f>
        <v>0</v>
      </c>
      <c r="M23" s="105">
        <f>IF((AND($E$3="MCS",$E$4="TODOS CRs")),
SUMIFS('2026'!$K:$K,'2026'!$R:$R,$E$3&amp;$C23,'2026'!$T:$T,M$6),
SUMIFS('2026'!$K:$K,'2026'!$N:$N,$E$3&amp;$C23&amp;$E$4,'2026'!$T:$T,M$6))</f>
        <v>0</v>
      </c>
      <c r="N23" s="105">
        <f>IF((AND($E$3="MCS",$E$4="TODOS CRs")),
SUMIFS('2026'!$K:$K,'2026'!$R:$R,$E$3&amp;$C23,'2026'!$T:$T,N$6),
SUMIFS('2026'!$K:$K,'2026'!$N:$N,$E$3&amp;$C23&amp;$E$4,'2026'!$T:$T,N$6))</f>
        <v>0</v>
      </c>
      <c r="O23" s="105">
        <f>IF((AND($E$3="MCS",$E$4="TODOS CRs")),
SUMIFS('2026'!$K:$K,'2026'!$R:$R,$E$3&amp;$C23,'2026'!$T:$T,O$6),
SUMIFS('2026'!$K:$K,'2026'!$N:$N,$E$3&amp;$C23&amp;$E$4,'2026'!$T:$T,O$6))</f>
        <v>0</v>
      </c>
      <c r="P23" s="105">
        <f>IF((AND($E$3="MCS",$E$4="TODOS CRs")),
SUMIFS('2026'!$K:$K,'2026'!$R:$R,$E$3&amp;$C23,'2026'!$T:$T,P$6),
SUMIFS('2026'!$K:$K,'2026'!$N:$N,$E$3&amp;$C23&amp;$E$4,'2026'!$T:$T,P$6))</f>
        <v>0</v>
      </c>
      <c r="Q23" s="105">
        <f>IF((AND($E$3="MCS",$E$4="TODOS CRs")),
SUMIFS('2026'!$K:$K,'2026'!$R:$R,$E$3&amp;$C23,'2026'!$T:$T,Q$6),
SUMIFS('2026'!$K:$K,'2026'!$N:$N,$E$3&amp;$C23&amp;$E$4,'2026'!$T:$T,Q$6))</f>
        <v>0</v>
      </c>
    </row>
    <row r="24" spans="1:17" s="101" customFormat="1" ht="15" customHeight="1" x14ac:dyDescent="0.25">
      <c r="A24" s="95"/>
      <c r="B24" s="96" t="s">
        <v>90</v>
      </c>
      <c r="C24" s="96" t="s">
        <v>77</v>
      </c>
      <c r="D24" s="97" t="s">
        <v>65</v>
      </c>
      <c r="E24" s="98">
        <f t="shared" si="18"/>
        <v>-5237.55</v>
      </c>
      <c r="F24" s="107">
        <f>IF((AND($E$3="MCS",$E$4="TODOS CRs")),
SUMIFS('2026'!$K:$K,'2026'!$R:$R,$E$3&amp;$C24,'2026'!$T:$T,F$6),
SUMIFS('2026'!$K:$K,'2026'!$N:$N,$E$3&amp;$C24&amp;$E$4,'2026'!$T:$T,F$6))</f>
        <v>-849.87</v>
      </c>
      <c r="G24" s="99">
        <f>IF((AND($E$3="MCS",$E$4="TODOS CRs")),
SUMIFS('2026'!$K:$K,'2026'!$R:$R,$E$3&amp;$C24,'2026'!$T:$T,G$6),
SUMIFS('2026'!$K:$K,'2026'!$N:$N,$E$3&amp;$C24&amp;$E$4,'2026'!$T:$T,G$6))</f>
        <v>-662.01</v>
      </c>
      <c r="H24" s="99">
        <f>IF((AND($E$3="MCS",$E$4="TODOS CRs")),
SUMIFS('2026'!$K:$K,'2026'!$R:$R,$E$3&amp;$C24,'2026'!$T:$T,H$6),
SUMIFS('2026'!$K:$K,'2026'!$N:$N,$E$3&amp;$C24&amp;$E$4,'2026'!$T:$T,H$6))</f>
        <v>-332.84000000000003</v>
      </c>
      <c r="I24" s="99">
        <f>IF((AND($E$3="MCS",$E$4="TODOS CRs")),
SUMIFS('2026'!$K:$K,'2026'!$R:$R,$E$3&amp;$C24,'2026'!$T:$T,I$6),
SUMIFS('2026'!$K:$K,'2026'!$N:$N,$E$3&amp;$C24&amp;$E$4,'2026'!$T:$T,I$6))</f>
        <v>-1448.7099999999998</v>
      </c>
      <c r="J24" s="99">
        <f>IF((AND($E$3="MCS",$E$4="TODOS CRs")),
SUMIFS('2026'!$K:$K,'2026'!$R:$R,$E$3&amp;$C24,'2026'!$T:$T,J$6),
SUMIFS('2026'!$K:$K,'2026'!$N:$N,$E$3&amp;$C24&amp;$E$4,'2026'!$T:$T,J$6))</f>
        <v>-1099.4499999999998</v>
      </c>
      <c r="K24" s="99">
        <f>IF((AND($E$3="MCS",$E$4="TODOS CRs")),
SUMIFS('2026'!$K:$K,'2026'!$R:$R,$E$3&amp;$C24,'2026'!$T:$T,K$6),
SUMIFS('2026'!$K:$K,'2026'!$N:$N,$E$3&amp;$C24&amp;$E$4,'2026'!$T:$T,K$6))</f>
        <v>-844.67</v>
      </c>
      <c r="L24" s="99">
        <f>IF((AND($E$3="MCS",$E$4="TODOS CRs")),
SUMIFS('2026'!$K:$K,'2026'!$R:$R,$E$3&amp;$C24,'2026'!$T:$T,L$6),
SUMIFS('2026'!$K:$K,'2026'!$N:$N,$E$3&amp;$C24&amp;$E$4,'2026'!$T:$T,L$6))</f>
        <v>0</v>
      </c>
      <c r="M24" s="99">
        <f>IF((AND($E$3="MCS",$E$4="TODOS CRs")),
SUMIFS('2026'!$K:$K,'2026'!$R:$R,$E$3&amp;$C24,'2026'!$T:$T,M$6),
SUMIFS('2026'!$K:$K,'2026'!$N:$N,$E$3&amp;$C24&amp;$E$4,'2026'!$T:$T,M$6))</f>
        <v>0</v>
      </c>
      <c r="N24" s="99">
        <f>IF((AND($E$3="MCS",$E$4="TODOS CRs")),
SUMIFS('2026'!$K:$K,'2026'!$R:$R,$E$3&amp;$C24,'2026'!$T:$T,N$6),
SUMIFS('2026'!$K:$K,'2026'!$N:$N,$E$3&amp;$C24&amp;$E$4,'2026'!$T:$T,N$6))</f>
        <v>0</v>
      </c>
      <c r="O24" s="99">
        <f>IF((AND($E$3="MCS",$E$4="TODOS CRs")),
SUMIFS('2026'!$K:$K,'2026'!$R:$R,$E$3&amp;$C24,'2026'!$T:$T,O$6),
SUMIFS('2026'!$K:$K,'2026'!$N:$N,$E$3&amp;$C24&amp;$E$4,'2026'!$T:$T,O$6))</f>
        <v>0</v>
      </c>
      <c r="P24" s="99">
        <f>IF((AND($E$3="MCS",$E$4="TODOS CRs")),
SUMIFS('2026'!$K:$K,'2026'!$R:$R,$E$3&amp;$C24,'2026'!$T:$T,P$6),
SUMIFS('2026'!$K:$K,'2026'!$N:$N,$E$3&amp;$C24&amp;$E$4,'2026'!$T:$T,P$6))</f>
        <v>0</v>
      </c>
      <c r="Q24" s="99">
        <f>IF((AND($E$3="MCS",$E$4="TODOS CRs")),
SUMIFS('2026'!$K:$K,'2026'!$R:$R,$E$3&amp;$C24,'2026'!$T:$T,Q$6),
SUMIFS('2026'!$K:$K,'2026'!$N:$N,$E$3&amp;$C24&amp;$E$4,'2026'!$T:$T,Q$6))</f>
        <v>0</v>
      </c>
    </row>
    <row r="25" spans="1:17" s="101" customFormat="1" ht="15" customHeight="1" x14ac:dyDescent="0.25">
      <c r="A25" s="95"/>
      <c r="B25" s="96" t="s">
        <v>90</v>
      </c>
      <c r="C25" s="96" t="s">
        <v>78</v>
      </c>
      <c r="D25" s="97" t="s">
        <v>66</v>
      </c>
      <c r="E25" s="98">
        <f t="shared" si="18"/>
        <v>-808</v>
      </c>
      <c r="F25" s="107">
        <f>IF((AND($E$3="MCS",$E$4="TODOS CRs")),
SUMIFS('2026'!$K:$K,'2026'!$R:$R,$E$3&amp;$C25,'2026'!$T:$T,F$6),
SUMIFS('2026'!$K:$K,'2026'!$N:$N,$E$3&amp;$C25&amp;$E$4,'2026'!$T:$T,F$6))</f>
        <v>-134</v>
      </c>
      <c r="G25" s="99">
        <f>IF((AND($E$3="MCS",$E$4="TODOS CRs")),
SUMIFS('2026'!$K:$K,'2026'!$R:$R,$E$3&amp;$C25,'2026'!$T:$T,G$6),
SUMIFS('2026'!$K:$K,'2026'!$N:$N,$E$3&amp;$C25&amp;$E$4,'2026'!$T:$T,G$6))</f>
        <v>-196.5</v>
      </c>
      <c r="H25" s="99">
        <f>IF((AND($E$3="MCS",$E$4="TODOS CRs")),
SUMIFS('2026'!$K:$K,'2026'!$R:$R,$E$3&amp;$C25,'2026'!$T:$T,H$6),
SUMIFS('2026'!$K:$K,'2026'!$N:$N,$E$3&amp;$C25&amp;$E$4,'2026'!$T:$T,H$6))</f>
        <v>0</v>
      </c>
      <c r="I25" s="99">
        <f>IF((AND($E$3="MCS",$E$4="TODOS CRs")),
SUMIFS('2026'!$K:$K,'2026'!$R:$R,$E$3&amp;$C25,'2026'!$T:$T,I$6),
SUMIFS('2026'!$K:$K,'2026'!$N:$N,$E$3&amp;$C25&amp;$E$4,'2026'!$T:$T,I$6))</f>
        <v>-174</v>
      </c>
      <c r="J25" s="99">
        <f>IF((AND($E$3="MCS",$E$4="TODOS CRs")),
SUMIFS('2026'!$K:$K,'2026'!$R:$R,$E$3&amp;$C25,'2026'!$T:$T,J$6),
SUMIFS('2026'!$K:$K,'2026'!$N:$N,$E$3&amp;$C25&amp;$E$4,'2026'!$T:$T,J$6))</f>
        <v>-176</v>
      </c>
      <c r="K25" s="99">
        <f>IF((AND($E$3="MCS",$E$4="TODOS CRs")),
SUMIFS('2026'!$K:$K,'2026'!$R:$R,$E$3&amp;$C25,'2026'!$T:$T,K$6),
SUMIFS('2026'!$K:$K,'2026'!$N:$N,$E$3&amp;$C25&amp;$E$4,'2026'!$T:$T,K$6))</f>
        <v>-127.5</v>
      </c>
      <c r="L25" s="99">
        <f>IF((AND($E$3="MCS",$E$4="TODOS CRs")),
SUMIFS('2026'!$K:$K,'2026'!$R:$R,$E$3&amp;$C25,'2026'!$T:$T,L$6),
SUMIFS('2026'!$K:$K,'2026'!$N:$N,$E$3&amp;$C25&amp;$E$4,'2026'!$T:$T,L$6))</f>
        <v>0</v>
      </c>
      <c r="M25" s="99">
        <f>IF((AND($E$3="MCS",$E$4="TODOS CRs")),
SUMIFS('2026'!$K:$K,'2026'!$R:$R,$E$3&amp;$C25,'2026'!$T:$T,M$6),
SUMIFS('2026'!$K:$K,'2026'!$N:$N,$E$3&amp;$C25&amp;$E$4,'2026'!$T:$T,M$6))</f>
        <v>0</v>
      </c>
      <c r="N25" s="99">
        <f>IF((AND($E$3="MCS",$E$4="TODOS CRs")),
SUMIFS('2026'!$K:$K,'2026'!$R:$R,$E$3&amp;$C25,'2026'!$T:$T,N$6),
SUMIFS('2026'!$K:$K,'2026'!$N:$N,$E$3&amp;$C25&amp;$E$4,'2026'!$T:$T,N$6))</f>
        <v>0</v>
      </c>
      <c r="O25" s="99">
        <f>IF((AND($E$3="MCS",$E$4="TODOS CRs")),
SUMIFS('2026'!$K:$K,'2026'!$R:$R,$E$3&amp;$C25,'2026'!$T:$T,O$6),
SUMIFS('2026'!$K:$K,'2026'!$N:$N,$E$3&amp;$C25&amp;$E$4,'2026'!$T:$T,O$6))</f>
        <v>0</v>
      </c>
      <c r="P25" s="99">
        <f>IF((AND($E$3="MCS",$E$4="TODOS CRs")),
SUMIFS('2026'!$K:$K,'2026'!$R:$R,$E$3&amp;$C25,'2026'!$T:$T,P$6),
SUMIFS('2026'!$K:$K,'2026'!$N:$N,$E$3&amp;$C25&amp;$E$4,'2026'!$T:$T,P$6))</f>
        <v>0</v>
      </c>
      <c r="Q25" s="99">
        <f>IF((AND($E$3="MCS",$E$4="TODOS CRs")),
SUMIFS('2026'!$K:$K,'2026'!$R:$R,$E$3&amp;$C25,'2026'!$T:$T,Q$6),
SUMIFS('2026'!$K:$K,'2026'!$N:$N,$E$3&amp;$C25&amp;$E$4,'2026'!$T:$T,Q$6))</f>
        <v>0</v>
      </c>
    </row>
    <row r="26" spans="1:17" s="101" customFormat="1" ht="15" customHeight="1" x14ac:dyDescent="0.25">
      <c r="A26" s="95"/>
      <c r="B26" s="102" t="s">
        <v>91</v>
      </c>
      <c r="C26" s="102" t="s">
        <v>11</v>
      </c>
      <c r="D26" s="103" t="s">
        <v>36</v>
      </c>
      <c r="E26" s="104">
        <f t="shared" si="18"/>
        <v>-400</v>
      </c>
      <c r="F26" s="108">
        <f>IF((AND($E$3="MCS",$E$4="TODOS CRs")),
SUMIFS('2026'!$K:$K,'2026'!$R:$R,$E$3&amp;$C26,'2026'!$T:$T,F$6),
SUMIFS('2026'!$K:$K,'2026'!$N:$N,$E$3&amp;$C26&amp;$E$4,'2026'!$T:$T,F$6))</f>
        <v>-200</v>
      </c>
      <c r="G26" s="105">
        <f>IF((AND($E$3="MCS",$E$4="TODOS CRs")),
SUMIFS('2026'!$K:$K,'2026'!$R:$R,$E$3&amp;$C26,'2026'!$T:$T,G$6),
SUMIFS('2026'!$K:$K,'2026'!$N:$N,$E$3&amp;$C26&amp;$E$4,'2026'!$T:$T,G$6))</f>
        <v>0</v>
      </c>
      <c r="H26" s="105">
        <f>IF((AND($E$3="MCS",$E$4="TODOS CRs")),
SUMIFS('2026'!$K:$K,'2026'!$R:$R,$E$3&amp;$C26,'2026'!$T:$T,H$6),
SUMIFS('2026'!$K:$K,'2026'!$N:$N,$E$3&amp;$C26&amp;$E$4,'2026'!$T:$T,H$6))</f>
        <v>-170</v>
      </c>
      <c r="I26" s="105">
        <f>IF((AND($E$3="MCS",$E$4="TODOS CRs")),
SUMIFS('2026'!$K:$K,'2026'!$R:$R,$E$3&amp;$C26,'2026'!$T:$T,I$6),
SUMIFS('2026'!$K:$K,'2026'!$N:$N,$E$3&amp;$C26&amp;$E$4,'2026'!$T:$T,I$6))</f>
        <v>-30</v>
      </c>
      <c r="J26" s="105">
        <f>IF((AND($E$3="MCS",$E$4="TODOS CRs")),
SUMIFS('2026'!$K:$K,'2026'!$R:$R,$E$3&amp;$C26,'2026'!$T:$T,J$6),
SUMIFS('2026'!$K:$K,'2026'!$N:$N,$E$3&amp;$C26&amp;$E$4,'2026'!$T:$T,J$6))</f>
        <v>0</v>
      </c>
      <c r="K26" s="105">
        <f>IF((AND($E$3="MCS",$E$4="TODOS CRs")),
SUMIFS('2026'!$K:$K,'2026'!$R:$R,$E$3&amp;$C26,'2026'!$T:$T,K$6),
SUMIFS('2026'!$K:$K,'2026'!$N:$N,$E$3&amp;$C26&amp;$E$4,'2026'!$T:$T,K$6))</f>
        <v>0</v>
      </c>
      <c r="L26" s="105">
        <f>IF((AND($E$3="MCS",$E$4="TODOS CRs")),
SUMIFS('2026'!$K:$K,'2026'!$R:$R,$E$3&amp;$C26,'2026'!$T:$T,L$6),
SUMIFS('2026'!$K:$K,'2026'!$N:$N,$E$3&amp;$C26&amp;$E$4,'2026'!$T:$T,L$6))</f>
        <v>0</v>
      </c>
      <c r="M26" s="105">
        <f>IF((AND($E$3="MCS",$E$4="TODOS CRs")),
SUMIFS('2026'!$K:$K,'2026'!$R:$R,$E$3&amp;$C26,'2026'!$T:$T,M$6),
SUMIFS('2026'!$K:$K,'2026'!$N:$N,$E$3&amp;$C26&amp;$E$4,'2026'!$T:$T,M$6))</f>
        <v>0</v>
      </c>
      <c r="N26" s="105">
        <f>IF((AND($E$3="MCS",$E$4="TODOS CRs")),
SUMIFS('2026'!$K:$K,'2026'!$R:$R,$E$3&amp;$C26,'2026'!$T:$T,N$6),
SUMIFS('2026'!$K:$K,'2026'!$N:$N,$E$3&amp;$C26&amp;$E$4,'2026'!$T:$T,N$6))</f>
        <v>0</v>
      </c>
      <c r="O26" s="105">
        <f>IF((AND($E$3="MCS",$E$4="TODOS CRs")),
SUMIFS('2026'!$K:$K,'2026'!$R:$R,$E$3&amp;$C26,'2026'!$T:$T,O$6),
SUMIFS('2026'!$K:$K,'2026'!$N:$N,$E$3&amp;$C26&amp;$E$4,'2026'!$T:$T,O$6))</f>
        <v>0</v>
      </c>
      <c r="P26" s="105">
        <f>IF((AND($E$3="MCS",$E$4="TODOS CRs")),
SUMIFS('2026'!$K:$K,'2026'!$R:$R,$E$3&amp;$C26,'2026'!$T:$T,P$6),
SUMIFS('2026'!$K:$K,'2026'!$N:$N,$E$3&amp;$C26&amp;$E$4,'2026'!$T:$T,P$6))</f>
        <v>0</v>
      </c>
      <c r="Q26" s="105">
        <f>IF((AND($E$3="MCS",$E$4="TODOS CRs")),
SUMIFS('2026'!$K:$K,'2026'!$R:$R,$E$3&amp;$C26,'2026'!$T:$T,Q$6),
SUMIFS('2026'!$K:$K,'2026'!$N:$N,$E$3&amp;$C26&amp;$E$4,'2026'!$T:$T,Q$6))</f>
        <v>0</v>
      </c>
    </row>
    <row r="27" spans="1:17" s="101" customFormat="1" ht="15" customHeight="1" x14ac:dyDescent="0.25">
      <c r="A27" s="95"/>
      <c r="B27" s="102" t="s">
        <v>91</v>
      </c>
      <c r="C27" s="102" t="s">
        <v>37</v>
      </c>
      <c r="D27" s="103" t="s">
        <v>72</v>
      </c>
      <c r="E27" s="104">
        <f t="shared" si="18"/>
        <v>-168</v>
      </c>
      <c r="F27" s="108">
        <f>IF((AND($E$3="MCS",$E$4="TODOS CRs")),
SUMIFS('2026'!$K:$K,'2026'!$R:$R,$E$3&amp;$C27,'2026'!$T:$T,F$6),
SUMIFS('2026'!$K:$K,'2026'!$N:$N,$E$3&amp;$C27&amp;$E$4,'2026'!$T:$T,F$6))</f>
        <v>-28</v>
      </c>
      <c r="G27" s="105">
        <f>IF((AND($E$3="MCS",$E$4="TODOS CRs")),
SUMIFS('2026'!$K:$K,'2026'!$R:$R,$E$3&amp;$C27,'2026'!$T:$T,G$6),
SUMIFS('2026'!$K:$K,'2026'!$N:$N,$E$3&amp;$C27&amp;$E$4,'2026'!$T:$T,G$6))</f>
        <v>-28</v>
      </c>
      <c r="H27" s="105">
        <f>IF((AND($E$3="MCS",$E$4="TODOS CRs")),
SUMIFS('2026'!$K:$K,'2026'!$R:$R,$E$3&amp;$C27,'2026'!$T:$T,H$6),
SUMIFS('2026'!$K:$K,'2026'!$N:$N,$E$3&amp;$C27&amp;$E$4,'2026'!$T:$T,H$6))</f>
        <v>-28</v>
      </c>
      <c r="I27" s="105">
        <f>IF((AND($E$3="MCS",$E$4="TODOS CRs")),
SUMIFS('2026'!$K:$K,'2026'!$R:$R,$E$3&amp;$C27,'2026'!$T:$T,I$6),
SUMIFS('2026'!$K:$K,'2026'!$N:$N,$E$3&amp;$C27&amp;$E$4,'2026'!$T:$T,I$6))</f>
        <v>-28</v>
      </c>
      <c r="J27" s="105">
        <f>IF((AND($E$3="MCS",$E$4="TODOS CRs")),
SUMIFS('2026'!$K:$K,'2026'!$R:$R,$E$3&amp;$C27,'2026'!$T:$T,J$6),
SUMIFS('2026'!$K:$K,'2026'!$N:$N,$E$3&amp;$C27&amp;$E$4,'2026'!$T:$T,J$6))</f>
        <v>-28</v>
      </c>
      <c r="K27" s="105">
        <f>IF((AND($E$3="MCS",$E$4="TODOS CRs")),
SUMIFS('2026'!$K:$K,'2026'!$R:$R,$E$3&amp;$C27,'2026'!$T:$T,K$6),
SUMIFS('2026'!$K:$K,'2026'!$N:$N,$E$3&amp;$C27&amp;$E$4,'2026'!$T:$T,K$6))</f>
        <v>-28</v>
      </c>
      <c r="L27" s="105">
        <f>IF((AND($E$3="MCS",$E$4="TODOS CRs")),
SUMIFS('2026'!$K:$K,'2026'!$R:$R,$E$3&amp;$C27,'2026'!$T:$T,L$6),
SUMIFS('2026'!$K:$K,'2026'!$N:$N,$E$3&amp;$C27&amp;$E$4,'2026'!$T:$T,L$6))</f>
        <v>0</v>
      </c>
      <c r="M27" s="105">
        <f>IF((AND($E$3="MCS",$E$4="TODOS CRs")),
SUMIFS('2026'!$K:$K,'2026'!$R:$R,$E$3&amp;$C27,'2026'!$T:$T,M$6),
SUMIFS('2026'!$K:$K,'2026'!$N:$N,$E$3&amp;$C27&amp;$E$4,'2026'!$T:$T,M$6))</f>
        <v>0</v>
      </c>
      <c r="N27" s="105">
        <f>IF((AND($E$3="MCS",$E$4="TODOS CRs")),
SUMIFS('2026'!$K:$K,'2026'!$R:$R,$E$3&amp;$C27,'2026'!$T:$T,N$6),
SUMIFS('2026'!$K:$K,'2026'!$N:$N,$E$3&amp;$C27&amp;$E$4,'2026'!$T:$T,N$6))</f>
        <v>0</v>
      </c>
      <c r="O27" s="105">
        <f>IF((AND($E$3="MCS",$E$4="TODOS CRs")),
SUMIFS('2026'!$K:$K,'2026'!$R:$R,$E$3&amp;$C27,'2026'!$T:$T,O$6),
SUMIFS('2026'!$K:$K,'2026'!$N:$N,$E$3&amp;$C27&amp;$E$4,'2026'!$T:$T,O$6))</f>
        <v>0</v>
      </c>
      <c r="P27" s="105">
        <f>IF((AND($E$3="MCS",$E$4="TODOS CRs")),
SUMIFS('2026'!$K:$K,'2026'!$R:$R,$E$3&amp;$C27,'2026'!$T:$T,P$6),
SUMIFS('2026'!$K:$K,'2026'!$N:$N,$E$3&amp;$C27&amp;$E$4,'2026'!$T:$T,P$6))</f>
        <v>0</v>
      </c>
      <c r="Q27" s="105">
        <f>IF((AND($E$3="MCS",$E$4="TODOS CRs")),
SUMIFS('2026'!$K:$K,'2026'!$R:$R,$E$3&amp;$C27,'2026'!$T:$T,Q$6),
SUMIFS('2026'!$K:$K,'2026'!$N:$N,$E$3&amp;$C27&amp;$E$4,'2026'!$T:$T,Q$6))</f>
        <v>0</v>
      </c>
    </row>
    <row r="28" spans="1:17" s="101" customFormat="1" ht="15" customHeight="1" x14ac:dyDescent="0.25">
      <c r="A28" s="95"/>
      <c r="B28" s="102" t="s">
        <v>91</v>
      </c>
      <c r="C28" s="102" t="s">
        <v>112</v>
      </c>
      <c r="D28" s="103" t="s">
        <v>72</v>
      </c>
      <c r="E28" s="104">
        <f t="shared" si="18"/>
        <v>-1782.3</v>
      </c>
      <c r="F28" s="108">
        <f>IF((AND($E$3="MCS",$E$4="TODOS CRs")),
SUMIFS('2026'!$K:$K,'2026'!$R:$R,$E$3&amp;$C28,'2026'!$T:$T,F$6),
SUMIFS('2026'!$K:$K,'2026'!$N:$N,$E$3&amp;$C28&amp;$E$4,'2026'!$T:$T,F$6))</f>
        <v>-297.05</v>
      </c>
      <c r="G28" s="105">
        <f>IF((AND($E$3="MCS",$E$4="TODOS CRs")),
SUMIFS('2026'!$K:$K,'2026'!$R:$R,$E$3&amp;$C28,'2026'!$T:$T,G$6),
SUMIFS('2026'!$K:$K,'2026'!$N:$N,$E$3&amp;$C28&amp;$E$4,'2026'!$T:$T,G$6))</f>
        <v>-297.05</v>
      </c>
      <c r="H28" s="105">
        <f>IF((AND($E$3="MCS",$E$4="TODOS CRs")),
SUMIFS('2026'!$K:$K,'2026'!$R:$R,$E$3&amp;$C28,'2026'!$T:$T,H$6),
SUMIFS('2026'!$K:$K,'2026'!$N:$N,$E$3&amp;$C28&amp;$E$4,'2026'!$T:$T,H$6))</f>
        <v>-297.05</v>
      </c>
      <c r="I28" s="105">
        <f>IF((AND($E$3="MCS",$E$4="TODOS CRs")),
SUMIFS('2026'!$K:$K,'2026'!$R:$R,$E$3&amp;$C28,'2026'!$T:$T,I$6),
SUMIFS('2026'!$K:$K,'2026'!$N:$N,$E$3&amp;$C28&amp;$E$4,'2026'!$T:$T,I$6))</f>
        <v>-297.05</v>
      </c>
      <c r="J28" s="105">
        <f>IF((AND($E$3="MCS",$E$4="TODOS CRs")),
SUMIFS('2026'!$K:$K,'2026'!$R:$R,$E$3&amp;$C28,'2026'!$T:$T,J$6),
SUMIFS('2026'!$K:$K,'2026'!$N:$N,$E$3&amp;$C28&amp;$E$4,'2026'!$T:$T,J$6))</f>
        <v>-297.05</v>
      </c>
      <c r="K28" s="105">
        <f>IF((AND($E$3="MCS",$E$4="TODOS CRs")),
SUMIFS('2026'!$K:$K,'2026'!$R:$R,$E$3&amp;$C28,'2026'!$T:$T,K$6),
SUMIFS('2026'!$K:$K,'2026'!$N:$N,$E$3&amp;$C28&amp;$E$4,'2026'!$T:$T,K$6))</f>
        <v>-297.05</v>
      </c>
      <c r="L28" s="105">
        <f>IF((AND($E$3="MCS",$E$4="TODOS CRs")),
SUMIFS('2026'!$K:$K,'2026'!$R:$R,$E$3&amp;$C28,'2026'!$T:$T,L$6),
SUMIFS('2026'!$K:$K,'2026'!$N:$N,$E$3&amp;$C28&amp;$E$4,'2026'!$T:$T,L$6))</f>
        <v>0</v>
      </c>
      <c r="M28" s="105">
        <f>IF((AND($E$3="MCS",$E$4="TODOS CRs")),
SUMIFS('2026'!$K:$K,'2026'!$R:$R,$E$3&amp;$C28,'2026'!$T:$T,M$6),
SUMIFS('2026'!$K:$K,'2026'!$N:$N,$E$3&amp;$C28&amp;$E$4,'2026'!$T:$T,M$6))</f>
        <v>0</v>
      </c>
      <c r="N28" s="105">
        <f>IF((AND($E$3="MCS",$E$4="TODOS CRs")),
SUMIFS('2026'!$K:$K,'2026'!$R:$R,$E$3&amp;$C28,'2026'!$T:$T,N$6),
SUMIFS('2026'!$K:$K,'2026'!$N:$N,$E$3&amp;$C28&amp;$E$4,'2026'!$T:$T,N$6))</f>
        <v>0</v>
      </c>
      <c r="O28" s="105">
        <f>IF((AND($E$3="MCS",$E$4="TODOS CRs")),
SUMIFS('2026'!$K:$K,'2026'!$R:$R,$E$3&amp;$C28,'2026'!$T:$T,O$6),
SUMIFS('2026'!$K:$K,'2026'!$N:$N,$E$3&amp;$C28&amp;$E$4,'2026'!$T:$T,O$6))</f>
        <v>0</v>
      </c>
      <c r="P28" s="105">
        <f>IF((AND($E$3="MCS",$E$4="TODOS CRs")),
SUMIFS('2026'!$K:$K,'2026'!$R:$R,$E$3&amp;$C28,'2026'!$T:$T,P$6),
SUMIFS('2026'!$K:$K,'2026'!$N:$N,$E$3&amp;$C28&amp;$E$4,'2026'!$T:$T,P$6))</f>
        <v>0</v>
      </c>
      <c r="Q28" s="105">
        <f>IF((AND($E$3="MCS",$E$4="TODOS CRs")),
SUMIFS('2026'!$K:$K,'2026'!$R:$R,$E$3&amp;$C28,'2026'!$T:$T,Q$6),
SUMIFS('2026'!$K:$K,'2026'!$N:$N,$E$3&amp;$C28&amp;$E$4,'2026'!$T:$T,Q$6))</f>
        <v>0</v>
      </c>
    </row>
    <row r="29" spans="1:17" s="101" customFormat="1" x14ac:dyDescent="0.25">
      <c r="A29" s="95"/>
      <c r="B29" s="96" t="s">
        <v>92</v>
      </c>
      <c r="C29" s="96" t="s">
        <v>10</v>
      </c>
      <c r="D29" s="97" t="s">
        <v>32</v>
      </c>
      <c r="E29" s="98">
        <f t="shared" si="18"/>
        <v>-296</v>
      </c>
      <c r="F29" s="109">
        <f>IF((AND($E$3="MCS",$E$4="TODOS CRs")),
SUMIFS('2026'!$K:$K,'2026'!$R:$R,$E$3&amp;$C29,'2026'!$T:$T,F$6),
SUMIFS('2026'!$K:$K,'2026'!$N:$N,$E$3&amp;$C29&amp;$E$4,'2026'!$T:$T,F$6))</f>
        <v>0</v>
      </c>
      <c r="G29" s="106">
        <f>IF((AND($E$3="MCS",$E$4="TODOS CRs")),
SUMIFS('2026'!$K:$K,'2026'!$R:$R,$E$3&amp;$C29,'2026'!$T:$T,G$6),
SUMIFS('2026'!$K:$K,'2026'!$N:$N,$E$3&amp;$C29&amp;$E$4,'2026'!$T:$T,G$6))</f>
        <v>0</v>
      </c>
      <c r="H29" s="106">
        <f>IF((AND($E$3="MCS",$E$4="TODOS CRs")),
SUMIFS('2026'!$K:$K,'2026'!$R:$R,$E$3&amp;$C29,'2026'!$T:$T,H$6),
SUMIFS('2026'!$K:$K,'2026'!$N:$N,$E$3&amp;$C29&amp;$E$4,'2026'!$T:$T,H$6))</f>
        <v>0</v>
      </c>
      <c r="I29" s="106">
        <f>IF((AND($E$3="MCS",$E$4="TODOS CRs")),
SUMIFS('2026'!$K:$K,'2026'!$R:$R,$E$3&amp;$C29,'2026'!$T:$T,I$6),
SUMIFS('2026'!$K:$K,'2026'!$N:$N,$E$3&amp;$C29&amp;$E$4,'2026'!$T:$T,I$6))</f>
        <v>-296</v>
      </c>
      <c r="J29" s="106">
        <f>IF((AND($E$3="MCS",$E$4="TODOS CRs")),
SUMIFS('2026'!$K:$K,'2026'!$R:$R,$E$3&amp;$C29,'2026'!$T:$T,J$6),
SUMIFS('2026'!$K:$K,'2026'!$N:$N,$E$3&amp;$C29&amp;$E$4,'2026'!$T:$T,J$6))</f>
        <v>0</v>
      </c>
      <c r="K29" s="106">
        <f>IF((AND($E$3="MCS",$E$4="TODOS CRs")),
SUMIFS('2026'!$K:$K,'2026'!$R:$R,$E$3&amp;$C29,'2026'!$T:$T,K$6),
SUMIFS('2026'!$K:$K,'2026'!$N:$N,$E$3&amp;$C29&amp;$E$4,'2026'!$T:$T,K$6))</f>
        <v>0</v>
      </c>
      <c r="L29" s="106">
        <f>IF((AND($E$3="MCS",$E$4="TODOS CRs")),
SUMIFS('2026'!$K:$K,'2026'!$R:$R,$E$3&amp;$C29,'2026'!$T:$T,L$6),
SUMIFS('2026'!$K:$K,'2026'!$N:$N,$E$3&amp;$C29&amp;$E$4,'2026'!$T:$T,L$6))</f>
        <v>0</v>
      </c>
      <c r="M29" s="106">
        <f>IF((AND($E$3="MCS",$E$4="TODOS CRs")),
SUMIFS('2026'!$K:$K,'2026'!$R:$R,$E$3&amp;$C29,'2026'!$T:$T,M$6),
SUMIFS('2026'!$K:$K,'2026'!$N:$N,$E$3&amp;$C29&amp;$E$4,'2026'!$T:$T,M$6))</f>
        <v>0</v>
      </c>
      <c r="N29" s="106">
        <f>IF((AND($E$3="MCS",$E$4="TODOS CRs")),
SUMIFS('2026'!$K:$K,'2026'!$R:$R,$E$3&amp;$C29,'2026'!$T:$T,N$6),
SUMIFS('2026'!$K:$K,'2026'!$N:$N,$E$3&amp;$C29&amp;$E$4,'2026'!$T:$T,N$6))</f>
        <v>0</v>
      </c>
      <c r="O29" s="106">
        <f>IF((AND($E$3="MCS",$E$4="TODOS CRs")),
SUMIFS('2026'!$K:$K,'2026'!$R:$R,$E$3&amp;$C29,'2026'!$T:$T,O$6),
SUMIFS('2026'!$K:$K,'2026'!$N:$N,$E$3&amp;$C29&amp;$E$4,'2026'!$T:$T,O$6))</f>
        <v>0</v>
      </c>
      <c r="P29" s="106">
        <f>IF((AND($E$3="MCS",$E$4="TODOS CRs")),
SUMIFS('2026'!$K:$K,'2026'!$R:$R,$E$3&amp;$C29,'2026'!$T:$T,P$6),
SUMIFS('2026'!$K:$K,'2026'!$N:$N,$E$3&amp;$C29&amp;$E$4,'2026'!$T:$T,P$6))</f>
        <v>0</v>
      </c>
      <c r="Q29" s="106">
        <f>IF((AND($E$3="MCS",$E$4="TODOS CRs")),
SUMIFS('2026'!$K:$K,'2026'!$R:$R,$E$3&amp;$C29,'2026'!$T:$T,Q$6),
SUMIFS('2026'!$K:$K,'2026'!$N:$N,$E$3&amp;$C29&amp;$E$4,'2026'!$T:$T,Q$6))</f>
        <v>0</v>
      </c>
    </row>
    <row r="30" spans="1:17" s="101" customFormat="1" x14ac:dyDescent="0.25">
      <c r="A30" s="95"/>
      <c r="B30" s="115" t="s">
        <v>93</v>
      </c>
      <c r="C30" s="115" t="s">
        <v>79</v>
      </c>
      <c r="D30" s="116" t="s">
        <v>70</v>
      </c>
      <c r="E30" s="117">
        <f t="shared" si="18"/>
        <v>-2053.59</v>
      </c>
      <c r="F30" s="119">
        <f>IF((AND($E$3="MCS",$E$4="TODOS CRs")),
SUMIFS('2026'!$K:$K,'2026'!$R:$R,$E$3&amp;$C30,'2026'!$T:$T,F$6),
SUMIFS('2026'!$K:$K,'2026'!$N:$N,$E$3&amp;$C30&amp;$E$4,'2026'!$T:$T,F$6))</f>
        <v>-83</v>
      </c>
      <c r="G30" s="118">
        <f>IF((AND($E$3="MCS",$E$4="TODOS CRs")),
SUMIFS('2026'!$K:$K,'2026'!$R:$R,$E$3&amp;$C30,'2026'!$T:$T,G$6),
SUMIFS('2026'!$K:$K,'2026'!$N:$N,$E$3&amp;$C30&amp;$E$4,'2026'!$T:$T,G$6))</f>
        <v>-122.69</v>
      </c>
      <c r="H30" s="118">
        <f>IF((AND($E$3="MCS",$E$4="TODOS CRs")),
SUMIFS('2026'!$K:$K,'2026'!$R:$R,$E$3&amp;$C30,'2026'!$T:$T,H$6),
SUMIFS('2026'!$K:$K,'2026'!$N:$N,$E$3&amp;$C30&amp;$E$4,'2026'!$T:$T,H$6))</f>
        <v>-192.18</v>
      </c>
      <c r="I30" s="118">
        <f>IF((AND($E$3="MCS",$E$4="TODOS CRs")),
SUMIFS('2026'!$K:$K,'2026'!$R:$R,$E$3&amp;$C30,'2026'!$T:$T,I$6),
SUMIFS('2026'!$K:$K,'2026'!$N:$N,$E$3&amp;$C30&amp;$E$4,'2026'!$T:$T,I$6))</f>
        <v>-939.13</v>
      </c>
      <c r="J30" s="118">
        <f>IF((AND($E$3="MCS",$E$4="TODOS CRs")),
SUMIFS('2026'!$K:$K,'2026'!$R:$R,$E$3&amp;$C30,'2026'!$T:$T,J$6),
SUMIFS('2026'!$K:$K,'2026'!$N:$N,$E$3&amp;$C30&amp;$E$4,'2026'!$T:$T,J$6))</f>
        <v>-96</v>
      </c>
      <c r="K30" s="118">
        <f>IF((AND($E$3="MCS",$E$4="TODOS CRs")),
SUMIFS('2026'!$K:$K,'2026'!$R:$R,$E$3&amp;$C30,'2026'!$T:$T,K$6),
SUMIFS('2026'!$K:$K,'2026'!$N:$N,$E$3&amp;$C30&amp;$E$4,'2026'!$T:$T,K$6))</f>
        <v>-620.59</v>
      </c>
      <c r="L30" s="118">
        <f>IF((AND($E$3="MCS",$E$4="TODOS CRs")),
SUMIFS('2026'!$K:$K,'2026'!$R:$R,$E$3&amp;$C30,'2026'!$T:$T,L$6),
SUMIFS('2026'!$K:$K,'2026'!$N:$N,$E$3&amp;$C30&amp;$E$4,'2026'!$T:$T,L$6))</f>
        <v>0</v>
      </c>
      <c r="M30" s="118">
        <f>IF((AND($E$3="MCS",$E$4="TODOS CRs")),
SUMIFS('2026'!$K:$K,'2026'!$R:$R,$E$3&amp;$C30,'2026'!$T:$T,M$6),
SUMIFS('2026'!$K:$K,'2026'!$N:$N,$E$3&amp;$C30&amp;$E$4,'2026'!$T:$T,M$6))</f>
        <v>0</v>
      </c>
      <c r="N30" s="118">
        <f>IF((AND($E$3="MCS",$E$4="TODOS CRs")),
SUMIFS('2026'!$K:$K,'2026'!$R:$R,$E$3&amp;$C30,'2026'!$T:$T,N$6),
SUMIFS('2026'!$K:$K,'2026'!$N:$N,$E$3&amp;$C30&amp;$E$4,'2026'!$T:$T,N$6))</f>
        <v>0</v>
      </c>
      <c r="O30" s="118">
        <f>IF((AND($E$3="MCS",$E$4="TODOS CRs")),
SUMIFS('2026'!$K:$K,'2026'!$R:$R,$E$3&amp;$C30,'2026'!$T:$T,O$6),
SUMIFS('2026'!$K:$K,'2026'!$N:$N,$E$3&amp;$C30&amp;$E$4,'2026'!$T:$T,O$6))</f>
        <v>0</v>
      </c>
      <c r="P30" s="118">
        <f>IF((AND($E$3="MCS",$E$4="TODOS CRs")),
SUMIFS('2026'!$K:$K,'2026'!$R:$R,$E$3&amp;$C30,'2026'!$T:$T,P$6),
SUMIFS('2026'!$K:$K,'2026'!$N:$N,$E$3&amp;$C30&amp;$E$4,'2026'!$T:$T,P$6))</f>
        <v>0</v>
      </c>
      <c r="Q30" s="118">
        <f>IF((AND($E$3="MCS",$E$4="TODOS CRs")),
SUMIFS('2026'!$K:$K,'2026'!$R:$R,$E$3&amp;$C30,'2026'!$T:$T,Q$6),
SUMIFS('2026'!$K:$K,'2026'!$N:$N,$E$3&amp;$C30&amp;$E$4,'2026'!$T:$T,Q$6))</f>
        <v>0</v>
      </c>
    </row>
    <row r="31" spans="1:17" s="101" customFormat="1" x14ac:dyDescent="0.25">
      <c r="A31" s="95"/>
      <c r="B31" s="120" t="s">
        <v>94</v>
      </c>
      <c r="C31" s="120" t="s">
        <v>41</v>
      </c>
      <c r="D31" s="121" t="s">
        <v>40</v>
      </c>
      <c r="E31" s="122">
        <f t="shared" si="18"/>
        <v>-3520</v>
      </c>
      <c r="F31" s="124">
        <f>IF((AND($E$3="MCS",$E$4="TODOS CRs")),
SUMIFS('2026'!$K:$K,'2026'!$R:$R,$E$3&amp;$C31,'2026'!$T:$T,F$6),
SUMIFS('2026'!$K:$K,'2026'!$N:$N,$E$3&amp;$C31&amp;$E$4,'2026'!$T:$T,F$6))</f>
        <v>-700</v>
      </c>
      <c r="G31" s="123">
        <f>IF((AND($E$3="MCS",$E$4="TODOS CRs")),
SUMIFS('2026'!$K:$K,'2026'!$R:$R,$E$3&amp;$C31,'2026'!$T:$T,G$6),
SUMIFS('2026'!$K:$K,'2026'!$N:$N,$E$3&amp;$C31&amp;$E$4,'2026'!$T:$T,G$6))</f>
        <v>-720</v>
      </c>
      <c r="H31" s="123">
        <f>IF((AND($E$3="MCS",$E$4="TODOS CRs")),
SUMIFS('2026'!$K:$K,'2026'!$R:$R,$E$3&amp;$C31,'2026'!$T:$T,H$6),
SUMIFS('2026'!$K:$K,'2026'!$N:$N,$E$3&amp;$C31&amp;$E$4,'2026'!$T:$T,H$6))</f>
        <v>-700</v>
      </c>
      <c r="I31" s="123">
        <f>IF((AND($E$3="MCS",$E$4="TODOS CRs")),
SUMIFS('2026'!$K:$K,'2026'!$R:$R,$E$3&amp;$C31,'2026'!$T:$T,I$6),
SUMIFS('2026'!$K:$K,'2026'!$N:$N,$E$3&amp;$C31&amp;$E$4,'2026'!$T:$T,I$6))</f>
        <v>-700</v>
      </c>
      <c r="J31" s="123">
        <f>IF((AND($E$3="MCS",$E$4="TODOS CRs")),
SUMIFS('2026'!$K:$K,'2026'!$R:$R,$E$3&amp;$C31,'2026'!$T:$T,J$6),
SUMIFS('2026'!$K:$K,'2026'!$N:$N,$E$3&amp;$C31&amp;$E$4,'2026'!$T:$T,J$6))</f>
        <v>-700</v>
      </c>
      <c r="K31" s="123">
        <f>IF((AND($E$3="MCS",$E$4="TODOS CRs")),
SUMIFS('2026'!$K:$K,'2026'!$R:$R,$E$3&amp;$C31,'2026'!$T:$T,K$6),
SUMIFS('2026'!$K:$K,'2026'!$N:$N,$E$3&amp;$C31&amp;$E$4,'2026'!$T:$T,K$6))</f>
        <v>0</v>
      </c>
      <c r="L31" s="123">
        <f>IF((AND($E$3="MCS",$E$4="TODOS CRs")),
SUMIFS('2026'!$K:$K,'2026'!$R:$R,$E$3&amp;$C31,'2026'!$T:$T,L$6),
SUMIFS('2026'!$K:$K,'2026'!$N:$N,$E$3&amp;$C31&amp;$E$4,'2026'!$T:$T,L$6))</f>
        <v>0</v>
      </c>
      <c r="M31" s="123">
        <f>IF((AND($E$3="MCS",$E$4="TODOS CRs")),
SUMIFS('2026'!$K:$K,'2026'!$R:$R,$E$3&amp;$C31,'2026'!$T:$T,M$6),
SUMIFS('2026'!$K:$K,'2026'!$N:$N,$E$3&amp;$C31&amp;$E$4,'2026'!$T:$T,M$6))</f>
        <v>0</v>
      </c>
      <c r="N31" s="123">
        <f>IF((AND($E$3="MCS",$E$4="TODOS CRs")),
SUMIFS('2026'!$K:$K,'2026'!$R:$R,$E$3&amp;$C31,'2026'!$T:$T,N$6),
SUMIFS('2026'!$K:$K,'2026'!$N:$N,$E$3&amp;$C31&amp;$E$4,'2026'!$T:$T,N$6))</f>
        <v>0</v>
      </c>
      <c r="O31" s="123">
        <f>IF((AND($E$3="MCS",$E$4="TODOS CRs")),
SUMIFS('2026'!$K:$K,'2026'!$R:$R,$E$3&amp;$C31,'2026'!$T:$T,O$6),
SUMIFS('2026'!$K:$K,'2026'!$N:$N,$E$3&amp;$C31&amp;$E$4,'2026'!$T:$T,O$6))</f>
        <v>0</v>
      </c>
      <c r="P31" s="123">
        <f>IF((AND($E$3="MCS",$E$4="TODOS CRs")),
SUMIFS('2026'!$K:$K,'2026'!$R:$R,$E$3&amp;$C31,'2026'!$T:$T,P$6),
SUMIFS('2026'!$K:$K,'2026'!$N:$N,$E$3&amp;$C31&amp;$E$4,'2026'!$T:$T,P$6))</f>
        <v>0</v>
      </c>
      <c r="Q31" s="123">
        <f>IF((AND($E$3="MCS",$E$4="TODOS CRs")),
SUMIFS('2026'!$K:$K,'2026'!$R:$R,$E$3&amp;$C31,'2026'!$T:$T,Q$6),
SUMIFS('2026'!$K:$K,'2026'!$N:$N,$E$3&amp;$C31&amp;$E$4,'2026'!$T:$T,Q$6))</f>
        <v>0</v>
      </c>
    </row>
    <row r="32" spans="1:17" s="101" customFormat="1" x14ac:dyDescent="0.25">
      <c r="A32" s="95"/>
      <c r="B32" s="96" t="s">
        <v>94</v>
      </c>
      <c r="C32" s="96" t="s">
        <v>42</v>
      </c>
      <c r="D32" s="97" t="s">
        <v>38</v>
      </c>
      <c r="E32" s="98">
        <f t="shared" si="18"/>
        <v>-3897.02</v>
      </c>
      <c r="F32" s="109">
        <f>IF((AND($E$3="MCS",$E$4="TODOS CRs")),
SUMIFS('2026'!$K:$K,'2026'!$R:$R,$E$3&amp;$C32,'2026'!$T:$T,F$6),
SUMIFS('2026'!$K:$K,'2026'!$N:$N,$E$3&amp;$C32&amp;$E$4,'2026'!$T:$T,F$6))</f>
        <v>-816.87</v>
      </c>
      <c r="G32" s="106">
        <f>IF((AND($E$3="MCS",$E$4="TODOS CRs")),
SUMIFS('2026'!$K:$K,'2026'!$R:$R,$E$3&amp;$C32,'2026'!$T:$T,G$6),
SUMIFS('2026'!$K:$K,'2026'!$N:$N,$E$3&amp;$C32&amp;$E$4,'2026'!$T:$T,G$6))</f>
        <v>-833.3</v>
      </c>
      <c r="H32" s="106">
        <f>IF((AND($E$3="MCS",$E$4="TODOS CRs")),
SUMIFS('2026'!$K:$K,'2026'!$R:$R,$E$3&amp;$C32,'2026'!$T:$T,H$6),
SUMIFS('2026'!$K:$K,'2026'!$N:$N,$E$3&amp;$C32&amp;$E$4,'2026'!$T:$T,H$6))</f>
        <v>-819.4</v>
      </c>
      <c r="I32" s="106">
        <f>IF((AND($E$3="MCS",$E$4="TODOS CRs")),
SUMIFS('2026'!$K:$K,'2026'!$R:$R,$E$3&amp;$C32,'2026'!$T:$T,I$6),
SUMIFS('2026'!$K:$K,'2026'!$N:$N,$E$3&amp;$C32&amp;$E$4,'2026'!$T:$T,I$6))</f>
        <v>-936.56</v>
      </c>
      <c r="J32" s="106">
        <f>IF((AND($E$3="MCS",$E$4="TODOS CRs")),
SUMIFS('2026'!$K:$K,'2026'!$R:$R,$E$3&amp;$C32,'2026'!$T:$T,J$6),
SUMIFS('2026'!$K:$K,'2026'!$N:$N,$E$3&amp;$C32&amp;$E$4,'2026'!$T:$T,J$6))</f>
        <v>0</v>
      </c>
      <c r="K32" s="106">
        <f>IF((AND($E$3="MCS",$E$4="TODOS CRs")),
SUMIFS('2026'!$K:$K,'2026'!$R:$R,$E$3&amp;$C32,'2026'!$T:$T,K$6),
SUMIFS('2026'!$K:$K,'2026'!$N:$N,$E$3&amp;$C32&amp;$E$4,'2026'!$T:$T,K$6))</f>
        <v>-490.89</v>
      </c>
      <c r="L32" s="106">
        <f>IF((AND($E$3="MCS",$E$4="TODOS CRs")),
SUMIFS('2026'!$K:$K,'2026'!$R:$R,$E$3&amp;$C32,'2026'!$T:$T,L$6),
SUMIFS('2026'!$K:$K,'2026'!$N:$N,$E$3&amp;$C32&amp;$E$4,'2026'!$T:$T,L$6))</f>
        <v>0</v>
      </c>
      <c r="M32" s="106">
        <f>IF((AND($E$3="MCS",$E$4="TODOS CRs")),
SUMIFS('2026'!$K:$K,'2026'!$R:$R,$E$3&amp;$C32,'2026'!$T:$T,M$6),
SUMIFS('2026'!$K:$K,'2026'!$N:$N,$E$3&amp;$C32&amp;$E$4,'2026'!$T:$T,M$6))</f>
        <v>0</v>
      </c>
      <c r="N32" s="106">
        <f>IF((AND($E$3="MCS",$E$4="TODOS CRs")),
SUMIFS('2026'!$K:$K,'2026'!$R:$R,$E$3&amp;$C32,'2026'!$T:$T,N$6),
SUMIFS('2026'!$K:$K,'2026'!$N:$N,$E$3&amp;$C32&amp;$E$4,'2026'!$T:$T,N$6))</f>
        <v>0</v>
      </c>
      <c r="O32" s="106">
        <f>IF((AND($E$3="MCS",$E$4="TODOS CRs")),
SUMIFS('2026'!$K:$K,'2026'!$R:$R,$E$3&amp;$C32,'2026'!$T:$T,O$6),
SUMIFS('2026'!$K:$K,'2026'!$N:$N,$E$3&amp;$C32&amp;$E$4,'2026'!$T:$T,O$6))</f>
        <v>0</v>
      </c>
      <c r="P32" s="106">
        <f>IF((AND($E$3="MCS",$E$4="TODOS CRs")),
SUMIFS('2026'!$K:$K,'2026'!$R:$R,$E$3&amp;$C32,'2026'!$T:$T,P$6),
SUMIFS('2026'!$K:$K,'2026'!$N:$N,$E$3&amp;$C32&amp;$E$4,'2026'!$T:$T,P$6))</f>
        <v>0</v>
      </c>
      <c r="Q32" s="106">
        <f>IF((AND($E$3="MCS",$E$4="TODOS CRs")),
SUMIFS('2026'!$K:$K,'2026'!$R:$R,$E$3&amp;$C32,'2026'!$T:$T,Q$6),
SUMIFS('2026'!$K:$K,'2026'!$N:$N,$E$3&amp;$C32&amp;$E$4,'2026'!$T:$T,Q$6))</f>
        <v>0</v>
      </c>
    </row>
    <row r="33" spans="1:17" s="101" customFormat="1" x14ac:dyDescent="0.25">
      <c r="A33" s="95"/>
      <c r="B33" s="96" t="s">
        <v>94</v>
      </c>
      <c r="C33" s="96" t="s">
        <v>43</v>
      </c>
      <c r="D33" s="97" t="s">
        <v>69</v>
      </c>
      <c r="E33" s="98">
        <f t="shared" si="18"/>
        <v>-3251.21</v>
      </c>
      <c r="F33" s="109">
        <f>IF((AND($E$3="MCS",$E$4="TODOS CRs")),
SUMIFS('2026'!$K:$K,'2026'!$R:$R,$E$3&amp;$C33,'2026'!$T:$T,F$6),
SUMIFS('2026'!$K:$K,'2026'!$N:$N,$E$3&amp;$C33&amp;$E$4,'2026'!$T:$T,F$6))</f>
        <v>-506.56</v>
      </c>
      <c r="G33" s="106">
        <f>IF((AND($E$3="MCS",$E$4="TODOS CRs")),
SUMIFS('2026'!$K:$K,'2026'!$R:$R,$E$3&amp;$C33,'2026'!$T:$T,G$6),
SUMIFS('2026'!$K:$K,'2026'!$N:$N,$E$3&amp;$C33&amp;$E$4,'2026'!$T:$T,G$6))</f>
        <v>-505.98</v>
      </c>
      <c r="H33" s="106">
        <f>IF((AND($E$3="MCS",$E$4="TODOS CRs")),
SUMIFS('2026'!$K:$K,'2026'!$R:$R,$E$3&amp;$C33,'2026'!$T:$T,H$6),
SUMIFS('2026'!$K:$K,'2026'!$N:$N,$E$3&amp;$C33&amp;$E$4,'2026'!$T:$T,H$6))</f>
        <v>-507.72</v>
      </c>
      <c r="I33" s="106">
        <f>IF((AND($E$3="MCS",$E$4="TODOS CRs")),
SUMIFS('2026'!$K:$K,'2026'!$R:$R,$E$3&amp;$C33,'2026'!$T:$T,I$6),
SUMIFS('2026'!$K:$K,'2026'!$N:$N,$E$3&amp;$C33&amp;$E$4,'2026'!$T:$T,I$6))</f>
        <v>-535.39</v>
      </c>
      <c r="J33" s="106">
        <f>IF((AND($E$3="MCS",$E$4="TODOS CRs")),
SUMIFS('2026'!$K:$K,'2026'!$R:$R,$E$3&amp;$C33,'2026'!$T:$T,J$6),
SUMIFS('2026'!$K:$K,'2026'!$N:$N,$E$3&amp;$C33&amp;$E$4,'2026'!$T:$T,J$6))</f>
        <v>-581.22</v>
      </c>
      <c r="K33" s="106">
        <f>IF((AND($E$3="MCS",$E$4="TODOS CRs")),
SUMIFS('2026'!$K:$K,'2026'!$R:$R,$E$3&amp;$C33,'2026'!$T:$T,K$6),
SUMIFS('2026'!$K:$K,'2026'!$N:$N,$E$3&amp;$C33&amp;$E$4,'2026'!$T:$T,K$6))</f>
        <v>-614.34</v>
      </c>
      <c r="L33" s="106">
        <f>IF((AND($E$3="MCS",$E$4="TODOS CRs")),
SUMIFS('2026'!$K:$K,'2026'!$R:$R,$E$3&amp;$C33,'2026'!$T:$T,L$6),
SUMIFS('2026'!$K:$K,'2026'!$N:$N,$E$3&amp;$C33&amp;$E$4,'2026'!$T:$T,L$6))</f>
        <v>0</v>
      </c>
      <c r="M33" s="106">
        <f>IF((AND($E$3="MCS",$E$4="TODOS CRs")),
SUMIFS('2026'!$K:$K,'2026'!$R:$R,$E$3&amp;$C33,'2026'!$T:$T,M$6),
SUMIFS('2026'!$K:$K,'2026'!$N:$N,$E$3&amp;$C33&amp;$E$4,'2026'!$T:$T,M$6))</f>
        <v>0</v>
      </c>
      <c r="N33" s="106">
        <f>IF((AND($E$3="MCS",$E$4="TODOS CRs")),
SUMIFS('2026'!$K:$K,'2026'!$R:$R,$E$3&amp;$C33,'2026'!$T:$T,N$6),
SUMIFS('2026'!$K:$K,'2026'!$N:$N,$E$3&amp;$C33&amp;$E$4,'2026'!$T:$T,N$6))</f>
        <v>0</v>
      </c>
      <c r="O33" s="106">
        <f>IF((AND($E$3="MCS",$E$4="TODOS CRs")),
SUMIFS('2026'!$K:$K,'2026'!$R:$R,$E$3&amp;$C33,'2026'!$T:$T,O$6),
SUMIFS('2026'!$K:$K,'2026'!$N:$N,$E$3&amp;$C33&amp;$E$4,'2026'!$T:$T,O$6))</f>
        <v>0</v>
      </c>
      <c r="P33" s="106">
        <f>IF((AND($E$3="MCS",$E$4="TODOS CRs")),
SUMIFS('2026'!$K:$K,'2026'!$R:$R,$E$3&amp;$C33,'2026'!$T:$T,P$6),
SUMIFS('2026'!$K:$K,'2026'!$N:$N,$E$3&amp;$C33&amp;$E$4,'2026'!$T:$T,P$6))</f>
        <v>0</v>
      </c>
      <c r="Q33" s="106">
        <f>IF((AND($E$3="MCS",$E$4="TODOS CRs")),
SUMIFS('2026'!$K:$K,'2026'!$R:$R,$E$3&amp;$C33,'2026'!$T:$T,Q$6),
SUMIFS('2026'!$K:$K,'2026'!$N:$N,$E$3&amp;$C33&amp;$E$4,'2026'!$T:$T,Q$6))</f>
        <v>0</v>
      </c>
    </row>
    <row r="34" spans="1:17" s="101" customFormat="1" x14ac:dyDescent="0.25">
      <c r="A34" s="95"/>
      <c r="B34" s="96" t="s">
        <v>94</v>
      </c>
      <c r="C34" s="96" t="s">
        <v>48</v>
      </c>
      <c r="D34" s="97" t="s">
        <v>71</v>
      </c>
      <c r="E34" s="98">
        <f t="shared" si="18"/>
        <v>0</v>
      </c>
      <c r="F34" s="109">
        <f>IF((AND($E$3="MCS",$E$4="TODOS CRs")),
SUMIFS('2026'!$K:$K,'2026'!$R:$R,$E$3&amp;$C34,'2026'!$T:$T,F$6),
SUMIFS('2026'!$K:$K,'2026'!$N:$N,$E$3&amp;$C34&amp;$E$4,'2026'!$T:$T,F$6))</f>
        <v>0</v>
      </c>
      <c r="G34" s="106">
        <f>IF((AND($E$3="MCS",$E$4="TODOS CRs")),
SUMIFS('2026'!$K:$K,'2026'!$R:$R,$E$3&amp;$C34,'2026'!$T:$T,G$6),
SUMIFS('2026'!$K:$K,'2026'!$N:$N,$E$3&amp;$C34&amp;$E$4,'2026'!$T:$T,G$6))</f>
        <v>0</v>
      </c>
      <c r="H34" s="106">
        <f>IF((AND($E$3="MCS",$E$4="TODOS CRs")),
SUMIFS('2026'!$K:$K,'2026'!$R:$R,$E$3&amp;$C34,'2026'!$T:$T,H$6),
SUMIFS('2026'!$K:$K,'2026'!$N:$N,$E$3&amp;$C34&amp;$E$4,'2026'!$T:$T,H$6))</f>
        <v>0</v>
      </c>
      <c r="I34" s="106">
        <f>IF((AND($E$3="MCS",$E$4="TODOS CRs")),
SUMIFS('2026'!$K:$K,'2026'!$R:$R,$E$3&amp;$C34,'2026'!$T:$T,I$6),
SUMIFS('2026'!$K:$K,'2026'!$N:$N,$E$3&amp;$C34&amp;$E$4,'2026'!$T:$T,I$6))</f>
        <v>0</v>
      </c>
      <c r="J34" s="106">
        <f>IF((AND($E$3="MCS",$E$4="TODOS CRs")),
SUMIFS('2026'!$K:$K,'2026'!$R:$R,$E$3&amp;$C34,'2026'!$T:$T,J$6),
SUMIFS('2026'!$K:$K,'2026'!$N:$N,$E$3&amp;$C34&amp;$E$4,'2026'!$T:$T,J$6))</f>
        <v>0</v>
      </c>
      <c r="K34" s="106">
        <f>IF((AND($E$3="MCS",$E$4="TODOS CRs")),
SUMIFS('2026'!$K:$K,'2026'!$R:$R,$E$3&amp;$C34,'2026'!$T:$T,K$6),
SUMIFS('2026'!$K:$K,'2026'!$N:$N,$E$3&amp;$C34&amp;$E$4,'2026'!$T:$T,K$6))</f>
        <v>0</v>
      </c>
      <c r="L34" s="106">
        <f>IF((AND($E$3="MCS",$E$4="TODOS CRs")),
SUMIFS('2026'!$K:$K,'2026'!$R:$R,$E$3&amp;$C34,'2026'!$T:$T,L$6),
SUMIFS('2026'!$K:$K,'2026'!$N:$N,$E$3&amp;$C34&amp;$E$4,'2026'!$T:$T,L$6))</f>
        <v>0</v>
      </c>
      <c r="M34" s="106">
        <f>IF((AND($E$3="MCS",$E$4="TODOS CRs")),
SUMIFS('2026'!$K:$K,'2026'!$R:$R,$E$3&amp;$C34,'2026'!$T:$T,M$6),
SUMIFS('2026'!$K:$K,'2026'!$N:$N,$E$3&amp;$C34&amp;$E$4,'2026'!$T:$T,M$6))</f>
        <v>0</v>
      </c>
      <c r="N34" s="106">
        <f>IF((AND($E$3="MCS",$E$4="TODOS CRs")),
SUMIFS('2026'!$K:$K,'2026'!$R:$R,$E$3&amp;$C34,'2026'!$T:$T,N$6),
SUMIFS('2026'!$K:$K,'2026'!$N:$N,$E$3&amp;$C34&amp;$E$4,'2026'!$T:$T,N$6))</f>
        <v>0</v>
      </c>
      <c r="O34" s="106">
        <f>IF((AND($E$3="MCS",$E$4="TODOS CRs")),
SUMIFS('2026'!$K:$K,'2026'!$R:$R,$E$3&amp;$C34,'2026'!$T:$T,O$6),
SUMIFS('2026'!$K:$K,'2026'!$N:$N,$E$3&amp;$C34&amp;$E$4,'2026'!$T:$T,O$6))</f>
        <v>0</v>
      </c>
      <c r="P34" s="106">
        <f>IF((AND($E$3="MCS",$E$4="TODOS CRs")),
SUMIFS('2026'!$K:$K,'2026'!$R:$R,$E$3&amp;$C34,'2026'!$T:$T,P$6),
SUMIFS('2026'!$K:$K,'2026'!$N:$N,$E$3&amp;$C34&amp;$E$4,'2026'!$T:$T,P$6))</f>
        <v>0</v>
      </c>
      <c r="Q34" s="106">
        <f>IF((AND($E$3="MCS",$E$4="TODOS CRs")),
SUMIFS('2026'!$K:$K,'2026'!$R:$R,$E$3&amp;$C34,'2026'!$T:$T,Q$6),
SUMIFS('2026'!$K:$K,'2026'!$N:$N,$E$3&amp;$C34&amp;$E$4,'2026'!$T:$T,Q$6))</f>
        <v>0</v>
      </c>
    </row>
    <row r="35" spans="1:17" s="101" customFormat="1" x14ac:dyDescent="0.25">
      <c r="A35" s="95"/>
      <c r="B35" s="96" t="s">
        <v>94</v>
      </c>
      <c r="C35" s="96" t="s">
        <v>49</v>
      </c>
      <c r="D35" s="97" t="s">
        <v>39</v>
      </c>
      <c r="E35" s="98">
        <f t="shared" si="18"/>
        <v>-284.98</v>
      </c>
      <c r="F35" s="109">
        <f>IF((AND($E$3="MCS",$E$4="TODOS CRs")),
SUMIFS('2026'!$K:$K,'2026'!$R:$R,$E$3&amp;$C35,'2026'!$T:$T,F$6),
SUMIFS('2026'!$K:$K,'2026'!$N:$N,$E$3&amp;$C35&amp;$E$4,'2026'!$T:$T,F$6))</f>
        <v>0</v>
      </c>
      <c r="G35" s="106">
        <f>IF((AND($E$3="MCS",$E$4="TODOS CRs")),
SUMIFS('2026'!$K:$K,'2026'!$R:$R,$E$3&amp;$C35,'2026'!$T:$T,G$6),
SUMIFS('2026'!$K:$K,'2026'!$N:$N,$E$3&amp;$C35&amp;$E$4,'2026'!$T:$T,G$6))</f>
        <v>0</v>
      </c>
      <c r="H35" s="106">
        <f>IF((AND($E$3="MCS",$E$4="TODOS CRs")),
SUMIFS('2026'!$K:$K,'2026'!$R:$R,$E$3&amp;$C35,'2026'!$T:$T,H$6),
SUMIFS('2026'!$K:$K,'2026'!$N:$N,$E$3&amp;$C35&amp;$E$4,'2026'!$T:$T,H$6))</f>
        <v>-284.98</v>
      </c>
      <c r="I35" s="106">
        <f>IF((AND($E$3="MCS",$E$4="TODOS CRs")),
SUMIFS('2026'!$K:$K,'2026'!$R:$R,$E$3&amp;$C35,'2026'!$T:$T,I$6),
SUMIFS('2026'!$K:$K,'2026'!$N:$N,$E$3&amp;$C35&amp;$E$4,'2026'!$T:$T,I$6))</f>
        <v>0</v>
      </c>
      <c r="J35" s="106">
        <f>IF((AND($E$3="MCS",$E$4="TODOS CRs")),
SUMIFS('2026'!$K:$K,'2026'!$R:$R,$E$3&amp;$C35,'2026'!$T:$T,J$6),
SUMIFS('2026'!$K:$K,'2026'!$N:$N,$E$3&amp;$C35&amp;$E$4,'2026'!$T:$T,J$6))</f>
        <v>0</v>
      </c>
      <c r="K35" s="106">
        <f>IF((AND($E$3="MCS",$E$4="TODOS CRs")),
SUMIFS('2026'!$K:$K,'2026'!$R:$R,$E$3&amp;$C35,'2026'!$T:$T,K$6),
SUMIFS('2026'!$K:$K,'2026'!$N:$N,$E$3&amp;$C35&amp;$E$4,'2026'!$T:$T,K$6))</f>
        <v>0</v>
      </c>
      <c r="L35" s="106">
        <f>IF((AND($E$3="MCS",$E$4="TODOS CRs")),
SUMIFS('2026'!$K:$K,'2026'!$R:$R,$E$3&amp;$C35,'2026'!$T:$T,L$6),
SUMIFS('2026'!$K:$K,'2026'!$N:$N,$E$3&amp;$C35&amp;$E$4,'2026'!$T:$T,L$6))</f>
        <v>0</v>
      </c>
      <c r="M35" s="106">
        <f>IF((AND($E$3="MCS",$E$4="TODOS CRs")),
SUMIFS('2026'!$K:$K,'2026'!$R:$R,$E$3&amp;$C35,'2026'!$T:$T,M$6),
SUMIFS('2026'!$K:$K,'2026'!$N:$N,$E$3&amp;$C35&amp;$E$4,'2026'!$T:$T,M$6))</f>
        <v>0</v>
      </c>
      <c r="N35" s="106">
        <f>IF((AND($E$3="MCS",$E$4="TODOS CRs")),
SUMIFS('2026'!$K:$K,'2026'!$R:$R,$E$3&amp;$C35,'2026'!$T:$T,N$6),
SUMIFS('2026'!$K:$K,'2026'!$N:$N,$E$3&amp;$C35&amp;$E$4,'2026'!$T:$T,N$6))</f>
        <v>0</v>
      </c>
      <c r="O35" s="106">
        <f>IF((AND($E$3="MCS",$E$4="TODOS CRs")),
SUMIFS('2026'!$K:$K,'2026'!$R:$R,$E$3&amp;$C35,'2026'!$T:$T,O$6),
SUMIFS('2026'!$K:$K,'2026'!$N:$N,$E$3&amp;$C35&amp;$E$4,'2026'!$T:$T,O$6))</f>
        <v>0</v>
      </c>
      <c r="P35" s="106">
        <f>IF((AND($E$3="MCS",$E$4="TODOS CRs")),
SUMIFS('2026'!$K:$K,'2026'!$R:$R,$E$3&amp;$C35,'2026'!$T:$T,P$6),
SUMIFS('2026'!$K:$K,'2026'!$N:$N,$E$3&amp;$C35&amp;$E$4,'2026'!$T:$T,P$6))</f>
        <v>0</v>
      </c>
      <c r="Q35" s="106">
        <f>IF((AND($E$3="MCS",$E$4="TODOS CRs")),
SUMIFS('2026'!$K:$K,'2026'!$R:$R,$E$3&amp;$C35,'2026'!$T:$T,Q$6),
SUMIFS('2026'!$K:$K,'2026'!$N:$N,$E$3&amp;$C35&amp;$E$4,'2026'!$T:$T,Q$6))</f>
        <v>0</v>
      </c>
    </row>
    <row r="36" spans="1:17" s="101" customFormat="1" x14ac:dyDescent="0.25">
      <c r="A36" s="95"/>
      <c r="B36" s="96" t="s">
        <v>94</v>
      </c>
      <c r="C36" s="96" t="s">
        <v>50</v>
      </c>
      <c r="D36" s="97" t="s">
        <v>34</v>
      </c>
      <c r="E36" s="98">
        <f t="shared" si="18"/>
        <v>-780.83999999999992</v>
      </c>
      <c r="F36" s="109">
        <f>IF((AND($E$3="MCS",$E$4="TODOS CRs")),
SUMIFS('2026'!$K:$K,'2026'!$R:$R,$E$3&amp;$C36,'2026'!$T:$T,F$6),
SUMIFS('2026'!$K:$K,'2026'!$N:$N,$E$3&amp;$C36&amp;$E$4,'2026'!$T:$T,F$6))</f>
        <v>-80.48</v>
      </c>
      <c r="G36" s="106">
        <f>IF((AND($E$3="MCS",$E$4="TODOS CRs")),
SUMIFS('2026'!$K:$K,'2026'!$R:$R,$E$3&amp;$C36,'2026'!$T:$T,G$6),
SUMIFS('2026'!$K:$K,'2026'!$N:$N,$E$3&amp;$C36&amp;$E$4,'2026'!$T:$T,G$6))</f>
        <v>-62.87</v>
      </c>
      <c r="H36" s="106">
        <f>IF((AND($E$3="MCS",$E$4="TODOS CRs")),
SUMIFS('2026'!$K:$K,'2026'!$R:$R,$E$3&amp;$C36,'2026'!$T:$T,H$6),
SUMIFS('2026'!$K:$K,'2026'!$N:$N,$E$3&amp;$C36&amp;$E$4,'2026'!$T:$T,H$6))</f>
        <v>-55.99</v>
      </c>
      <c r="I36" s="106">
        <f>IF((AND($E$3="MCS",$E$4="TODOS CRs")),
SUMIFS('2026'!$K:$K,'2026'!$R:$R,$E$3&amp;$C36,'2026'!$T:$T,I$6),
SUMIFS('2026'!$K:$K,'2026'!$N:$N,$E$3&amp;$C36&amp;$E$4,'2026'!$T:$T,I$6))</f>
        <v>-91.960000000000008</v>
      </c>
      <c r="J36" s="106">
        <f>IF((AND($E$3="MCS",$E$4="TODOS CRs")),
SUMIFS('2026'!$K:$K,'2026'!$R:$R,$E$3&amp;$C36,'2026'!$T:$T,J$6),
SUMIFS('2026'!$K:$K,'2026'!$N:$N,$E$3&amp;$C36&amp;$E$4,'2026'!$T:$T,J$6))</f>
        <v>-318.77</v>
      </c>
      <c r="K36" s="106">
        <f>IF((AND($E$3="MCS",$E$4="TODOS CRs")),
SUMIFS('2026'!$K:$K,'2026'!$R:$R,$E$3&amp;$C36,'2026'!$T:$T,K$6),
SUMIFS('2026'!$K:$K,'2026'!$N:$N,$E$3&amp;$C36&amp;$E$4,'2026'!$T:$T,K$6))</f>
        <v>-170.77</v>
      </c>
      <c r="L36" s="106">
        <f>IF((AND($E$3="MCS",$E$4="TODOS CRs")),
SUMIFS('2026'!$K:$K,'2026'!$R:$R,$E$3&amp;$C36,'2026'!$T:$T,L$6),
SUMIFS('2026'!$K:$K,'2026'!$N:$N,$E$3&amp;$C36&amp;$E$4,'2026'!$T:$T,L$6))</f>
        <v>0</v>
      </c>
      <c r="M36" s="106">
        <f>IF((AND($E$3="MCS",$E$4="TODOS CRs")),
SUMIFS('2026'!$K:$K,'2026'!$R:$R,$E$3&amp;$C36,'2026'!$T:$T,M$6),
SUMIFS('2026'!$K:$K,'2026'!$N:$N,$E$3&amp;$C36&amp;$E$4,'2026'!$T:$T,M$6))</f>
        <v>0</v>
      </c>
      <c r="N36" s="106">
        <f>IF((AND($E$3="MCS",$E$4="TODOS CRs")),
SUMIFS('2026'!$K:$K,'2026'!$R:$R,$E$3&amp;$C36,'2026'!$T:$T,N$6),
SUMIFS('2026'!$K:$K,'2026'!$N:$N,$E$3&amp;$C36&amp;$E$4,'2026'!$T:$T,N$6))</f>
        <v>0</v>
      </c>
      <c r="O36" s="106">
        <f>IF((AND($E$3="MCS",$E$4="TODOS CRs")),
SUMIFS('2026'!$K:$K,'2026'!$R:$R,$E$3&amp;$C36,'2026'!$T:$T,O$6),
SUMIFS('2026'!$K:$K,'2026'!$N:$N,$E$3&amp;$C36&amp;$E$4,'2026'!$T:$T,O$6))</f>
        <v>0</v>
      </c>
      <c r="P36" s="106">
        <f>IF((AND($E$3="MCS",$E$4="TODOS CRs")),
SUMIFS('2026'!$K:$K,'2026'!$R:$R,$E$3&amp;$C36,'2026'!$T:$T,P$6),
SUMIFS('2026'!$K:$K,'2026'!$N:$N,$E$3&amp;$C36&amp;$E$4,'2026'!$T:$T,P$6))</f>
        <v>0</v>
      </c>
      <c r="Q36" s="106">
        <f>IF((AND($E$3="MCS",$E$4="TODOS CRs")),
SUMIFS('2026'!$K:$K,'2026'!$R:$R,$E$3&amp;$C36,'2026'!$T:$T,Q$6),
SUMIFS('2026'!$K:$K,'2026'!$N:$N,$E$3&amp;$C36&amp;$E$4,'2026'!$T:$T,Q$6))</f>
        <v>0</v>
      </c>
    </row>
    <row r="37" spans="1:17" s="101" customFormat="1" x14ac:dyDescent="0.25">
      <c r="A37" s="95"/>
      <c r="B37" s="96" t="s">
        <v>94</v>
      </c>
      <c r="C37" s="96" t="s">
        <v>51</v>
      </c>
      <c r="D37" s="97" t="s">
        <v>60</v>
      </c>
      <c r="E37" s="98">
        <f t="shared" si="18"/>
        <v>0</v>
      </c>
      <c r="F37" s="109">
        <f>IF((AND($E$3="MCS",$E$4="TODOS CRs")),
SUMIFS('2026'!$K:$K,'2026'!$R:$R,$E$3&amp;$C37,'2026'!$T:$T,F$6),
SUMIFS('2026'!$K:$K,'2026'!$N:$N,$E$3&amp;$C37&amp;$E$4,'2026'!$T:$T,F$6))</f>
        <v>0</v>
      </c>
      <c r="G37" s="106">
        <f>IF((AND($E$3="MCS",$E$4="TODOS CRs")),
SUMIFS('2026'!$K:$K,'2026'!$R:$R,$E$3&amp;$C37,'2026'!$T:$T,G$6),
SUMIFS('2026'!$K:$K,'2026'!$N:$N,$E$3&amp;$C37&amp;$E$4,'2026'!$T:$T,G$6))</f>
        <v>0</v>
      </c>
      <c r="H37" s="106">
        <f>IF((AND($E$3="MCS",$E$4="TODOS CRs")),
SUMIFS('2026'!$K:$K,'2026'!$R:$R,$E$3&amp;$C37,'2026'!$T:$T,H$6),
SUMIFS('2026'!$K:$K,'2026'!$N:$N,$E$3&amp;$C37&amp;$E$4,'2026'!$T:$T,H$6))</f>
        <v>0</v>
      </c>
      <c r="I37" s="106">
        <f>IF((AND($E$3="MCS",$E$4="TODOS CRs")),
SUMIFS('2026'!$K:$K,'2026'!$R:$R,$E$3&amp;$C37,'2026'!$T:$T,I$6),
SUMIFS('2026'!$K:$K,'2026'!$N:$N,$E$3&amp;$C37&amp;$E$4,'2026'!$T:$T,I$6))</f>
        <v>0</v>
      </c>
      <c r="J37" s="106">
        <f>IF((AND($E$3="MCS",$E$4="TODOS CRs")),
SUMIFS('2026'!$K:$K,'2026'!$R:$R,$E$3&amp;$C37,'2026'!$T:$T,J$6),
SUMIFS('2026'!$K:$K,'2026'!$N:$N,$E$3&amp;$C37&amp;$E$4,'2026'!$T:$T,J$6))</f>
        <v>0</v>
      </c>
      <c r="K37" s="106">
        <f>IF((AND($E$3="MCS",$E$4="TODOS CRs")),
SUMIFS('2026'!$K:$K,'2026'!$R:$R,$E$3&amp;$C37,'2026'!$T:$T,K$6),
SUMIFS('2026'!$K:$K,'2026'!$N:$N,$E$3&amp;$C37&amp;$E$4,'2026'!$T:$T,K$6))</f>
        <v>0</v>
      </c>
      <c r="L37" s="106">
        <f>IF((AND($E$3="MCS",$E$4="TODOS CRs")),
SUMIFS('2026'!$K:$K,'2026'!$R:$R,$E$3&amp;$C37,'2026'!$T:$T,L$6),
SUMIFS('2026'!$K:$K,'2026'!$N:$N,$E$3&amp;$C37&amp;$E$4,'2026'!$T:$T,L$6))</f>
        <v>0</v>
      </c>
      <c r="M37" s="106">
        <f>IF((AND($E$3="MCS",$E$4="TODOS CRs")),
SUMIFS('2026'!$K:$K,'2026'!$R:$R,$E$3&amp;$C37,'2026'!$T:$T,M$6),
SUMIFS('2026'!$K:$K,'2026'!$N:$N,$E$3&amp;$C37&amp;$E$4,'2026'!$T:$T,M$6))</f>
        <v>0</v>
      </c>
      <c r="N37" s="106">
        <f>IF((AND($E$3="MCS",$E$4="TODOS CRs")),
SUMIFS('2026'!$K:$K,'2026'!$R:$R,$E$3&amp;$C37,'2026'!$T:$T,N$6),
SUMIFS('2026'!$K:$K,'2026'!$N:$N,$E$3&amp;$C37&amp;$E$4,'2026'!$T:$T,N$6))</f>
        <v>0</v>
      </c>
      <c r="O37" s="106">
        <f>IF((AND($E$3="MCS",$E$4="TODOS CRs")),
SUMIFS('2026'!$K:$K,'2026'!$R:$R,$E$3&amp;$C37,'2026'!$T:$T,O$6),
SUMIFS('2026'!$K:$K,'2026'!$N:$N,$E$3&amp;$C37&amp;$E$4,'2026'!$T:$T,O$6))</f>
        <v>0</v>
      </c>
      <c r="P37" s="106">
        <f>IF((AND($E$3="MCS",$E$4="TODOS CRs")),
SUMIFS('2026'!$K:$K,'2026'!$R:$R,$E$3&amp;$C37,'2026'!$T:$T,P$6),
SUMIFS('2026'!$K:$K,'2026'!$N:$N,$E$3&amp;$C37&amp;$E$4,'2026'!$T:$T,P$6))</f>
        <v>0</v>
      </c>
      <c r="Q37" s="106">
        <f>IF((AND($E$3="MCS",$E$4="TODOS CRs")),
SUMIFS('2026'!$K:$K,'2026'!$R:$R,$E$3&amp;$C37,'2026'!$T:$T,Q$6),
SUMIFS('2026'!$K:$K,'2026'!$N:$N,$E$3&amp;$C37&amp;$E$4,'2026'!$T:$T,Q$6))</f>
        <v>0</v>
      </c>
    </row>
    <row r="38" spans="1:17" s="101" customFormat="1" x14ac:dyDescent="0.25">
      <c r="A38" s="95"/>
      <c r="B38" s="96" t="s">
        <v>94</v>
      </c>
      <c r="C38" s="96" t="s">
        <v>52</v>
      </c>
      <c r="D38" s="97" t="s">
        <v>33</v>
      </c>
      <c r="E38" s="98">
        <f t="shared" si="18"/>
        <v>0</v>
      </c>
      <c r="F38" s="109">
        <f>IF((AND($E$3="MCS",$E$4="TODOS CRs")),
SUMIFS('2026'!$K:$K,'2026'!$R:$R,$E$3&amp;$C38,'2026'!$T:$T,F$6),
SUMIFS('2026'!$K:$K,'2026'!$N:$N,$E$3&amp;$C38&amp;$E$4,'2026'!$T:$T,F$6))</f>
        <v>0</v>
      </c>
      <c r="G38" s="106">
        <f>IF((AND($E$3="MCS",$E$4="TODOS CRs")),
SUMIFS('2026'!$K:$K,'2026'!$R:$R,$E$3&amp;$C38,'2026'!$T:$T,G$6),
SUMIFS('2026'!$K:$K,'2026'!$N:$N,$E$3&amp;$C38&amp;$E$4,'2026'!$T:$T,G$6))</f>
        <v>0</v>
      </c>
      <c r="H38" s="106">
        <f>IF((AND($E$3="MCS",$E$4="TODOS CRs")),
SUMIFS('2026'!$K:$K,'2026'!$R:$R,$E$3&amp;$C38,'2026'!$T:$T,H$6),
SUMIFS('2026'!$K:$K,'2026'!$N:$N,$E$3&amp;$C38&amp;$E$4,'2026'!$T:$T,H$6))</f>
        <v>0</v>
      </c>
      <c r="I38" s="106">
        <f>IF((AND($E$3="MCS",$E$4="TODOS CRs")),
SUMIFS('2026'!$K:$K,'2026'!$R:$R,$E$3&amp;$C38,'2026'!$T:$T,I$6),
SUMIFS('2026'!$K:$K,'2026'!$N:$N,$E$3&amp;$C38&amp;$E$4,'2026'!$T:$T,I$6))</f>
        <v>0</v>
      </c>
      <c r="J38" s="106">
        <f>IF((AND($E$3="MCS",$E$4="TODOS CRs")),
SUMIFS('2026'!$K:$K,'2026'!$R:$R,$E$3&amp;$C38,'2026'!$T:$T,J$6),
SUMIFS('2026'!$K:$K,'2026'!$N:$N,$E$3&amp;$C38&amp;$E$4,'2026'!$T:$T,J$6))</f>
        <v>0</v>
      </c>
      <c r="K38" s="106">
        <f>IF((AND($E$3="MCS",$E$4="TODOS CRs")),
SUMIFS('2026'!$K:$K,'2026'!$R:$R,$E$3&amp;$C38,'2026'!$T:$T,K$6),
SUMIFS('2026'!$K:$K,'2026'!$N:$N,$E$3&amp;$C38&amp;$E$4,'2026'!$T:$T,K$6))</f>
        <v>0</v>
      </c>
      <c r="L38" s="106">
        <f>IF((AND($E$3="MCS",$E$4="TODOS CRs")),
SUMIFS('2026'!$K:$K,'2026'!$R:$R,$E$3&amp;$C38,'2026'!$T:$T,L$6),
SUMIFS('2026'!$K:$K,'2026'!$N:$N,$E$3&amp;$C38&amp;$E$4,'2026'!$T:$T,L$6))</f>
        <v>0</v>
      </c>
      <c r="M38" s="106">
        <f>IF((AND($E$3="MCS",$E$4="TODOS CRs")),
SUMIFS('2026'!$K:$K,'2026'!$R:$R,$E$3&amp;$C38,'2026'!$T:$T,M$6),
SUMIFS('2026'!$K:$K,'2026'!$N:$N,$E$3&amp;$C38&amp;$E$4,'2026'!$T:$T,M$6))</f>
        <v>0</v>
      </c>
      <c r="N38" s="106">
        <f>IF((AND($E$3="MCS",$E$4="TODOS CRs")),
SUMIFS('2026'!$K:$K,'2026'!$R:$R,$E$3&amp;$C38,'2026'!$T:$T,N$6),
SUMIFS('2026'!$K:$K,'2026'!$N:$N,$E$3&amp;$C38&amp;$E$4,'2026'!$T:$T,N$6))</f>
        <v>0</v>
      </c>
      <c r="O38" s="106">
        <f>IF((AND($E$3="MCS",$E$4="TODOS CRs")),
SUMIFS('2026'!$K:$K,'2026'!$R:$R,$E$3&amp;$C38,'2026'!$T:$T,O$6),
SUMIFS('2026'!$K:$K,'2026'!$N:$N,$E$3&amp;$C38&amp;$E$4,'2026'!$T:$T,O$6))</f>
        <v>0</v>
      </c>
      <c r="P38" s="106">
        <f>IF((AND($E$3="MCS",$E$4="TODOS CRs")),
SUMIFS('2026'!$K:$K,'2026'!$R:$R,$E$3&amp;$C38,'2026'!$T:$T,P$6),
SUMIFS('2026'!$K:$K,'2026'!$N:$N,$E$3&amp;$C38&amp;$E$4,'2026'!$T:$T,P$6))</f>
        <v>0</v>
      </c>
      <c r="Q38" s="106">
        <f>IF((AND($E$3="MCS",$E$4="TODOS CRs")),
SUMIFS('2026'!$K:$K,'2026'!$R:$R,$E$3&amp;$C38,'2026'!$T:$T,Q$6),
SUMIFS('2026'!$K:$K,'2026'!$N:$N,$E$3&amp;$C38&amp;$E$4,'2026'!$T:$T,Q$6))</f>
        <v>0</v>
      </c>
    </row>
    <row r="39" spans="1:17" s="101" customFormat="1" x14ac:dyDescent="0.25">
      <c r="A39" s="95"/>
      <c r="B39" s="96" t="s">
        <v>94</v>
      </c>
      <c r="C39" s="96" t="s">
        <v>61</v>
      </c>
      <c r="D39" s="97" t="s">
        <v>58</v>
      </c>
      <c r="E39" s="98">
        <f t="shared" si="18"/>
        <v>0</v>
      </c>
      <c r="F39" s="109">
        <f>IF((AND($E$3="MCS",$E$4="TODOS CRs")),
SUMIFS('2026'!$K:$K,'2026'!$R:$R,$E$3&amp;$C39,'2026'!$T:$T,F$6),
SUMIFS('2026'!$K:$K,'2026'!$N:$N,$E$3&amp;$C39&amp;$E$4,'2026'!$T:$T,F$6))</f>
        <v>0</v>
      </c>
      <c r="G39" s="106">
        <f>IF((AND($E$3="MCS",$E$4="TODOS CRs")),
SUMIFS('2026'!$K:$K,'2026'!$R:$R,$E$3&amp;$C39,'2026'!$T:$T,G$6),
SUMIFS('2026'!$K:$K,'2026'!$N:$N,$E$3&amp;$C39&amp;$E$4,'2026'!$T:$T,G$6))</f>
        <v>0</v>
      </c>
      <c r="H39" s="106">
        <f>IF((AND($E$3="MCS",$E$4="TODOS CRs")),
SUMIFS('2026'!$K:$K,'2026'!$R:$R,$E$3&amp;$C39,'2026'!$T:$T,H$6),
SUMIFS('2026'!$K:$K,'2026'!$N:$N,$E$3&amp;$C39&amp;$E$4,'2026'!$T:$T,H$6))</f>
        <v>0</v>
      </c>
      <c r="I39" s="106">
        <f>IF((AND($E$3="MCS",$E$4="TODOS CRs")),
SUMIFS('2026'!$K:$K,'2026'!$R:$R,$E$3&amp;$C39,'2026'!$T:$T,I$6),
SUMIFS('2026'!$K:$K,'2026'!$N:$N,$E$3&amp;$C39&amp;$E$4,'2026'!$T:$T,I$6))</f>
        <v>0</v>
      </c>
      <c r="J39" s="106">
        <f>IF((AND($E$3="MCS",$E$4="TODOS CRs")),
SUMIFS('2026'!$K:$K,'2026'!$R:$R,$E$3&amp;$C39,'2026'!$T:$T,J$6),
SUMIFS('2026'!$K:$K,'2026'!$N:$N,$E$3&amp;$C39&amp;$E$4,'2026'!$T:$T,J$6))</f>
        <v>0</v>
      </c>
      <c r="K39" s="106">
        <f>IF((AND($E$3="MCS",$E$4="TODOS CRs")),
SUMIFS('2026'!$K:$K,'2026'!$R:$R,$E$3&amp;$C39,'2026'!$T:$T,K$6),
SUMIFS('2026'!$K:$K,'2026'!$N:$N,$E$3&amp;$C39&amp;$E$4,'2026'!$T:$T,K$6))</f>
        <v>0</v>
      </c>
      <c r="L39" s="106">
        <f>IF((AND($E$3="MCS",$E$4="TODOS CRs")),
SUMIFS('2026'!$K:$K,'2026'!$R:$R,$E$3&amp;$C39,'2026'!$T:$T,L$6),
SUMIFS('2026'!$K:$K,'2026'!$N:$N,$E$3&amp;$C39&amp;$E$4,'2026'!$T:$T,L$6))</f>
        <v>0</v>
      </c>
      <c r="M39" s="106">
        <f>IF((AND($E$3="MCS",$E$4="TODOS CRs")),
SUMIFS('2026'!$K:$K,'2026'!$R:$R,$E$3&amp;$C39,'2026'!$T:$T,M$6),
SUMIFS('2026'!$K:$K,'2026'!$N:$N,$E$3&amp;$C39&amp;$E$4,'2026'!$T:$T,M$6))</f>
        <v>0</v>
      </c>
      <c r="N39" s="106">
        <f>IF((AND($E$3="MCS",$E$4="TODOS CRs")),
SUMIFS('2026'!$K:$K,'2026'!$R:$R,$E$3&amp;$C39,'2026'!$T:$T,N$6),
SUMIFS('2026'!$K:$K,'2026'!$N:$N,$E$3&amp;$C39&amp;$E$4,'2026'!$T:$T,N$6))</f>
        <v>0</v>
      </c>
      <c r="O39" s="106">
        <f>IF((AND($E$3="MCS",$E$4="TODOS CRs")),
SUMIFS('2026'!$K:$K,'2026'!$R:$R,$E$3&amp;$C39,'2026'!$T:$T,O$6),
SUMIFS('2026'!$K:$K,'2026'!$N:$N,$E$3&amp;$C39&amp;$E$4,'2026'!$T:$T,O$6))</f>
        <v>0</v>
      </c>
      <c r="P39" s="106">
        <f>IF((AND($E$3="MCS",$E$4="TODOS CRs")),
SUMIFS('2026'!$K:$K,'2026'!$R:$R,$E$3&amp;$C39,'2026'!$T:$T,P$6),
SUMIFS('2026'!$K:$K,'2026'!$N:$N,$E$3&amp;$C39&amp;$E$4,'2026'!$T:$T,P$6))</f>
        <v>0</v>
      </c>
      <c r="Q39" s="106">
        <f>IF((AND($E$3="MCS",$E$4="TODOS CRs")),
SUMIFS('2026'!$K:$K,'2026'!$R:$R,$E$3&amp;$C39,'2026'!$T:$T,Q$6),
SUMIFS('2026'!$K:$K,'2026'!$N:$N,$E$3&amp;$C39&amp;$E$4,'2026'!$T:$T,Q$6))</f>
        <v>0</v>
      </c>
    </row>
    <row r="40" spans="1:17" s="83" customFormat="1" ht="18.75" x14ac:dyDescent="0.3">
      <c r="A40" s="80"/>
      <c r="B40" s="94" t="s">
        <v>29</v>
      </c>
      <c r="C40" s="94" t="s">
        <v>29</v>
      </c>
      <c r="D40" s="81" t="s">
        <v>6</v>
      </c>
      <c r="E40" s="82">
        <f t="shared" ref="E40" si="19">SUBTOTAL(9,E17:E39)</f>
        <v>-33348.579999999994</v>
      </c>
      <c r="F40" s="110">
        <f t="shared" ref="F40" si="20">SUBTOTAL(9,F17:F39)</f>
        <v>-5100.28</v>
      </c>
      <c r="G40" s="86">
        <f t="shared" ref="G40" si="21">SUBTOTAL(9,G17:G39)</f>
        <v>-5411.31</v>
      </c>
      <c r="H40" s="86">
        <f t="shared" ref="H40" si="22">SUBTOTAL(9,H17:H39)</f>
        <v>-4888.92</v>
      </c>
      <c r="I40" s="86">
        <f t="shared" ref="I40" si="23">SUBTOTAL(9,I17:I39)</f>
        <v>-7250.92</v>
      </c>
      <c r="J40" s="86">
        <f t="shared" ref="J40" si="24">SUBTOTAL(9,J17:J39)</f>
        <v>-5999.93</v>
      </c>
      <c r="K40" s="86">
        <f t="shared" ref="K40" si="25">SUBTOTAL(9,K17:K39)</f>
        <v>-4697.22</v>
      </c>
      <c r="L40" s="86">
        <f t="shared" ref="L40" si="26">SUBTOTAL(9,L17:L39)</f>
        <v>0</v>
      </c>
      <c r="M40" s="86">
        <f t="shared" ref="M40" si="27">SUBTOTAL(9,M17:M39)</f>
        <v>0</v>
      </c>
      <c r="N40" s="86">
        <f t="shared" ref="N40" si="28">SUBTOTAL(9,N17:N39)</f>
        <v>0</v>
      </c>
      <c r="O40" s="86">
        <f t="shared" ref="O40" si="29">SUBTOTAL(9,O17:O39)</f>
        <v>0</v>
      </c>
      <c r="P40" s="86">
        <f t="shared" ref="P40" si="30">SUBTOTAL(9,P17:P39)</f>
        <v>0</v>
      </c>
      <c r="Q40" s="86">
        <f t="shared" ref="Q40" si="31">SUBTOTAL(9,Q17:Q39)</f>
        <v>0</v>
      </c>
    </row>
    <row r="41" spans="1:17" x14ac:dyDescent="0.25">
      <c r="A41" s="4"/>
      <c r="B41" s="4"/>
      <c r="C41" s="4"/>
    </row>
    <row r="42" spans="1:17" x14ac:dyDescent="0.25">
      <c r="A42" s="4"/>
      <c r="B42" s="4"/>
      <c r="C42" s="4"/>
      <c r="D42" s="147" t="s">
        <v>2</v>
      </c>
      <c r="E42" s="64" t="s">
        <v>5</v>
      </c>
      <c r="F42" s="173">
        <f t="shared" ref="F42:Q42" si="32">F6</f>
        <v>46023</v>
      </c>
      <c r="G42" s="172">
        <f t="shared" si="32"/>
        <v>46054</v>
      </c>
      <c r="H42" s="172">
        <f t="shared" si="32"/>
        <v>46082</v>
      </c>
      <c r="I42" s="172">
        <f t="shared" si="32"/>
        <v>46113</v>
      </c>
      <c r="J42" s="172">
        <f t="shared" si="32"/>
        <v>46143</v>
      </c>
      <c r="K42" s="172">
        <f t="shared" si="32"/>
        <v>46174</v>
      </c>
      <c r="L42" s="172">
        <f t="shared" si="32"/>
        <v>46204</v>
      </c>
      <c r="M42" s="172">
        <f t="shared" si="32"/>
        <v>46235</v>
      </c>
      <c r="N42" s="172">
        <f t="shared" si="32"/>
        <v>46266</v>
      </c>
      <c r="O42" s="172">
        <f t="shared" si="32"/>
        <v>46296</v>
      </c>
      <c r="P42" s="172">
        <f t="shared" si="32"/>
        <v>46327</v>
      </c>
      <c r="Q42" s="172">
        <f t="shared" si="32"/>
        <v>46357</v>
      </c>
    </row>
    <row r="43" spans="1:17" x14ac:dyDescent="0.25">
      <c r="A43" s="4"/>
      <c r="B43" s="4"/>
      <c r="C43" s="4"/>
      <c r="D43" s="68" t="s">
        <v>81</v>
      </c>
      <c r="E43" s="69">
        <v>0</v>
      </c>
      <c r="F43" s="149">
        <v>352.96</v>
      </c>
      <c r="G43" s="70">
        <f t="shared" ref="G43:Q43" si="33">IF(AND(G44=0,G45=0),0,F46)</f>
        <v>152.68000000000029</v>
      </c>
      <c r="H43" s="70">
        <f t="shared" si="33"/>
        <v>258.98999999999978</v>
      </c>
      <c r="I43" s="70">
        <f t="shared" si="33"/>
        <v>466.06999999999971</v>
      </c>
      <c r="J43" s="70">
        <f t="shared" si="33"/>
        <v>240.14999999999964</v>
      </c>
      <c r="K43" s="70">
        <f t="shared" si="33"/>
        <v>900.20999999999913</v>
      </c>
      <c r="L43" s="70">
        <f t="shared" si="33"/>
        <v>0</v>
      </c>
      <c r="M43" s="70">
        <f t="shared" si="33"/>
        <v>0</v>
      </c>
      <c r="N43" s="70">
        <f t="shared" si="33"/>
        <v>0</v>
      </c>
      <c r="O43" s="70">
        <f t="shared" si="33"/>
        <v>0</v>
      </c>
      <c r="P43" s="70">
        <f t="shared" si="33"/>
        <v>0</v>
      </c>
      <c r="Q43" s="70">
        <f t="shared" si="33"/>
        <v>0</v>
      </c>
    </row>
    <row r="44" spans="1:17" x14ac:dyDescent="0.25">
      <c r="A44" s="4"/>
      <c r="B44" s="4"/>
      <c r="C44" s="4"/>
      <c r="D44" s="91" t="s">
        <v>3</v>
      </c>
      <c r="E44" s="92">
        <f>SUM(F44:Q44)</f>
        <v>33591.75</v>
      </c>
      <c r="F44" s="148">
        <f t="shared" ref="F44:Q44" si="34">F14</f>
        <v>4900</v>
      </c>
      <c r="G44" s="93">
        <f t="shared" si="34"/>
        <v>5517.62</v>
      </c>
      <c r="H44" s="93">
        <f t="shared" si="34"/>
        <v>5096</v>
      </c>
      <c r="I44" s="93">
        <f t="shared" si="34"/>
        <v>7025</v>
      </c>
      <c r="J44" s="93">
        <f t="shared" si="34"/>
        <v>6659.99</v>
      </c>
      <c r="K44" s="93">
        <f t="shared" si="34"/>
        <v>4393.1400000000003</v>
      </c>
      <c r="L44" s="93">
        <f t="shared" si="34"/>
        <v>0</v>
      </c>
      <c r="M44" s="93">
        <f t="shared" si="34"/>
        <v>0</v>
      </c>
      <c r="N44" s="93">
        <f t="shared" si="34"/>
        <v>0</v>
      </c>
      <c r="O44" s="93">
        <f t="shared" si="34"/>
        <v>0</v>
      </c>
      <c r="P44" s="93">
        <f t="shared" si="34"/>
        <v>0</v>
      </c>
      <c r="Q44" s="93">
        <f t="shared" si="34"/>
        <v>0</v>
      </c>
    </row>
    <row r="45" spans="1:17" x14ac:dyDescent="0.25">
      <c r="A45" s="4"/>
      <c r="B45" s="4"/>
      <c r="C45" s="4"/>
      <c r="D45" s="71" t="s">
        <v>4</v>
      </c>
      <c r="E45" s="72">
        <f>SUM(F45:Q45)</f>
        <v>-33348.58</v>
      </c>
      <c r="F45" s="111">
        <f t="shared" ref="F45:Q45" si="35">F40</f>
        <v>-5100.28</v>
      </c>
      <c r="G45" s="73">
        <f t="shared" si="35"/>
        <v>-5411.31</v>
      </c>
      <c r="H45" s="73">
        <f t="shared" si="35"/>
        <v>-4888.92</v>
      </c>
      <c r="I45" s="73">
        <f t="shared" si="35"/>
        <v>-7250.92</v>
      </c>
      <c r="J45" s="73">
        <f t="shared" si="35"/>
        <v>-5999.93</v>
      </c>
      <c r="K45" s="73">
        <f t="shared" si="35"/>
        <v>-4697.22</v>
      </c>
      <c r="L45" s="73">
        <f t="shared" si="35"/>
        <v>0</v>
      </c>
      <c r="M45" s="73">
        <f t="shared" si="35"/>
        <v>0</v>
      </c>
      <c r="N45" s="73">
        <f t="shared" si="35"/>
        <v>0</v>
      </c>
      <c r="O45" s="73">
        <f t="shared" si="35"/>
        <v>0</v>
      </c>
      <c r="P45" s="73">
        <f t="shared" si="35"/>
        <v>0</v>
      </c>
      <c r="Q45" s="73">
        <f t="shared" si="35"/>
        <v>0</v>
      </c>
    </row>
    <row r="46" spans="1:17" x14ac:dyDescent="0.25">
      <c r="A46" s="4"/>
      <c r="B46" s="4"/>
      <c r="C46" s="4"/>
      <c r="D46" s="74" t="s">
        <v>80</v>
      </c>
      <c r="E46" s="75">
        <f>E44+E45</f>
        <v>243.16999999999825</v>
      </c>
      <c r="F46" s="114">
        <f t="shared" ref="F46:Q46" si="36">F43+F44+F45</f>
        <v>152.68000000000029</v>
      </c>
      <c r="G46" s="76">
        <f t="shared" si="36"/>
        <v>258.98999999999978</v>
      </c>
      <c r="H46" s="76">
        <f t="shared" si="36"/>
        <v>466.06999999999971</v>
      </c>
      <c r="I46" s="76">
        <f t="shared" si="36"/>
        <v>240.14999999999964</v>
      </c>
      <c r="J46" s="76">
        <f t="shared" si="36"/>
        <v>900.20999999999913</v>
      </c>
      <c r="K46" s="76">
        <f t="shared" si="36"/>
        <v>596.1299999999992</v>
      </c>
      <c r="L46" s="76">
        <f t="shared" si="36"/>
        <v>0</v>
      </c>
      <c r="M46" s="76">
        <f t="shared" si="36"/>
        <v>0</v>
      </c>
      <c r="N46" s="76">
        <f t="shared" si="36"/>
        <v>0</v>
      </c>
      <c r="O46" s="76">
        <f t="shared" si="36"/>
        <v>0</v>
      </c>
      <c r="P46" s="76">
        <f t="shared" si="36"/>
        <v>0</v>
      </c>
      <c r="Q46" s="76">
        <f t="shared" si="36"/>
        <v>0</v>
      </c>
    </row>
    <row r="47" spans="1:17" x14ac:dyDescent="0.25">
      <c r="A47" s="4"/>
      <c r="B47" s="4"/>
      <c r="C47" s="4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s="77" customFormat="1" ht="18.75" x14ac:dyDescent="0.3">
      <c r="D48" s="78"/>
      <c r="E48" s="78" t="s">
        <v>82</v>
      </c>
      <c r="F48" s="113">
        <f>IFERROR(ABS(SUM(F31:F39))/F10,0)</f>
        <v>0.42936938775510203</v>
      </c>
      <c r="G48" s="112">
        <f t="shared" ref="G48:Q48" si="37">IFERROR(ABS(SUM(G31:G39))/G10,0)</f>
        <v>0.38584545454545449</v>
      </c>
      <c r="H48" s="79">
        <f t="shared" si="37"/>
        <v>0.46985912698412702</v>
      </c>
      <c r="I48" s="79">
        <f t="shared" si="37"/>
        <v>0.32341571428571425</v>
      </c>
      <c r="J48" s="79">
        <f t="shared" si="37"/>
        <v>0.25396666666666667</v>
      </c>
      <c r="K48" s="79">
        <f t="shared" si="37"/>
        <v>0.31900000000000001</v>
      </c>
      <c r="L48" s="79">
        <f t="shared" si="37"/>
        <v>0</v>
      </c>
      <c r="M48" s="79">
        <f t="shared" si="37"/>
        <v>0</v>
      </c>
      <c r="N48" s="79">
        <f t="shared" si="37"/>
        <v>0</v>
      </c>
      <c r="O48" s="79">
        <f t="shared" si="37"/>
        <v>0</v>
      </c>
      <c r="P48" s="79">
        <f t="shared" si="37"/>
        <v>0</v>
      </c>
      <c r="Q48" s="79">
        <f t="shared" si="37"/>
        <v>0</v>
      </c>
    </row>
  </sheetData>
  <autoFilter ref="A16:R39" xr:uid="{00000000-0001-0000-0100-000000000000}"/>
  <sortState xmlns:xlrd2="http://schemas.microsoft.com/office/spreadsheetml/2017/richdata2" ref="T5:V12">
    <sortCondition descending="1" ref="V5:V12"/>
  </sortState>
  <mergeCells count="1">
    <mergeCell ref="E4:H4"/>
  </mergeCells>
  <conditionalFormatting sqref="E46:Q47">
    <cfRule type="cellIs" dxfId="2" priority="8" operator="lessThan">
      <formula>0</formula>
    </cfRule>
    <cfRule type="cellIs" dxfId="1" priority="9" operator="greaterThan">
      <formula>0</formula>
    </cfRule>
  </conditionalFormatting>
  <conditionalFormatting sqref="F48:Q48">
    <cfRule type="cellIs" dxfId="0" priority="5" operator="greaterThan">
      <formula>0.4</formula>
    </cfRule>
  </conditionalFormatting>
  <dataValidations disablePrompts="1" count="1">
    <dataValidation type="list" allowBlank="1" showInputMessage="1" showErrorMessage="1" sqref="E4" xr:uid="{2A2A3E58-3456-40C2-85C9-7798732F32F4}">
      <formula1>Lista_CRs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9459E02-E2F6-4DCE-B807-33E4BA646F6A}">
          <x14:formula1>
            <xm:f>Cad_Natureza!$E$4:$E$6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FF0000"/>
  </sheetPr>
  <dimension ref="B1:U657"/>
  <sheetViews>
    <sheetView showGridLines="0" zoomScale="85" zoomScaleNormal="85" workbookViewId="0">
      <pane xSplit="2" ySplit="2" topLeftCell="C3" activePane="bottomRight" state="frozen"/>
      <selection activeCell="X47" sqref="X47"/>
      <selection pane="topRight" activeCell="X47" sqref="X47"/>
      <selection pane="bottomLeft" activeCell="X47" sqref="X47"/>
      <selection pane="bottomRight" activeCell="G3" sqref="G3"/>
    </sheetView>
  </sheetViews>
  <sheetFormatPr defaultColWidth="9.140625" defaultRowHeight="15" outlineLevelCol="1" x14ac:dyDescent="0.25"/>
  <cols>
    <col min="1" max="1" width="1.85546875" style="13" customWidth="1"/>
    <col min="2" max="2" width="9.85546875" style="15" customWidth="1"/>
    <col min="3" max="3" width="2.28515625" style="13" customWidth="1"/>
    <col min="4" max="4" width="11" style="15" customWidth="1"/>
    <col min="5" max="5" width="59.7109375" style="13" bestFit="1" customWidth="1"/>
    <col min="6" max="6" width="47" style="18" bestFit="1" customWidth="1"/>
    <col min="7" max="7" width="13.7109375" style="15" bestFit="1" customWidth="1"/>
    <col min="8" max="8" width="15.28515625" style="15" customWidth="1"/>
    <col min="9" max="9" width="17.85546875" style="169" bestFit="1" customWidth="1"/>
    <col min="10" max="10" width="62.7109375" style="15" bestFit="1" customWidth="1"/>
    <col min="11" max="11" width="15.85546875" style="13" bestFit="1" customWidth="1"/>
    <col min="12" max="12" width="17.42578125" style="13" customWidth="1"/>
    <col min="13" max="13" width="1.7109375" style="13" customWidth="1"/>
    <col min="14" max="14" width="16.5703125" style="18" hidden="1" customWidth="1" outlineLevel="1"/>
    <col min="15" max="15" width="10.85546875" style="18" hidden="1" customWidth="1" outlineLevel="1"/>
    <col min="16" max="16" width="14.85546875" style="18" hidden="1" customWidth="1" outlineLevel="1"/>
    <col min="17" max="17" width="12.7109375" style="18" hidden="1" customWidth="1" outlineLevel="1"/>
    <col min="18" max="18" width="21.5703125" style="18" hidden="1" customWidth="1" outlineLevel="1"/>
    <col min="19" max="19" width="2.85546875" style="13" hidden="1" customWidth="1" outlineLevel="1"/>
    <col min="20" max="20" width="16" style="15" bestFit="1" customWidth="1" collapsed="1"/>
    <col min="21" max="16384" width="9.140625" style="13"/>
  </cols>
  <sheetData>
    <row r="1" spans="2:21" x14ac:dyDescent="0.25">
      <c r="B1" s="26"/>
      <c r="K1" s="28">
        <f>SUBTOTAL(9,K3:K656)</f>
        <v>243.1699999999995</v>
      </c>
      <c r="L1" s="21">
        <v>-1</v>
      </c>
      <c r="T1" s="22"/>
    </row>
    <row r="2" spans="2:21" s="15" customFormat="1" x14ac:dyDescent="0.25">
      <c r="B2" s="27" t="s">
        <v>104</v>
      </c>
      <c r="C2" s="8" t="s">
        <v>18</v>
      </c>
      <c r="D2" s="12" t="s">
        <v>30</v>
      </c>
      <c r="E2" s="29" t="s">
        <v>17</v>
      </c>
      <c r="F2" s="29" t="s">
        <v>24</v>
      </c>
      <c r="G2" s="12" t="s">
        <v>98</v>
      </c>
      <c r="H2" s="12" t="s">
        <v>105</v>
      </c>
      <c r="I2" s="170" t="s">
        <v>106</v>
      </c>
      <c r="J2" s="12" t="s">
        <v>16</v>
      </c>
      <c r="K2" s="14" t="s">
        <v>31</v>
      </c>
      <c r="L2" s="14" t="s">
        <v>35</v>
      </c>
      <c r="M2" s="8" t="s">
        <v>18</v>
      </c>
      <c r="N2" s="3" t="s">
        <v>111</v>
      </c>
      <c r="O2" s="3" t="s">
        <v>19</v>
      </c>
      <c r="P2" s="3" t="s">
        <v>20</v>
      </c>
      <c r="Q2" s="3" t="s">
        <v>20</v>
      </c>
      <c r="R2" s="3" t="s">
        <v>110</v>
      </c>
      <c r="S2" s="8" t="s">
        <v>18</v>
      </c>
      <c r="T2" s="20" t="s">
        <v>103</v>
      </c>
    </row>
    <row r="3" spans="2:21" s="181" customFormat="1" x14ac:dyDescent="0.25">
      <c r="B3" s="182" t="s">
        <v>25</v>
      </c>
      <c r="C3" s="183"/>
      <c r="D3" s="54" t="str">
        <f>INDEX(Cad_Natureza!$B$3:$C$52,MATCH('2026'!F3,Cad_Natureza!$C$3:$C$52,0),MATCH('2026'!D$2,Cad_Natureza!$B$3:$C$3,0))</f>
        <v>GAST2</v>
      </c>
      <c r="E3" s="52" t="str">
        <f>IF(K3&lt;0,"Despesa "&amp;U3,"Receita "&amp;U3)</f>
        <v>Despesa 1</v>
      </c>
      <c r="F3" s="53" t="s">
        <v>66</v>
      </c>
      <c r="G3" s="54" t="s">
        <v>25</v>
      </c>
      <c r="H3" s="55">
        <v>46024</v>
      </c>
      <c r="I3" s="55"/>
      <c r="J3" s="50" t="str">
        <f>IF(K3&lt;0,"Observação da despesa "&amp;U3,"Observação da receita "&amp;U3)</f>
        <v>Observação da despesa 1</v>
      </c>
      <c r="K3" s="43">
        <v>-5</v>
      </c>
      <c r="L3" s="184">
        <v>347.96</v>
      </c>
      <c r="M3" s="183"/>
      <c r="N3" s="18" t="str">
        <f t="shared" ref="N3:N656" si="0">B3&amp;D3&amp;F3</f>
        <v>MCSGAST2CPF - Desp. Lazer e Entretenimento - Cigarro</v>
      </c>
      <c r="O3" s="18" t="str">
        <f t="shared" ref="O3:O656" si="1">D3&amp;F3</f>
        <v>GAST2CPF - Desp. Lazer e Entretenimento - Cigarro</v>
      </c>
      <c r="P3" s="18" t="str">
        <f t="shared" ref="P3:P656" si="2">"MCS"&amp;D3&amp;F3</f>
        <v>MCSGAST2CPF - Desp. Lazer e Entretenimento - Cigarro</v>
      </c>
      <c r="Q3" s="18" t="str">
        <f t="shared" ref="Q3:Q656" si="3">"MCS"&amp;D3</f>
        <v>MCSGAST2</v>
      </c>
      <c r="R3" s="18" t="str">
        <f t="shared" ref="R3:R656" si="4">B3&amp;D3</f>
        <v>MCSGAST2</v>
      </c>
      <c r="S3" s="16"/>
      <c r="T3" s="185">
        <f t="shared" ref="T3:T656" si="5">(1&amp;"/"&amp;MONTH(H3)&amp;"/"&amp;YEAR(H3))*1</f>
        <v>46023</v>
      </c>
      <c r="U3" s="181">
        <v>1</v>
      </c>
    </row>
    <row r="4" spans="2:21" s="181" customFormat="1" x14ac:dyDescent="0.25">
      <c r="B4" s="182" t="s">
        <v>25</v>
      </c>
      <c r="C4" s="183"/>
      <c r="D4" s="54" t="str">
        <f>INDEX(Cad_Natureza!$B$3:$C$52,MATCH('2026'!F4,Cad_Natureza!$C$3:$C$52,0),MATCH('2026'!D$2,Cad_Natureza!$B$3:$C$3,0))</f>
        <v>DESP2</v>
      </c>
      <c r="E4" s="52" t="str">
        <f t="shared" ref="E4:E67" si="6">IF(K4&lt;0,"Despesa "&amp;U4,"Receita "&amp;U4)</f>
        <v>Despesa 2</v>
      </c>
      <c r="F4" s="53" t="s">
        <v>62</v>
      </c>
      <c r="G4" s="54" t="s">
        <v>25</v>
      </c>
      <c r="H4" s="55">
        <v>46027</v>
      </c>
      <c r="I4" s="55"/>
      <c r="J4" s="50" t="str">
        <f t="shared" ref="J4:J67" si="7">IF(K4&lt;0,"Observação da despesa "&amp;U4,"Observação da receita "&amp;U4)</f>
        <v>Observação da despesa 2</v>
      </c>
      <c r="K4" s="43">
        <v>-86.64</v>
      </c>
      <c r="L4" s="43">
        <f t="shared" ref="L4:L67" si="8">L3+K4</f>
        <v>261.32</v>
      </c>
      <c r="M4" s="183"/>
      <c r="N4" s="18" t="str">
        <f t="shared" si="0"/>
        <v>MCSDESP2CPF - Desp. Telefone / Internet</v>
      </c>
      <c r="O4" s="18" t="str">
        <f t="shared" si="1"/>
        <v>DESP2CPF - Desp. Telefone / Internet</v>
      </c>
      <c r="P4" s="18" t="str">
        <f t="shared" si="2"/>
        <v>MCSDESP2CPF - Desp. Telefone / Internet</v>
      </c>
      <c r="Q4" s="18" t="str">
        <f t="shared" si="3"/>
        <v>MCSDESP2</v>
      </c>
      <c r="R4" s="18" t="str">
        <f t="shared" si="4"/>
        <v>MCSDESP2</v>
      </c>
      <c r="S4" s="16"/>
      <c r="T4" s="185">
        <f t="shared" si="5"/>
        <v>46023</v>
      </c>
      <c r="U4" s="181">
        <v>2</v>
      </c>
    </row>
    <row r="5" spans="2:21" s="181" customFormat="1" x14ac:dyDescent="0.25">
      <c r="B5" s="182" t="s">
        <v>25</v>
      </c>
      <c r="C5" s="183"/>
      <c r="D5" s="54" t="str">
        <f>INDEX(Cad_Natureza!$B$3:$C$52,MATCH('2026'!F5,Cad_Natureza!$C$3:$C$52,0),MATCH('2026'!D$2,Cad_Natureza!$B$3:$C$3,0))</f>
        <v>DESP2</v>
      </c>
      <c r="E5" s="52" t="str">
        <f t="shared" si="6"/>
        <v>Despesa 3</v>
      </c>
      <c r="F5" s="53" t="s">
        <v>62</v>
      </c>
      <c r="G5" s="54" t="s">
        <v>25</v>
      </c>
      <c r="H5" s="55">
        <v>46027</v>
      </c>
      <c r="I5" s="55"/>
      <c r="J5" s="50" t="str">
        <f t="shared" si="7"/>
        <v>Observação da despesa 3</v>
      </c>
      <c r="K5" s="43">
        <v>-38.130000000000003</v>
      </c>
      <c r="L5" s="43">
        <f t="shared" si="8"/>
        <v>223.19</v>
      </c>
      <c r="M5" s="183"/>
      <c r="N5" s="18" t="str">
        <f t="shared" si="0"/>
        <v>MCSDESP2CPF - Desp. Telefone / Internet</v>
      </c>
      <c r="O5" s="18" t="str">
        <f t="shared" si="1"/>
        <v>DESP2CPF - Desp. Telefone / Internet</v>
      </c>
      <c r="P5" s="18" t="str">
        <f t="shared" si="2"/>
        <v>MCSDESP2CPF - Desp. Telefone / Internet</v>
      </c>
      <c r="Q5" s="18" t="str">
        <f t="shared" si="3"/>
        <v>MCSDESP2</v>
      </c>
      <c r="R5" s="18" t="str">
        <f t="shared" si="4"/>
        <v>MCSDESP2</v>
      </c>
      <c r="S5" s="16"/>
      <c r="T5" s="185">
        <f t="shared" si="5"/>
        <v>46023</v>
      </c>
      <c r="U5" s="181">
        <v>3</v>
      </c>
    </row>
    <row r="6" spans="2:21" s="181" customFormat="1" x14ac:dyDescent="0.25">
      <c r="B6" s="182" t="s">
        <v>25</v>
      </c>
      <c r="C6" s="183"/>
      <c r="D6" s="54" t="str">
        <f>INDEX(Cad_Natureza!$B$3:$C$52,MATCH('2026'!F6,Cad_Natureza!$C$3:$C$52,0),MATCH('2026'!D$2,Cad_Natureza!$B$3:$C$3,0))</f>
        <v>GAST2</v>
      </c>
      <c r="E6" s="52" t="str">
        <f t="shared" si="6"/>
        <v>Despesa 4</v>
      </c>
      <c r="F6" s="53" t="s">
        <v>66</v>
      </c>
      <c r="G6" s="54" t="s">
        <v>25</v>
      </c>
      <c r="H6" s="55">
        <v>46027</v>
      </c>
      <c r="I6" s="55"/>
      <c r="J6" s="50" t="str">
        <f t="shared" si="7"/>
        <v>Observação da despesa 4</v>
      </c>
      <c r="K6" s="43">
        <v>-10</v>
      </c>
      <c r="L6" s="43">
        <f t="shared" si="8"/>
        <v>213.19</v>
      </c>
      <c r="M6" s="183"/>
      <c r="N6" s="37" t="str">
        <f t="shared" si="0"/>
        <v>MCSGAST2CPF - Desp. Lazer e Entretenimento - Cigarro</v>
      </c>
      <c r="O6" s="37" t="str">
        <f t="shared" si="1"/>
        <v>GAST2CPF - Desp. Lazer e Entretenimento - Cigarro</v>
      </c>
      <c r="P6" s="37" t="str">
        <f t="shared" si="2"/>
        <v>MCSGAST2CPF - Desp. Lazer e Entretenimento - Cigarro</v>
      </c>
      <c r="Q6" s="37" t="str">
        <f t="shared" si="3"/>
        <v>MCSGAST2</v>
      </c>
      <c r="R6" s="37" t="str">
        <f t="shared" si="4"/>
        <v>MCSGAST2</v>
      </c>
      <c r="S6" s="31"/>
      <c r="T6" s="185">
        <f t="shared" si="5"/>
        <v>46023</v>
      </c>
      <c r="U6" s="181">
        <v>4</v>
      </c>
    </row>
    <row r="7" spans="2:21" s="181" customFormat="1" x14ac:dyDescent="0.25">
      <c r="B7" s="182" t="s">
        <v>25</v>
      </c>
      <c r="C7" s="183"/>
      <c r="D7" s="54" t="str">
        <f>INDEX(Cad_Natureza!$B$3:$C$52,MATCH('2026'!F7,Cad_Natureza!$C$3:$C$52,0),MATCH('2026'!D$2,Cad_Natureza!$B$3:$C$3,0))</f>
        <v>GAST2</v>
      </c>
      <c r="E7" s="52" t="str">
        <f t="shared" si="6"/>
        <v>Despesa 5</v>
      </c>
      <c r="F7" s="53" t="s">
        <v>66</v>
      </c>
      <c r="G7" s="54" t="s">
        <v>25</v>
      </c>
      <c r="H7" s="55">
        <v>46027</v>
      </c>
      <c r="I7" s="55"/>
      <c r="J7" s="50" t="str">
        <f t="shared" si="7"/>
        <v>Observação da despesa 5</v>
      </c>
      <c r="K7" s="43">
        <v>-4</v>
      </c>
      <c r="L7" s="43">
        <f t="shared" si="8"/>
        <v>209.19</v>
      </c>
      <c r="M7" s="183"/>
      <c r="N7" s="37" t="str">
        <f t="shared" si="0"/>
        <v>MCSGAST2CPF - Desp. Lazer e Entretenimento - Cigarro</v>
      </c>
      <c r="O7" s="37" t="str">
        <f t="shared" si="1"/>
        <v>GAST2CPF - Desp. Lazer e Entretenimento - Cigarro</v>
      </c>
      <c r="P7" s="37" t="str">
        <f t="shared" si="2"/>
        <v>MCSGAST2CPF - Desp. Lazer e Entretenimento - Cigarro</v>
      </c>
      <c r="Q7" s="37" t="str">
        <f t="shared" si="3"/>
        <v>MCSGAST2</v>
      </c>
      <c r="R7" s="37" t="str">
        <f t="shared" si="4"/>
        <v>MCSGAST2</v>
      </c>
      <c r="S7" s="31"/>
      <c r="T7" s="185">
        <f t="shared" si="5"/>
        <v>46023</v>
      </c>
      <c r="U7" s="181">
        <v>5</v>
      </c>
    </row>
    <row r="8" spans="2:21" s="181" customFormat="1" x14ac:dyDescent="0.25">
      <c r="B8" s="182" t="s">
        <v>25</v>
      </c>
      <c r="C8" s="183"/>
      <c r="D8" s="54" t="str">
        <f>INDEX(Cad_Natureza!$B$3:$C$52,MATCH('2026'!F8,Cad_Natureza!$C$3:$C$52,0),MATCH('2026'!D$2,Cad_Natureza!$B$3:$C$3,0))</f>
        <v>OPF2</v>
      </c>
      <c r="E8" s="52" t="str">
        <f t="shared" si="6"/>
        <v>Despesa 6</v>
      </c>
      <c r="F8" s="53" t="s">
        <v>64</v>
      </c>
      <c r="G8" s="54" t="s">
        <v>25</v>
      </c>
      <c r="H8" s="55">
        <v>46027</v>
      </c>
      <c r="I8" s="55"/>
      <c r="J8" s="50" t="str">
        <f t="shared" si="7"/>
        <v>Observação da despesa 6</v>
      </c>
      <c r="K8" s="43">
        <v>-50</v>
      </c>
      <c r="L8" s="43">
        <f t="shared" si="8"/>
        <v>159.19</v>
      </c>
      <c r="M8" s="183"/>
      <c r="N8" s="37" t="str">
        <f t="shared" si="0"/>
        <v>MCSOPF2CPF - Desp. Transporte / Combustível</v>
      </c>
      <c r="O8" s="37" t="str">
        <f t="shared" si="1"/>
        <v>OPF2CPF - Desp. Transporte / Combustível</v>
      </c>
      <c r="P8" s="37" t="str">
        <f t="shared" si="2"/>
        <v>MCSOPF2CPF - Desp. Transporte / Combustível</v>
      </c>
      <c r="Q8" s="37" t="str">
        <f t="shared" si="3"/>
        <v>MCSOPF2</v>
      </c>
      <c r="R8" s="37" t="str">
        <f t="shared" si="4"/>
        <v>MCSOPF2</v>
      </c>
      <c r="S8" s="31"/>
      <c r="T8" s="185">
        <f t="shared" si="5"/>
        <v>46023</v>
      </c>
      <c r="U8" s="181">
        <v>6</v>
      </c>
    </row>
    <row r="9" spans="2:21" s="181" customFormat="1" x14ac:dyDescent="0.25">
      <c r="B9" s="182" t="s">
        <v>25</v>
      </c>
      <c r="C9" s="183"/>
      <c r="D9" s="54" t="str">
        <f>INDEX(Cad_Natureza!$B$3:$C$52,MATCH('2026'!F9,Cad_Natureza!$C$3:$C$52,0),MATCH('2026'!D$2,Cad_Natureza!$B$3:$C$3,0))</f>
        <v>OPF1</v>
      </c>
      <c r="E9" s="52" t="str">
        <f t="shared" si="6"/>
        <v>Despesa 7</v>
      </c>
      <c r="F9" s="53" t="s">
        <v>67</v>
      </c>
      <c r="G9" s="54" t="s">
        <v>25</v>
      </c>
      <c r="H9" s="55">
        <v>46027</v>
      </c>
      <c r="I9" s="55"/>
      <c r="J9" s="50" t="str">
        <f t="shared" si="7"/>
        <v>Observação da despesa 7</v>
      </c>
      <c r="K9" s="43">
        <v>-23.33</v>
      </c>
      <c r="L9" s="43">
        <f t="shared" si="8"/>
        <v>135.86000000000001</v>
      </c>
      <c r="M9" s="183"/>
      <c r="N9" s="37" t="str">
        <f t="shared" si="0"/>
        <v>MCSOPF1CPF - Desp. Alimentação / Refeição</v>
      </c>
      <c r="O9" s="37" t="str">
        <f t="shared" si="1"/>
        <v>OPF1CPF - Desp. Alimentação / Refeição</v>
      </c>
      <c r="P9" s="37" t="str">
        <f t="shared" si="2"/>
        <v>MCSOPF1CPF - Desp. Alimentação / Refeição</v>
      </c>
      <c r="Q9" s="37" t="str">
        <f t="shared" si="3"/>
        <v>MCSOPF1</v>
      </c>
      <c r="R9" s="37" t="str">
        <f t="shared" si="4"/>
        <v>MCSOPF1</v>
      </c>
      <c r="S9" s="31"/>
      <c r="T9" s="185">
        <f t="shared" si="5"/>
        <v>46023</v>
      </c>
      <c r="U9" s="181">
        <v>7</v>
      </c>
    </row>
    <row r="10" spans="2:21" s="181" customFormat="1" x14ac:dyDescent="0.25">
      <c r="B10" s="182" t="s">
        <v>25</v>
      </c>
      <c r="C10" s="183"/>
      <c r="D10" s="54" t="str">
        <f>INDEX(Cad_Natureza!$B$3:$C$52,MATCH('2026'!F10,Cad_Natureza!$C$3:$C$52,0),MATCH('2026'!D$2,Cad_Natureza!$B$3:$C$3,0))</f>
        <v>GAST1</v>
      </c>
      <c r="E10" s="52" t="str">
        <f t="shared" si="6"/>
        <v>Despesa 8</v>
      </c>
      <c r="F10" s="53" t="s">
        <v>65</v>
      </c>
      <c r="G10" s="54" t="s">
        <v>25</v>
      </c>
      <c r="H10" s="55">
        <v>46027</v>
      </c>
      <c r="I10" s="55"/>
      <c r="J10" s="50" t="str">
        <f t="shared" si="7"/>
        <v>Observação da despesa 8</v>
      </c>
      <c r="K10" s="43">
        <v>-16</v>
      </c>
      <c r="L10" s="43">
        <f t="shared" si="8"/>
        <v>119.86000000000001</v>
      </c>
      <c r="M10" s="183"/>
      <c r="N10" s="37" t="str">
        <f t="shared" si="0"/>
        <v>MCSGAST1CPF - Desp. Lazer e Entretenimento - Bares</v>
      </c>
      <c r="O10" s="37" t="str">
        <f t="shared" si="1"/>
        <v>GAST1CPF - Desp. Lazer e Entretenimento - Bares</v>
      </c>
      <c r="P10" s="37" t="str">
        <f t="shared" si="2"/>
        <v>MCSGAST1CPF - Desp. Lazer e Entretenimento - Bares</v>
      </c>
      <c r="Q10" s="37" t="str">
        <f t="shared" si="3"/>
        <v>MCSGAST1</v>
      </c>
      <c r="R10" s="37" t="str">
        <f t="shared" si="4"/>
        <v>MCSGAST1</v>
      </c>
      <c r="S10" s="31"/>
      <c r="T10" s="185">
        <f t="shared" si="5"/>
        <v>46023</v>
      </c>
      <c r="U10" s="181">
        <v>8</v>
      </c>
    </row>
    <row r="11" spans="2:21" s="181" customFormat="1" x14ac:dyDescent="0.25">
      <c r="B11" s="182" t="s">
        <v>25</v>
      </c>
      <c r="C11" s="183"/>
      <c r="D11" s="54" t="str">
        <f>INDEX(Cad_Natureza!$B$3:$C$52,MATCH('2026'!F11,Cad_Natureza!$C$3:$C$52,0),MATCH('2026'!D$2,Cad_Natureza!$B$3:$C$3,0))</f>
        <v>PENS6</v>
      </c>
      <c r="E11" s="52" t="str">
        <f t="shared" si="6"/>
        <v>Despesa 9</v>
      </c>
      <c r="F11" s="53" t="s">
        <v>34</v>
      </c>
      <c r="G11" s="54" t="s">
        <v>25</v>
      </c>
      <c r="H11" s="55">
        <v>46027</v>
      </c>
      <c r="I11" s="55"/>
      <c r="J11" s="50" t="str">
        <f t="shared" si="7"/>
        <v>Observação da despesa 9</v>
      </c>
      <c r="K11" s="43">
        <v>-14.49</v>
      </c>
      <c r="L11" s="43">
        <f t="shared" si="8"/>
        <v>105.37000000000002</v>
      </c>
      <c r="M11" s="183"/>
      <c r="N11" s="37" t="str">
        <f t="shared" si="0"/>
        <v>MCSPENS6CPF - Pensão - Farmácia e Saúde</v>
      </c>
      <c r="O11" s="37" t="str">
        <f t="shared" si="1"/>
        <v>PENS6CPF - Pensão - Farmácia e Saúde</v>
      </c>
      <c r="P11" s="37" t="str">
        <f t="shared" si="2"/>
        <v>MCSPENS6CPF - Pensão - Farmácia e Saúde</v>
      </c>
      <c r="Q11" s="37" t="str">
        <f t="shared" si="3"/>
        <v>MCSPENS6</v>
      </c>
      <c r="R11" s="37" t="str">
        <f t="shared" si="4"/>
        <v>MCSPENS6</v>
      </c>
      <c r="S11" s="31"/>
      <c r="T11" s="185">
        <f t="shared" si="5"/>
        <v>46023</v>
      </c>
      <c r="U11" s="181">
        <v>9</v>
      </c>
    </row>
    <row r="12" spans="2:21" s="181" customFormat="1" x14ac:dyDescent="0.25">
      <c r="B12" s="182" t="s">
        <v>25</v>
      </c>
      <c r="C12" s="183"/>
      <c r="D12" s="54" t="str">
        <f>INDEX(Cad_Natureza!$B$3:$C$52,MATCH('2026'!F12,Cad_Natureza!$C$3:$C$52,0),MATCH('2026'!D$2,Cad_Natureza!$B$3:$C$3,0))</f>
        <v>GAST1</v>
      </c>
      <c r="E12" s="52" t="str">
        <f t="shared" si="6"/>
        <v>Despesa 10</v>
      </c>
      <c r="F12" s="53" t="s">
        <v>65</v>
      </c>
      <c r="G12" s="54" t="s">
        <v>25</v>
      </c>
      <c r="H12" s="55">
        <v>46027</v>
      </c>
      <c r="I12" s="55"/>
      <c r="J12" s="50" t="str">
        <f t="shared" si="7"/>
        <v>Observação da despesa 10</v>
      </c>
      <c r="K12" s="43">
        <v>-10</v>
      </c>
      <c r="L12" s="43">
        <f t="shared" si="8"/>
        <v>95.370000000000019</v>
      </c>
      <c r="M12" s="183"/>
      <c r="N12" s="37" t="str">
        <f t="shared" si="0"/>
        <v>MCSGAST1CPF - Desp. Lazer e Entretenimento - Bares</v>
      </c>
      <c r="O12" s="37" t="str">
        <f t="shared" si="1"/>
        <v>GAST1CPF - Desp. Lazer e Entretenimento - Bares</v>
      </c>
      <c r="P12" s="37" t="str">
        <f t="shared" si="2"/>
        <v>MCSGAST1CPF - Desp. Lazer e Entretenimento - Bares</v>
      </c>
      <c r="Q12" s="37" t="str">
        <f t="shared" si="3"/>
        <v>MCSGAST1</v>
      </c>
      <c r="R12" s="37" t="str">
        <f t="shared" si="4"/>
        <v>MCSGAST1</v>
      </c>
      <c r="S12" s="31"/>
      <c r="T12" s="185">
        <f t="shared" si="5"/>
        <v>46023</v>
      </c>
      <c r="U12" s="181">
        <v>10</v>
      </c>
    </row>
    <row r="13" spans="2:21" s="181" customFormat="1" x14ac:dyDescent="0.25">
      <c r="B13" s="182" t="s">
        <v>25</v>
      </c>
      <c r="C13" s="183"/>
      <c r="D13" s="54" t="str">
        <f>INDEX(Cad_Natureza!$B$3:$C$52,MATCH('2026'!F13,Cad_Natureza!$C$3:$C$52,0),MATCH('2026'!D$2,Cad_Natureza!$B$3:$C$3,0))</f>
        <v>FIN2</v>
      </c>
      <c r="E13" s="52" t="str">
        <f t="shared" si="6"/>
        <v>Despesa 11</v>
      </c>
      <c r="F13" s="53" t="s">
        <v>72</v>
      </c>
      <c r="G13" s="54" t="s">
        <v>25</v>
      </c>
      <c r="H13" s="55">
        <v>46027</v>
      </c>
      <c r="I13" s="55"/>
      <c r="J13" s="50" t="str">
        <f t="shared" si="7"/>
        <v>Observação da despesa 11</v>
      </c>
      <c r="K13" s="43">
        <v>-28</v>
      </c>
      <c r="L13" s="43">
        <f t="shared" si="8"/>
        <v>67.370000000000019</v>
      </c>
      <c r="M13" s="183"/>
      <c r="N13" s="37" t="str">
        <f t="shared" si="0"/>
        <v>MCSFIN2CPF - Desp. Financeiras - Juros / Tarifas</v>
      </c>
      <c r="O13" s="37" t="str">
        <f t="shared" si="1"/>
        <v>FIN2CPF - Desp. Financeiras - Juros / Tarifas</v>
      </c>
      <c r="P13" s="37" t="str">
        <f t="shared" si="2"/>
        <v>MCSFIN2CPF - Desp. Financeiras - Juros / Tarifas</v>
      </c>
      <c r="Q13" s="37" t="str">
        <f t="shared" si="3"/>
        <v>MCSFIN2</v>
      </c>
      <c r="R13" s="37" t="str">
        <f t="shared" si="4"/>
        <v>MCSFIN2</v>
      </c>
      <c r="S13" s="31"/>
      <c r="T13" s="185">
        <f t="shared" si="5"/>
        <v>46023</v>
      </c>
      <c r="U13" s="181">
        <v>11</v>
      </c>
    </row>
    <row r="14" spans="2:21" s="181" customFormat="1" x14ac:dyDescent="0.25">
      <c r="B14" s="182" t="s">
        <v>25</v>
      </c>
      <c r="C14" s="183"/>
      <c r="D14" s="54" t="str">
        <f>INDEX(Cad_Natureza!$B$3:$C$52,MATCH('2026'!F14,Cad_Natureza!$C$3:$C$52,0),MATCH('2026'!D$2,Cad_Natureza!$B$3:$C$3,0))</f>
        <v>OPF2</v>
      </c>
      <c r="E14" s="52" t="str">
        <f t="shared" si="6"/>
        <v>Despesa 12</v>
      </c>
      <c r="F14" s="53" t="s">
        <v>64</v>
      </c>
      <c r="G14" s="54" t="s">
        <v>25</v>
      </c>
      <c r="H14" s="55">
        <v>46028</v>
      </c>
      <c r="I14" s="55"/>
      <c r="J14" s="50" t="str">
        <f t="shared" si="7"/>
        <v>Observação da despesa 12</v>
      </c>
      <c r="K14" s="43">
        <v>-40</v>
      </c>
      <c r="L14" s="43">
        <f t="shared" si="8"/>
        <v>27.370000000000019</v>
      </c>
      <c r="M14" s="183"/>
      <c r="N14" s="37" t="str">
        <f t="shared" si="0"/>
        <v>MCSOPF2CPF - Desp. Transporte / Combustível</v>
      </c>
      <c r="O14" s="37" t="str">
        <f t="shared" si="1"/>
        <v>OPF2CPF - Desp. Transporte / Combustível</v>
      </c>
      <c r="P14" s="37" t="str">
        <f t="shared" si="2"/>
        <v>MCSOPF2CPF - Desp. Transporte / Combustível</v>
      </c>
      <c r="Q14" s="37" t="str">
        <f t="shared" si="3"/>
        <v>MCSOPF2</v>
      </c>
      <c r="R14" s="37" t="str">
        <f t="shared" si="4"/>
        <v>MCSOPF2</v>
      </c>
      <c r="S14" s="31"/>
      <c r="T14" s="185">
        <f t="shared" si="5"/>
        <v>46023</v>
      </c>
      <c r="U14" s="181">
        <v>12</v>
      </c>
    </row>
    <row r="15" spans="2:21" s="181" customFormat="1" x14ac:dyDescent="0.25">
      <c r="B15" s="182" t="s">
        <v>25</v>
      </c>
      <c r="C15" s="183"/>
      <c r="D15" s="54" t="str">
        <f>INDEX(Cad_Natureza!$B$3:$C$52,MATCH('2026'!F15,Cad_Natureza!$C$3:$C$52,0),MATCH('2026'!D$2,Cad_Natureza!$B$3:$C$3,0))</f>
        <v>GAST1</v>
      </c>
      <c r="E15" s="52" t="str">
        <f t="shared" si="6"/>
        <v>Despesa 13</v>
      </c>
      <c r="F15" s="53" t="s">
        <v>65</v>
      </c>
      <c r="G15" s="54" t="s">
        <v>25</v>
      </c>
      <c r="H15" s="55">
        <v>46028</v>
      </c>
      <c r="I15" s="55"/>
      <c r="J15" s="50" t="str">
        <f t="shared" si="7"/>
        <v>Observação da despesa 13</v>
      </c>
      <c r="K15" s="43">
        <v>-10</v>
      </c>
      <c r="L15" s="43">
        <f t="shared" si="8"/>
        <v>17.370000000000019</v>
      </c>
      <c r="M15" s="183"/>
      <c r="N15" s="37" t="str">
        <f t="shared" si="0"/>
        <v>MCSGAST1CPF - Desp. Lazer e Entretenimento - Bares</v>
      </c>
      <c r="O15" s="37" t="str">
        <f t="shared" si="1"/>
        <v>GAST1CPF - Desp. Lazer e Entretenimento - Bares</v>
      </c>
      <c r="P15" s="37" t="str">
        <f t="shared" si="2"/>
        <v>MCSGAST1CPF - Desp. Lazer e Entretenimento - Bares</v>
      </c>
      <c r="Q15" s="37" t="str">
        <f t="shared" si="3"/>
        <v>MCSGAST1</v>
      </c>
      <c r="R15" s="37" t="str">
        <f t="shared" si="4"/>
        <v>MCSGAST1</v>
      </c>
      <c r="S15" s="31"/>
      <c r="T15" s="185">
        <f t="shared" si="5"/>
        <v>46023</v>
      </c>
      <c r="U15" s="181">
        <v>13</v>
      </c>
    </row>
    <row r="16" spans="2:21" s="177" customFormat="1" x14ac:dyDescent="0.25">
      <c r="B16" s="174" t="s">
        <v>25</v>
      </c>
      <c r="C16" s="51"/>
      <c r="D16" s="44" t="str">
        <f>INDEX(Cad_Natureza!$B$3:$C$52,MATCH('2026'!F16,Cad_Natureza!$C$3:$C$52,0),MATCH('2026'!D$2,Cad_Natureza!$B$3:$C$3,0))</f>
        <v>REC4</v>
      </c>
      <c r="E16" s="45" t="str">
        <f t="shared" si="6"/>
        <v>Receita 14</v>
      </c>
      <c r="F16" s="46" t="s">
        <v>57</v>
      </c>
      <c r="G16" s="44" t="s">
        <v>25</v>
      </c>
      <c r="H16" s="47">
        <v>46029</v>
      </c>
      <c r="I16" s="47"/>
      <c r="J16" s="48" t="str">
        <f t="shared" si="7"/>
        <v>Observação da receita 14</v>
      </c>
      <c r="K16" s="49">
        <v>3000</v>
      </c>
      <c r="L16" s="49">
        <f t="shared" si="8"/>
        <v>3017.37</v>
      </c>
      <c r="M16" s="51"/>
      <c r="N16" s="175" t="str">
        <f t="shared" si="0"/>
        <v>MCSREC4CPF - Transf. Da conta PJ para a conta PF</v>
      </c>
      <c r="O16" s="175" t="str">
        <f t="shared" si="1"/>
        <v>REC4CPF - Transf. Da conta PJ para a conta PF</v>
      </c>
      <c r="P16" s="175" t="str">
        <f t="shared" si="2"/>
        <v>MCSREC4CPF - Transf. Da conta PJ para a conta PF</v>
      </c>
      <c r="Q16" s="175" t="str">
        <f t="shared" si="3"/>
        <v>MCSREC4</v>
      </c>
      <c r="R16" s="175" t="str">
        <f t="shared" si="4"/>
        <v>MCSREC4</v>
      </c>
      <c r="S16" s="51"/>
      <c r="T16" s="176">
        <f t="shared" si="5"/>
        <v>46023</v>
      </c>
      <c r="U16" s="181">
        <v>14</v>
      </c>
    </row>
    <row r="17" spans="2:21" s="181" customFormat="1" x14ac:dyDescent="0.25">
      <c r="B17" s="182" t="s">
        <v>25</v>
      </c>
      <c r="C17" s="183"/>
      <c r="D17" s="54" t="str">
        <f>INDEX(Cad_Natureza!$B$3:$C$52,MATCH('2026'!F17,Cad_Natureza!$C$3:$C$52,0),MATCH('2026'!D$2,Cad_Natureza!$B$3:$C$3,0))</f>
        <v>GAST1</v>
      </c>
      <c r="E17" s="52" t="str">
        <f t="shared" si="6"/>
        <v>Despesa 15</v>
      </c>
      <c r="F17" s="53" t="s">
        <v>65</v>
      </c>
      <c r="G17" s="54" t="s">
        <v>25</v>
      </c>
      <c r="H17" s="55">
        <v>46029</v>
      </c>
      <c r="I17" s="55"/>
      <c r="J17" s="50" t="str">
        <f t="shared" si="7"/>
        <v>Observação da despesa 15</v>
      </c>
      <c r="K17" s="43">
        <v>-22</v>
      </c>
      <c r="L17" s="43">
        <f t="shared" si="8"/>
        <v>2995.37</v>
      </c>
      <c r="M17" s="183"/>
      <c r="N17" s="37" t="str">
        <f t="shared" si="0"/>
        <v>MCSGAST1CPF - Desp. Lazer e Entretenimento - Bares</v>
      </c>
      <c r="O17" s="37" t="str">
        <f t="shared" si="1"/>
        <v>GAST1CPF - Desp. Lazer e Entretenimento - Bares</v>
      </c>
      <c r="P17" s="37" t="str">
        <f t="shared" si="2"/>
        <v>MCSGAST1CPF - Desp. Lazer e Entretenimento - Bares</v>
      </c>
      <c r="Q17" s="37" t="str">
        <f t="shared" si="3"/>
        <v>MCSGAST1</v>
      </c>
      <c r="R17" s="37" t="str">
        <f t="shared" si="4"/>
        <v>MCSGAST1</v>
      </c>
      <c r="S17" s="31"/>
      <c r="T17" s="185">
        <f t="shared" si="5"/>
        <v>46023</v>
      </c>
      <c r="U17" s="181">
        <v>15</v>
      </c>
    </row>
    <row r="18" spans="2:21" s="181" customFormat="1" x14ac:dyDescent="0.25">
      <c r="B18" s="182" t="s">
        <v>25</v>
      </c>
      <c r="C18" s="183"/>
      <c r="D18" s="54" t="str">
        <f>INDEX(Cad_Natureza!$B$3:$C$52,MATCH('2026'!F18,Cad_Natureza!$C$3:$C$52,0),MATCH('2026'!D$2,Cad_Natureza!$B$3:$C$3,0))</f>
        <v>GAST1</v>
      </c>
      <c r="E18" s="52" t="str">
        <f t="shared" si="6"/>
        <v>Despesa 16</v>
      </c>
      <c r="F18" s="53" t="s">
        <v>65</v>
      </c>
      <c r="G18" s="54" t="s">
        <v>25</v>
      </c>
      <c r="H18" s="55">
        <v>46029</v>
      </c>
      <c r="I18" s="55"/>
      <c r="J18" s="50" t="str">
        <f t="shared" si="7"/>
        <v>Observação da despesa 16</v>
      </c>
      <c r="K18" s="43">
        <v>-28.5</v>
      </c>
      <c r="L18" s="43">
        <f t="shared" si="8"/>
        <v>2966.87</v>
      </c>
      <c r="M18" s="183"/>
      <c r="N18" s="37" t="str">
        <f t="shared" si="0"/>
        <v>MCSGAST1CPF - Desp. Lazer e Entretenimento - Bares</v>
      </c>
      <c r="O18" s="37" t="str">
        <f t="shared" si="1"/>
        <v>GAST1CPF - Desp. Lazer e Entretenimento - Bares</v>
      </c>
      <c r="P18" s="37" t="str">
        <f t="shared" si="2"/>
        <v>MCSGAST1CPF - Desp. Lazer e Entretenimento - Bares</v>
      </c>
      <c r="Q18" s="37" t="str">
        <f t="shared" si="3"/>
        <v>MCSGAST1</v>
      </c>
      <c r="R18" s="37" t="str">
        <f t="shared" si="4"/>
        <v>MCSGAST1</v>
      </c>
      <c r="S18" s="31"/>
      <c r="T18" s="185">
        <f t="shared" si="5"/>
        <v>46023</v>
      </c>
      <c r="U18" s="181">
        <v>16</v>
      </c>
    </row>
    <row r="19" spans="2:21" s="181" customFormat="1" x14ac:dyDescent="0.25">
      <c r="B19" s="182" t="s">
        <v>25</v>
      </c>
      <c r="C19" s="183"/>
      <c r="D19" s="54" t="str">
        <f>INDEX(Cad_Natureza!$B$3:$C$52,MATCH('2026'!F19,Cad_Natureza!$C$3:$C$52,0),MATCH('2026'!D$2,Cad_Natureza!$B$3:$C$3,0))</f>
        <v>DESP2</v>
      </c>
      <c r="E19" s="52" t="str">
        <f t="shared" si="6"/>
        <v>Despesa 17</v>
      </c>
      <c r="F19" s="53" t="s">
        <v>62</v>
      </c>
      <c r="G19" s="54" t="s">
        <v>25</v>
      </c>
      <c r="H19" s="55">
        <v>46029</v>
      </c>
      <c r="I19" s="55"/>
      <c r="J19" s="50" t="str">
        <f t="shared" si="7"/>
        <v>Observação da despesa 17</v>
      </c>
      <c r="K19" s="43">
        <v>-123.35</v>
      </c>
      <c r="L19" s="43">
        <f t="shared" si="8"/>
        <v>2843.52</v>
      </c>
      <c r="M19" s="183"/>
      <c r="N19" s="37" t="str">
        <f t="shared" si="0"/>
        <v>MCSDESP2CPF - Desp. Telefone / Internet</v>
      </c>
      <c r="O19" s="37" t="str">
        <f t="shared" si="1"/>
        <v>DESP2CPF - Desp. Telefone / Internet</v>
      </c>
      <c r="P19" s="37" t="str">
        <f t="shared" si="2"/>
        <v>MCSDESP2CPF - Desp. Telefone / Internet</v>
      </c>
      <c r="Q19" s="37" t="str">
        <f t="shared" si="3"/>
        <v>MCSDESP2</v>
      </c>
      <c r="R19" s="37" t="str">
        <f t="shared" si="4"/>
        <v>MCSDESP2</v>
      </c>
      <c r="S19" s="31"/>
      <c r="T19" s="185">
        <f t="shared" si="5"/>
        <v>46023</v>
      </c>
      <c r="U19" s="181">
        <v>17</v>
      </c>
    </row>
    <row r="20" spans="2:21" s="181" customFormat="1" x14ac:dyDescent="0.25">
      <c r="B20" s="182" t="s">
        <v>25</v>
      </c>
      <c r="C20" s="183"/>
      <c r="D20" s="54" t="str">
        <f>INDEX(Cad_Natureza!$B$3:$C$52,MATCH('2026'!F20,Cad_Natureza!$C$3:$C$52,0),MATCH('2026'!D$2,Cad_Natureza!$B$3:$C$3,0))</f>
        <v>PENS3</v>
      </c>
      <c r="E20" s="52" t="str">
        <f t="shared" si="6"/>
        <v>Despesa 18</v>
      </c>
      <c r="F20" s="53" t="s">
        <v>69</v>
      </c>
      <c r="G20" s="54" t="s">
        <v>25</v>
      </c>
      <c r="H20" s="55">
        <v>46029</v>
      </c>
      <c r="I20" s="55"/>
      <c r="J20" s="50" t="str">
        <f t="shared" si="7"/>
        <v>Observação da despesa 18</v>
      </c>
      <c r="K20" s="43">
        <v>-506.56</v>
      </c>
      <c r="L20" s="43">
        <f t="shared" si="8"/>
        <v>2336.96</v>
      </c>
      <c r="M20" s="183"/>
      <c r="N20" s="37" t="str">
        <f t="shared" si="0"/>
        <v>MCSPENS3CPF - Pensão - Plano de saúde</v>
      </c>
      <c r="O20" s="37" t="str">
        <f t="shared" si="1"/>
        <v>PENS3CPF - Pensão - Plano de saúde</v>
      </c>
      <c r="P20" s="37" t="str">
        <f t="shared" si="2"/>
        <v>MCSPENS3CPF - Pensão - Plano de saúde</v>
      </c>
      <c r="Q20" s="37" t="str">
        <f t="shared" si="3"/>
        <v>MCSPENS3</v>
      </c>
      <c r="R20" s="37" t="str">
        <f t="shared" si="4"/>
        <v>MCSPENS3</v>
      </c>
      <c r="S20" s="31"/>
      <c r="T20" s="185">
        <f t="shared" si="5"/>
        <v>46023</v>
      </c>
      <c r="U20" s="181">
        <v>18</v>
      </c>
    </row>
    <row r="21" spans="2:21" s="181" customFormat="1" x14ac:dyDescent="0.25">
      <c r="B21" s="182" t="s">
        <v>25</v>
      </c>
      <c r="C21" s="183"/>
      <c r="D21" s="54" t="str">
        <f>INDEX(Cad_Natureza!$B$3:$C$52,MATCH('2026'!F21,Cad_Natureza!$C$3:$C$52,0),MATCH('2026'!D$2,Cad_Natureza!$B$3:$C$3,0))</f>
        <v>OPF2</v>
      </c>
      <c r="E21" s="52" t="str">
        <f t="shared" si="6"/>
        <v>Despesa 19</v>
      </c>
      <c r="F21" s="53" t="s">
        <v>64</v>
      </c>
      <c r="G21" s="54" t="s">
        <v>25</v>
      </c>
      <c r="H21" s="55">
        <v>46030</v>
      </c>
      <c r="I21" s="55"/>
      <c r="J21" s="50" t="str">
        <f t="shared" si="7"/>
        <v>Observação da despesa 19</v>
      </c>
      <c r="K21" s="43">
        <v>-50</v>
      </c>
      <c r="L21" s="43">
        <f t="shared" si="8"/>
        <v>2286.96</v>
      </c>
      <c r="M21" s="183"/>
      <c r="N21" s="37" t="str">
        <f t="shared" si="0"/>
        <v>MCSOPF2CPF - Desp. Transporte / Combustível</v>
      </c>
      <c r="O21" s="37" t="str">
        <f t="shared" si="1"/>
        <v>OPF2CPF - Desp. Transporte / Combustível</v>
      </c>
      <c r="P21" s="37" t="str">
        <f t="shared" si="2"/>
        <v>MCSOPF2CPF - Desp. Transporte / Combustível</v>
      </c>
      <c r="Q21" s="37" t="str">
        <f t="shared" si="3"/>
        <v>MCSOPF2</v>
      </c>
      <c r="R21" s="37" t="str">
        <f t="shared" si="4"/>
        <v>MCSOPF2</v>
      </c>
      <c r="S21" s="31"/>
      <c r="T21" s="185">
        <f t="shared" si="5"/>
        <v>46023</v>
      </c>
      <c r="U21" s="181">
        <v>19</v>
      </c>
    </row>
    <row r="22" spans="2:21" s="181" customFormat="1" x14ac:dyDescent="0.25">
      <c r="B22" s="182" t="s">
        <v>25</v>
      </c>
      <c r="C22" s="183"/>
      <c r="D22" s="54" t="str">
        <f>INDEX(Cad_Natureza!$B$3:$C$52,MATCH('2026'!F22,Cad_Natureza!$C$3:$C$52,0),MATCH('2026'!D$2,Cad_Natureza!$B$3:$C$3,0))</f>
        <v>OPF1</v>
      </c>
      <c r="E22" s="52" t="str">
        <f t="shared" si="6"/>
        <v>Despesa 20</v>
      </c>
      <c r="F22" s="53" t="s">
        <v>67</v>
      </c>
      <c r="G22" s="54" t="s">
        <v>25</v>
      </c>
      <c r="H22" s="55">
        <v>46030</v>
      </c>
      <c r="I22" s="55"/>
      <c r="J22" s="50" t="str">
        <f t="shared" si="7"/>
        <v>Observação da despesa 20</v>
      </c>
      <c r="K22" s="43">
        <v>-63.5</v>
      </c>
      <c r="L22" s="43">
        <f t="shared" si="8"/>
        <v>2223.46</v>
      </c>
      <c r="M22" s="183"/>
      <c r="N22" s="37" t="str">
        <f t="shared" si="0"/>
        <v>MCSOPF1CPF - Desp. Alimentação / Refeição</v>
      </c>
      <c r="O22" s="37" t="str">
        <f t="shared" si="1"/>
        <v>OPF1CPF - Desp. Alimentação / Refeição</v>
      </c>
      <c r="P22" s="37" t="str">
        <f t="shared" si="2"/>
        <v>MCSOPF1CPF - Desp. Alimentação / Refeição</v>
      </c>
      <c r="Q22" s="37" t="str">
        <f t="shared" si="3"/>
        <v>MCSOPF1</v>
      </c>
      <c r="R22" s="37" t="str">
        <f t="shared" si="4"/>
        <v>MCSOPF1</v>
      </c>
      <c r="S22" s="31"/>
      <c r="T22" s="185">
        <f t="shared" si="5"/>
        <v>46023</v>
      </c>
      <c r="U22" s="181">
        <v>20</v>
      </c>
    </row>
    <row r="23" spans="2:21" s="181" customFormat="1" x14ac:dyDescent="0.25">
      <c r="B23" s="182" t="s">
        <v>25</v>
      </c>
      <c r="C23" s="183"/>
      <c r="D23" s="54" t="str">
        <f>INDEX(Cad_Natureza!$B$3:$C$52,MATCH('2026'!F23,Cad_Natureza!$C$3:$C$52,0),MATCH('2026'!D$2,Cad_Natureza!$B$3:$C$3,0))</f>
        <v>GAST1</v>
      </c>
      <c r="E23" s="52" t="str">
        <f t="shared" si="6"/>
        <v>Despesa 21</v>
      </c>
      <c r="F23" s="53" t="s">
        <v>65</v>
      </c>
      <c r="G23" s="54" t="s">
        <v>25</v>
      </c>
      <c r="H23" s="55">
        <v>46030</v>
      </c>
      <c r="I23" s="55"/>
      <c r="J23" s="50" t="str">
        <f t="shared" si="7"/>
        <v>Observação da despesa 21</v>
      </c>
      <c r="K23" s="43">
        <v>-50</v>
      </c>
      <c r="L23" s="43">
        <f t="shared" si="8"/>
        <v>2173.46</v>
      </c>
      <c r="M23" s="183"/>
      <c r="N23" s="37" t="str">
        <f t="shared" si="0"/>
        <v>MCSGAST1CPF - Desp. Lazer e Entretenimento - Bares</v>
      </c>
      <c r="O23" s="37" t="str">
        <f t="shared" si="1"/>
        <v>GAST1CPF - Desp. Lazer e Entretenimento - Bares</v>
      </c>
      <c r="P23" s="37" t="str">
        <f t="shared" si="2"/>
        <v>MCSGAST1CPF - Desp. Lazer e Entretenimento - Bares</v>
      </c>
      <c r="Q23" s="37" t="str">
        <f t="shared" si="3"/>
        <v>MCSGAST1</v>
      </c>
      <c r="R23" s="37" t="str">
        <f t="shared" si="4"/>
        <v>MCSGAST1</v>
      </c>
      <c r="S23" s="31"/>
      <c r="T23" s="185">
        <f t="shared" si="5"/>
        <v>46023</v>
      </c>
      <c r="U23" s="181">
        <v>21</v>
      </c>
    </row>
    <row r="24" spans="2:21" s="181" customFormat="1" x14ac:dyDescent="0.25">
      <c r="B24" s="182" t="s">
        <v>25</v>
      </c>
      <c r="C24" s="183"/>
      <c r="D24" s="54" t="str">
        <f>INDEX(Cad_Natureza!$B$3:$C$52,MATCH('2026'!F24,Cad_Natureza!$C$3:$C$52,0),MATCH('2026'!D$2,Cad_Natureza!$B$3:$C$3,0))</f>
        <v>OPF1</v>
      </c>
      <c r="E24" s="52" t="str">
        <f t="shared" si="6"/>
        <v>Despesa 22</v>
      </c>
      <c r="F24" s="53" t="s">
        <v>67</v>
      </c>
      <c r="G24" s="54" t="s">
        <v>25</v>
      </c>
      <c r="H24" s="55">
        <v>46031</v>
      </c>
      <c r="I24" s="55"/>
      <c r="J24" s="50" t="str">
        <f t="shared" si="7"/>
        <v>Observação da despesa 22</v>
      </c>
      <c r="K24" s="43">
        <v>-20</v>
      </c>
      <c r="L24" s="43">
        <f t="shared" si="8"/>
        <v>2153.46</v>
      </c>
      <c r="M24" s="183"/>
      <c r="N24" s="37" t="str">
        <f t="shared" si="0"/>
        <v>MCSOPF1CPF - Desp. Alimentação / Refeição</v>
      </c>
      <c r="O24" s="37" t="str">
        <f t="shared" si="1"/>
        <v>OPF1CPF - Desp. Alimentação / Refeição</v>
      </c>
      <c r="P24" s="37" t="str">
        <f t="shared" si="2"/>
        <v>MCSOPF1CPF - Desp. Alimentação / Refeição</v>
      </c>
      <c r="Q24" s="37" t="str">
        <f t="shared" si="3"/>
        <v>MCSOPF1</v>
      </c>
      <c r="R24" s="37" t="str">
        <f t="shared" si="4"/>
        <v>MCSOPF1</v>
      </c>
      <c r="S24" s="31"/>
      <c r="T24" s="185">
        <f t="shared" si="5"/>
        <v>46023</v>
      </c>
      <c r="U24" s="181">
        <v>22</v>
      </c>
    </row>
    <row r="25" spans="2:21" s="181" customFormat="1" x14ac:dyDescent="0.25">
      <c r="B25" s="182" t="s">
        <v>25</v>
      </c>
      <c r="C25" s="183"/>
      <c r="D25" s="54" t="str">
        <f>INDEX(Cad_Natureza!$B$3:$C$52,MATCH('2026'!F25,Cad_Natureza!$C$3:$C$52,0),MATCH('2026'!D$2,Cad_Natureza!$B$3:$C$3,0))</f>
        <v>GAST1</v>
      </c>
      <c r="E25" s="52" t="str">
        <f t="shared" si="6"/>
        <v>Despesa 23</v>
      </c>
      <c r="F25" s="53" t="s">
        <v>65</v>
      </c>
      <c r="G25" s="54" t="s">
        <v>25</v>
      </c>
      <c r="H25" s="55">
        <v>46031</v>
      </c>
      <c r="I25" s="55"/>
      <c r="J25" s="50" t="str">
        <f t="shared" si="7"/>
        <v>Observação da despesa 23</v>
      </c>
      <c r="K25" s="43">
        <v>-30</v>
      </c>
      <c r="L25" s="43">
        <f t="shared" si="8"/>
        <v>2123.46</v>
      </c>
      <c r="M25" s="183"/>
      <c r="N25" s="37" t="str">
        <f t="shared" si="0"/>
        <v>MCSGAST1CPF - Desp. Lazer e Entretenimento - Bares</v>
      </c>
      <c r="O25" s="37" t="str">
        <f t="shared" si="1"/>
        <v>GAST1CPF - Desp. Lazer e Entretenimento - Bares</v>
      </c>
      <c r="P25" s="37" t="str">
        <f t="shared" si="2"/>
        <v>MCSGAST1CPF - Desp. Lazer e Entretenimento - Bares</v>
      </c>
      <c r="Q25" s="37" t="str">
        <f t="shared" si="3"/>
        <v>MCSGAST1</v>
      </c>
      <c r="R25" s="37" t="str">
        <f t="shared" si="4"/>
        <v>MCSGAST1</v>
      </c>
      <c r="S25" s="31"/>
      <c r="T25" s="185">
        <f t="shared" si="5"/>
        <v>46023</v>
      </c>
      <c r="U25" s="181">
        <v>23</v>
      </c>
    </row>
    <row r="26" spans="2:21" s="181" customFormat="1" x14ac:dyDescent="0.25">
      <c r="B26" s="182" t="s">
        <v>25</v>
      </c>
      <c r="C26" s="183"/>
      <c r="D26" s="54" t="str">
        <f>INDEX(Cad_Natureza!$B$3:$C$52,MATCH('2026'!F26,Cad_Natureza!$C$3:$C$52,0),MATCH('2026'!D$2,Cad_Natureza!$B$3:$C$3,0))</f>
        <v>OUG1</v>
      </c>
      <c r="E26" s="52" t="str">
        <f t="shared" si="6"/>
        <v>Despesa 24</v>
      </c>
      <c r="F26" s="53" t="s">
        <v>70</v>
      </c>
      <c r="G26" s="54" t="s">
        <v>25</v>
      </c>
      <c r="H26" s="55">
        <v>46031</v>
      </c>
      <c r="I26" s="55"/>
      <c r="J26" s="50" t="str">
        <f t="shared" si="7"/>
        <v>Observação da despesa 24</v>
      </c>
      <c r="K26" s="43">
        <v>-50</v>
      </c>
      <c r="L26" s="43">
        <f t="shared" si="8"/>
        <v>2073.46</v>
      </c>
      <c r="M26" s="183"/>
      <c r="N26" s="37" t="str">
        <f t="shared" si="0"/>
        <v>MCSOUG1CPF - Outros gastos</v>
      </c>
      <c r="O26" s="37" t="str">
        <f t="shared" si="1"/>
        <v>OUG1CPF - Outros gastos</v>
      </c>
      <c r="P26" s="37" t="str">
        <f t="shared" si="2"/>
        <v>MCSOUG1CPF - Outros gastos</v>
      </c>
      <c r="Q26" s="37" t="str">
        <f t="shared" si="3"/>
        <v>MCSOUG1</v>
      </c>
      <c r="R26" s="37" t="str">
        <f t="shared" si="4"/>
        <v>MCSOUG1</v>
      </c>
      <c r="S26" s="31"/>
      <c r="T26" s="185">
        <f t="shared" si="5"/>
        <v>46023</v>
      </c>
      <c r="U26" s="181">
        <v>24</v>
      </c>
    </row>
    <row r="27" spans="2:21" s="181" customFormat="1" x14ac:dyDescent="0.25">
      <c r="B27" s="182" t="s">
        <v>25</v>
      </c>
      <c r="C27" s="183"/>
      <c r="D27" s="54" t="str">
        <f>INDEX(Cad_Natureza!$B$3:$C$52,MATCH('2026'!F27,Cad_Natureza!$C$3:$C$52,0),MATCH('2026'!D$2,Cad_Natureza!$B$3:$C$3,0))</f>
        <v>OPF1</v>
      </c>
      <c r="E27" s="52" t="str">
        <f t="shared" si="6"/>
        <v>Despesa 25</v>
      </c>
      <c r="F27" s="53" t="s">
        <v>67</v>
      </c>
      <c r="G27" s="54" t="s">
        <v>25</v>
      </c>
      <c r="H27" s="55">
        <v>46031</v>
      </c>
      <c r="I27" s="55"/>
      <c r="J27" s="50" t="str">
        <f t="shared" si="7"/>
        <v>Observação da despesa 25</v>
      </c>
      <c r="K27" s="43">
        <v>-10</v>
      </c>
      <c r="L27" s="43">
        <f t="shared" si="8"/>
        <v>2063.46</v>
      </c>
      <c r="M27" s="183"/>
      <c r="N27" s="37" t="str">
        <f t="shared" si="0"/>
        <v>MCSOPF1CPF - Desp. Alimentação / Refeição</v>
      </c>
      <c r="O27" s="37" t="str">
        <f t="shared" si="1"/>
        <v>OPF1CPF - Desp. Alimentação / Refeição</v>
      </c>
      <c r="P27" s="37" t="str">
        <f t="shared" si="2"/>
        <v>MCSOPF1CPF - Desp. Alimentação / Refeição</v>
      </c>
      <c r="Q27" s="37" t="str">
        <f t="shared" si="3"/>
        <v>MCSOPF1</v>
      </c>
      <c r="R27" s="37" t="str">
        <f t="shared" si="4"/>
        <v>MCSOPF1</v>
      </c>
      <c r="S27" s="31"/>
      <c r="T27" s="185">
        <f t="shared" si="5"/>
        <v>46023</v>
      </c>
      <c r="U27" s="181">
        <v>25</v>
      </c>
    </row>
    <row r="28" spans="2:21" s="181" customFormat="1" x14ac:dyDescent="0.25">
      <c r="B28" s="182" t="s">
        <v>25</v>
      </c>
      <c r="C28" s="183"/>
      <c r="D28" s="54" t="str">
        <f>INDEX(Cad_Natureza!$B$3:$C$52,MATCH('2026'!F28,Cad_Natureza!$C$3:$C$52,0),MATCH('2026'!D$2,Cad_Natureza!$B$3:$C$3,0))</f>
        <v>OPF2</v>
      </c>
      <c r="E28" s="52" t="str">
        <f t="shared" si="6"/>
        <v>Despesa 26</v>
      </c>
      <c r="F28" s="53" t="s">
        <v>64</v>
      </c>
      <c r="G28" s="54" t="s">
        <v>25</v>
      </c>
      <c r="H28" s="55">
        <v>46031</v>
      </c>
      <c r="I28" s="55"/>
      <c r="J28" s="50" t="str">
        <f t="shared" si="7"/>
        <v>Observação da despesa 26</v>
      </c>
      <c r="K28" s="43">
        <v>-50</v>
      </c>
      <c r="L28" s="43">
        <f t="shared" si="8"/>
        <v>2013.46</v>
      </c>
      <c r="M28" s="183"/>
      <c r="N28" s="37" t="str">
        <f t="shared" si="0"/>
        <v>MCSOPF2CPF - Desp. Transporte / Combustível</v>
      </c>
      <c r="O28" s="37" t="str">
        <f t="shared" si="1"/>
        <v>OPF2CPF - Desp. Transporte / Combustível</v>
      </c>
      <c r="P28" s="37" t="str">
        <f t="shared" si="2"/>
        <v>MCSOPF2CPF - Desp. Transporte / Combustível</v>
      </c>
      <c r="Q28" s="37" t="str">
        <f t="shared" si="3"/>
        <v>MCSOPF2</v>
      </c>
      <c r="R28" s="37" t="str">
        <f t="shared" si="4"/>
        <v>MCSOPF2</v>
      </c>
      <c r="S28" s="31"/>
      <c r="T28" s="185">
        <f t="shared" si="5"/>
        <v>46023</v>
      </c>
      <c r="U28" s="181">
        <v>26</v>
      </c>
    </row>
    <row r="29" spans="2:21" s="181" customFormat="1" x14ac:dyDescent="0.25">
      <c r="B29" s="182" t="s">
        <v>25</v>
      </c>
      <c r="C29" s="183"/>
      <c r="D29" s="54" t="str">
        <f>INDEX(Cad_Natureza!$B$3:$C$52,MATCH('2026'!F29,Cad_Natureza!$C$3:$C$52,0),MATCH('2026'!D$2,Cad_Natureza!$B$3:$C$3,0))</f>
        <v>GAST1</v>
      </c>
      <c r="E29" s="52" t="str">
        <f t="shared" si="6"/>
        <v>Despesa 27</v>
      </c>
      <c r="F29" s="53" t="s">
        <v>65</v>
      </c>
      <c r="G29" s="54" t="s">
        <v>25</v>
      </c>
      <c r="H29" s="55">
        <v>46034</v>
      </c>
      <c r="I29" s="55"/>
      <c r="J29" s="50" t="str">
        <f t="shared" si="7"/>
        <v>Observação da despesa 27</v>
      </c>
      <c r="K29" s="43">
        <v>-15</v>
      </c>
      <c r="L29" s="43">
        <f t="shared" si="8"/>
        <v>1998.46</v>
      </c>
      <c r="M29" s="183"/>
      <c r="N29" s="37" t="str">
        <f t="shared" si="0"/>
        <v>MCSGAST1CPF - Desp. Lazer e Entretenimento - Bares</v>
      </c>
      <c r="O29" s="37" t="str">
        <f t="shared" si="1"/>
        <v>GAST1CPF - Desp. Lazer e Entretenimento - Bares</v>
      </c>
      <c r="P29" s="37" t="str">
        <f t="shared" si="2"/>
        <v>MCSGAST1CPF - Desp. Lazer e Entretenimento - Bares</v>
      </c>
      <c r="Q29" s="37" t="str">
        <f t="shared" si="3"/>
        <v>MCSGAST1</v>
      </c>
      <c r="R29" s="37" t="str">
        <f t="shared" si="4"/>
        <v>MCSGAST1</v>
      </c>
      <c r="S29" s="31"/>
      <c r="T29" s="185">
        <f t="shared" si="5"/>
        <v>46023</v>
      </c>
      <c r="U29" s="181">
        <v>27</v>
      </c>
    </row>
    <row r="30" spans="2:21" s="181" customFormat="1" x14ac:dyDescent="0.25">
      <c r="B30" s="182" t="s">
        <v>25</v>
      </c>
      <c r="C30" s="183"/>
      <c r="D30" s="54" t="str">
        <f>INDEX(Cad_Natureza!$B$3:$C$52,MATCH('2026'!F30,Cad_Natureza!$C$3:$C$52,0),MATCH('2026'!D$2,Cad_Natureza!$B$3:$C$3,0))</f>
        <v>GAST1</v>
      </c>
      <c r="E30" s="52" t="str">
        <f t="shared" si="6"/>
        <v>Despesa 28</v>
      </c>
      <c r="F30" s="53" t="s">
        <v>65</v>
      </c>
      <c r="G30" s="54" t="s">
        <v>25</v>
      </c>
      <c r="H30" s="55">
        <v>46034</v>
      </c>
      <c r="I30" s="55"/>
      <c r="J30" s="50" t="str">
        <f t="shared" si="7"/>
        <v>Observação da despesa 28</v>
      </c>
      <c r="K30" s="43">
        <v>-9</v>
      </c>
      <c r="L30" s="43">
        <f t="shared" si="8"/>
        <v>1989.46</v>
      </c>
      <c r="M30" s="183"/>
      <c r="N30" s="37" t="str">
        <f t="shared" si="0"/>
        <v>MCSGAST1CPF - Desp. Lazer e Entretenimento - Bares</v>
      </c>
      <c r="O30" s="37" t="str">
        <f t="shared" si="1"/>
        <v>GAST1CPF - Desp. Lazer e Entretenimento - Bares</v>
      </c>
      <c r="P30" s="37" t="str">
        <f t="shared" si="2"/>
        <v>MCSGAST1CPF - Desp. Lazer e Entretenimento - Bares</v>
      </c>
      <c r="Q30" s="37" t="str">
        <f t="shared" si="3"/>
        <v>MCSGAST1</v>
      </c>
      <c r="R30" s="37" t="str">
        <f t="shared" si="4"/>
        <v>MCSGAST1</v>
      </c>
      <c r="S30" s="31"/>
      <c r="T30" s="185">
        <f t="shared" si="5"/>
        <v>46023</v>
      </c>
      <c r="U30" s="181">
        <v>28</v>
      </c>
    </row>
    <row r="31" spans="2:21" s="181" customFormat="1" x14ac:dyDescent="0.25">
      <c r="B31" s="182" t="s">
        <v>25</v>
      </c>
      <c r="C31" s="183"/>
      <c r="D31" s="54" t="str">
        <f>INDEX(Cad_Natureza!$B$3:$C$52,MATCH('2026'!F31,Cad_Natureza!$C$3:$C$52,0),MATCH('2026'!D$2,Cad_Natureza!$B$3:$C$3,0))</f>
        <v>OUG1</v>
      </c>
      <c r="E31" s="52" t="str">
        <f t="shared" si="6"/>
        <v>Despesa 29</v>
      </c>
      <c r="F31" s="53" t="s">
        <v>70</v>
      </c>
      <c r="G31" s="54" t="s">
        <v>25</v>
      </c>
      <c r="H31" s="55">
        <v>46034</v>
      </c>
      <c r="I31" s="55"/>
      <c r="J31" s="50" t="str">
        <f t="shared" si="7"/>
        <v>Observação da despesa 29</v>
      </c>
      <c r="K31" s="43">
        <v>-8</v>
      </c>
      <c r="L31" s="43">
        <f t="shared" si="8"/>
        <v>1981.46</v>
      </c>
      <c r="M31" s="183"/>
      <c r="N31" s="37" t="str">
        <f t="shared" si="0"/>
        <v>MCSOUG1CPF - Outros gastos</v>
      </c>
      <c r="O31" s="37" t="str">
        <f t="shared" si="1"/>
        <v>OUG1CPF - Outros gastos</v>
      </c>
      <c r="P31" s="37" t="str">
        <f t="shared" si="2"/>
        <v>MCSOUG1CPF - Outros gastos</v>
      </c>
      <c r="Q31" s="37" t="str">
        <f t="shared" si="3"/>
        <v>MCSOUG1</v>
      </c>
      <c r="R31" s="37" t="str">
        <f t="shared" si="4"/>
        <v>MCSOUG1</v>
      </c>
      <c r="S31" s="31"/>
      <c r="T31" s="185">
        <f t="shared" si="5"/>
        <v>46023</v>
      </c>
      <c r="U31" s="181">
        <v>29</v>
      </c>
    </row>
    <row r="32" spans="2:21" s="181" customFormat="1" x14ac:dyDescent="0.25">
      <c r="B32" s="182" t="s">
        <v>25</v>
      </c>
      <c r="C32" s="183"/>
      <c r="D32" s="54" t="str">
        <f>INDEX(Cad_Natureza!$B$3:$C$52,MATCH('2026'!F32,Cad_Natureza!$C$3:$C$52,0),MATCH('2026'!D$2,Cad_Natureza!$B$3:$C$3,0))</f>
        <v>GAST1</v>
      </c>
      <c r="E32" s="52" t="str">
        <f t="shared" si="6"/>
        <v>Despesa 30</v>
      </c>
      <c r="F32" s="53" t="s">
        <v>65</v>
      </c>
      <c r="G32" s="54" t="s">
        <v>25</v>
      </c>
      <c r="H32" s="55">
        <v>46034</v>
      </c>
      <c r="I32" s="55"/>
      <c r="J32" s="50" t="str">
        <f t="shared" si="7"/>
        <v>Observação da despesa 30</v>
      </c>
      <c r="K32" s="43">
        <v>-22.5</v>
      </c>
      <c r="L32" s="43">
        <f t="shared" si="8"/>
        <v>1958.96</v>
      </c>
      <c r="M32" s="183"/>
      <c r="N32" s="37" t="str">
        <f t="shared" si="0"/>
        <v>MCSGAST1CPF - Desp. Lazer e Entretenimento - Bares</v>
      </c>
      <c r="O32" s="37" t="str">
        <f t="shared" si="1"/>
        <v>GAST1CPF - Desp. Lazer e Entretenimento - Bares</v>
      </c>
      <c r="P32" s="37" t="str">
        <f t="shared" si="2"/>
        <v>MCSGAST1CPF - Desp. Lazer e Entretenimento - Bares</v>
      </c>
      <c r="Q32" s="37" t="str">
        <f t="shared" si="3"/>
        <v>MCSGAST1</v>
      </c>
      <c r="R32" s="37" t="str">
        <f t="shared" si="4"/>
        <v>MCSGAST1</v>
      </c>
      <c r="S32" s="31"/>
      <c r="T32" s="185">
        <f t="shared" si="5"/>
        <v>46023</v>
      </c>
      <c r="U32" s="181">
        <v>30</v>
      </c>
    </row>
    <row r="33" spans="2:21" s="181" customFormat="1" x14ac:dyDescent="0.25">
      <c r="B33" s="182" t="s">
        <v>25</v>
      </c>
      <c r="C33" s="183"/>
      <c r="D33" s="54" t="str">
        <f>INDEX(Cad_Natureza!$B$3:$C$52,MATCH('2026'!F33,Cad_Natureza!$C$3:$C$52,0),MATCH('2026'!D$2,Cad_Natureza!$B$3:$C$3,0))</f>
        <v>OPF2</v>
      </c>
      <c r="E33" s="52" t="str">
        <f t="shared" si="6"/>
        <v>Despesa 31</v>
      </c>
      <c r="F33" s="53" t="s">
        <v>64</v>
      </c>
      <c r="G33" s="54" t="s">
        <v>25</v>
      </c>
      <c r="H33" s="55">
        <v>46034</v>
      </c>
      <c r="I33" s="55"/>
      <c r="J33" s="50" t="str">
        <f t="shared" si="7"/>
        <v>Observação da despesa 31</v>
      </c>
      <c r="K33" s="43">
        <v>-50</v>
      </c>
      <c r="L33" s="43">
        <f t="shared" si="8"/>
        <v>1908.96</v>
      </c>
      <c r="M33" s="183"/>
      <c r="N33" s="37" t="str">
        <f t="shared" si="0"/>
        <v>MCSOPF2CPF - Desp. Transporte / Combustível</v>
      </c>
      <c r="O33" s="37" t="str">
        <f t="shared" si="1"/>
        <v>OPF2CPF - Desp. Transporte / Combustível</v>
      </c>
      <c r="P33" s="37" t="str">
        <f t="shared" si="2"/>
        <v>MCSOPF2CPF - Desp. Transporte / Combustível</v>
      </c>
      <c r="Q33" s="37" t="str">
        <f t="shared" si="3"/>
        <v>MCSOPF2</v>
      </c>
      <c r="R33" s="37" t="str">
        <f t="shared" si="4"/>
        <v>MCSOPF2</v>
      </c>
      <c r="S33" s="31"/>
      <c r="T33" s="185">
        <f t="shared" si="5"/>
        <v>46023</v>
      </c>
      <c r="U33" s="181">
        <v>31</v>
      </c>
    </row>
    <row r="34" spans="2:21" s="181" customFormat="1" x14ac:dyDescent="0.25">
      <c r="B34" s="182" t="s">
        <v>25</v>
      </c>
      <c r="C34" s="183"/>
      <c r="D34" s="54" t="str">
        <f>INDEX(Cad_Natureza!$B$3:$C$52,MATCH('2026'!F34,Cad_Natureza!$C$3:$C$52,0),MATCH('2026'!D$2,Cad_Natureza!$B$3:$C$3,0))</f>
        <v>GAST1</v>
      </c>
      <c r="E34" s="52" t="str">
        <f t="shared" si="6"/>
        <v>Despesa 32</v>
      </c>
      <c r="F34" s="53" t="s">
        <v>65</v>
      </c>
      <c r="G34" s="54" t="s">
        <v>25</v>
      </c>
      <c r="H34" s="55">
        <v>46034</v>
      </c>
      <c r="I34" s="55"/>
      <c r="J34" s="50" t="str">
        <f t="shared" si="7"/>
        <v>Observação da despesa 32</v>
      </c>
      <c r="K34" s="43">
        <v>-25</v>
      </c>
      <c r="L34" s="43">
        <f t="shared" si="8"/>
        <v>1883.96</v>
      </c>
      <c r="M34" s="183"/>
      <c r="N34" s="37" t="str">
        <f t="shared" si="0"/>
        <v>MCSGAST1CPF - Desp. Lazer e Entretenimento - Bares</v>
      </c>
      <c r="O34" s="37" t="str">
        <f t="shared" si="1"/>
        <v>GAST1CPF - Desp. Lazer e Entretenimento - Bares</v>
      </c>
      <c r="P34" s="37" t="str">
        <f t="shared" si="2"/>
        <v>MCSGAST1CPF - Desp. Lazer e Entretenimento - Bares</v>
      </c>
      <c r="Q34" s="37" t="str">
        <f t="shared" si="3"/>
        <v>MCSGAST1</v>
      </c>
      <c r="R34" s="37" t="str">
        <f t="shared" si="4"/>
        <v>MCSGAST1</v>
      </c>
      <c r="S34" s="31"/>
      <c r="T34" s="185">
        <f t="shared" si="5"/>
        <v>46023</v>
      </c>
      <c r="U34" s="181">
        <v>32</v>
      </c>
    </row>
    <row r="35" spans="2:21" s="181" customFormat="1" x14ac:dyDescent="0.25">
      <c r="B35" s="182" t="s">
        <v>25</v>
      </c>
      <c r="C35" s="183"/>
      <c r="D35" s="54" t="str">
        <f>INDEX(Cad_Natureza!$B$3:$C$52,MATCH('2026'!F35,Cad_Natureza!$C$3:$C$52,0),MATCH('2026'!D$2,Cad_Natureza!$B$3:$C$3,0))</f>
        <v>GAST1</v>
      </c>
      <c r="E35" s="52" t="str">
        <f t="shared" si="6"/>
        <v>Despesa 33</v>
      </c>
      <c r="F35" s="53" t="s">
        <v>65</v>
      </c>
      <c r="G35" s="54" t="s">
        <v>25</v>
      </c>
      <c r="H35" s="55">
        <v>46034</v>
      </c>
      <c r="I35" s="55"/>
      <c r="J35" s="50" t="str">
        <f t="shared" si="7"/>
        <v>Observação da despesa 33</v>
      </c>
      <c r="K35" s="43">
        <v>-4</v>
      </c>
      <c r="L35" s="43">
        <f t="shared" si="8"/>
        <v>1879.96</v>
      </c>
      <c r="M35" s="183"/>
      <c r="N35" s="37" t="str">
        <f t="shared" si="0"/>
        <v>MCSGAST1CPF - Desp. Lazer e Entretenimento - Bares</v>
      </c>
      <c r="O35" s="37" t="str">
        <f t="shared" si="1"/>
        <v>GAST1CPF - Desp. Lazer e Entretenimento - Bares</v>
      </c>
      <c r="P35" s="37" t="str">
        <f t="shared" si="2"/>
        <v>MCSGAST1CPF - Desp. Lazer e Entretenimento - Bares</v>
      </c>
      <c r="Q35" s="37" t="str">
        <f t="shared" si="3"/>
        <v>MCSGAST1</v>
      </c>
      <c r="R35" s="37" t="str">
        <f t="shared" si="4"/>
        <v>MCSGAST1</v>
      </c>
      <c r="S35" s="31"/>
      <c r="T35" s="185">
        <f t="shared" si="5"/>
        <v>46023</v>
      </c>
      <c r="U35" s="181">
        <v>33</v>
      </c>
    </row>
    <row r="36" spans="2:21" s="181" customFormat="1" x14ac:dyDescent="0.25">
      <c r="B36" s="182" t="s">
        <v>25</v>
      </c>
      <c r="C36" s="183"/>
      <c r="D36" s="54" t="str">
        <f>INDEX(Cad_Natureza!$B$3:$C$52,MATCH('2026'!F36,Cad_Natureza!$C$3:$C$52,0),MATCH('2026'!D$2,Cad_Natureza!$B$3:$C$3,0))</f>
        <v>GAST1</v>
      </c>
      <c r="E36" s="52" t="str">
        <f t="shared" si="6"/>
        <v>Despesa 34</v>
      </c>
      <c r="F36" s="53" t="s">
        <v>65</v>
      </c>
      <c r="G36" s="54" t="s">
        <v>25</v>
      </c>
      <c r="H36" s="55">
        <v>46034</v>
      </c>
      <c r="I36" s="55"/>
      <c r="J36" s="50" t="str">
        <f t="shared" si="7"/>
        <v>Observação da despesa 34</v>
      </c>
      <c r="K36" s="43">
        <v>-18</v>
      </c>
      <c r="L36" s="43">
        <f t="shared" si="8"/>
        <v>1861.96</v>
      </c>
      <c r="M36" s="183"/>
      <c r="N36" s="37" t="str">
        <f t="shared" si="0"/>
        <v>MCSGAST1CPF - Desp. Lazer e Entretenimento - Bares</v>
      </c>
      <c r="O36" s="37" t="str">
        <f t="shared" si="1"/>
        <v>GAST1CPF - Desp. Lazer e Entretenimento - Bares</v>
      </c>
      <c r="P36" s="37" t="str">
        <f t="shared" si="2"/>
        <v>MCSGAST1CPF - Desp. Lazer e Entretenimento - Bares</v>
      </c>
      <c r="Q36" s="37" t="str">
        <f t="shared" si="3"/>
        <v>MCSGAST1</v>
      </c>
      <c r="R36" s="37" t="str">
        <f t="shared" si="4"/>
        <v>MCSGAST1</v>
      </c>
      <c r="S36" s="31"/>
      <c r="T36" s="185">
        <f t="shared" si="5"/>
        <v>46023</v>
      </c>
      <c r="U36" s="181">
        <v>34</v>
      </c>
    </row>
    <row r="37" spans="2:21" s="181" customFormat="1" x14ac:dyDescent="0.25">
      <c r="B37" s="182" t="s">
        <v>25</v>
      </c>
      <c r="C37" s="183"/>
      <c r="D37" s="54" t="str">
        <f>INDEX(Cad_Natureza!$B$3:$C$52,MATCH('2026'!F37,Cad_Natureza!$C$3:$C$52,0),MATCH('2026'!D$2,Cad_Natureza!$B$3:$C$3,0))</f>
        <v>GAST1</v>
      </c>
      <c r="E37" s="52" t="str">
        <f t="shared" si="6"/>
        <v>Despesa 35</v>
      </c>
      <c r="F37" s="53" t="s">
        <v>65</v>
      </c>
      <c r="G37" s="54" t="s">
        <v>25</v>
      </c>
      <c r="H37" s="55">
        <v>46034</v>
      </c>
      <c r="I37" s="55"/>
      <c r="J37" s="50" t="str">
        <f t="shared" si="7"/>
        <v>Observação da despesa 35</v>
      </c>
      <c r="K37" s="43">
        <v>-4</v>
      </c>
      <c r="L37" s="43">
        <f t="shared" si="8"/>
        <v>1857.96</v>
      </c>
      <c r="M37" s="183"/>
      <c r="N37" s="37" t="str">
        <f t="shared" si="0"/>
        <v>MCSGAST1CPF - Desp. Lazer e Entretenimento - Bares</v>
      </c>
      <c r="O37" s="37" t="str">
        <f t="shared" si="1"/>
        <v>GAST1CPF - Desp. Lazer e Entretenimento - Bares</v>
      </c>
      <c r="P37" s="37" t="str">
        <f t="shared" si="2"/>
        <v>MCSGAST1CPF - Desp. Lazer e Entretenimento - Bares</v>
      </c>
      <c r="Q37" s="37" t="str">
        <f t="shared" si="3"/>
        <v>MCSGAST1</v>
      </c>
      <c r="R37" s="37" t="str">
        <f t="shared" si="4"/>
        <v>MCSGAST1</v>
      </c>
      <c r="S37" s="31"/>
      <c r="T37" s="185">
        <f t="shared" si="5"/>
        <v>46023</v>
      </c>
      <c r="U37" s="181">
        <v>35</v>
      </c>
    </row>
    <row r="38" spans="2:21" s="181" customFormat="1" x14ac:dyDescent="0.25">
      <c r="B38" s="182" t="s">
        <v>25</v>
      </c>
      <c r="C38" s="183"/>
      <c r="D38" s="54" t="str">
        <f>INDEX(Cad_Natureza!$B$3:$C$52,MATCH('2026'!F38,Cad_Natureza!$C$3:$C$52,0),MATCH('2026'!D$2,Cad_Natureza!$B$3:$C$3,0))</f>
        <v>GAST1</v>
      </c>
      <c r="E38" s="52" t="str">
        <f t="shared" si="6"/>
        <v>Despesa 36</v>
      </c>
      <c r="F38" s="53" t="s">
        <v>65</v>
      </c>
      <c r="G38" s="54" t="s">
        <v>25</v>
      </c>
      <c r="H38" s="55">
        <v>46034</v>
      </c>
      <c r="I38" s="55"/>
      <c r="J38" s="50" t="str">
        <f t="shared" si="7"/>
        <v>Observação da despesa 36</v>
      </c>
      <c r="K38" s="43">
        <v>-6.4</v>
      </c>
      <c r="L38" s="43">
        <f t="shared" si="8"/>
        <v>1851.56</v>
      </c>
      <c r="M38" s="183"/>
      <c r="N38" s="37" t="str">
        <f t="shared" si="0"/>
        <v>MCSGAST1CPF - Desp. Lazer e Entretenimento - Bares</v>
      </c>
      <c r="O38" s="37" t="str">
        <f t="shared" si="1"/>
        <v>GAST1CPF - Desp. Lazer e Entretenimento - Bares</v>
      </c>
      <c r="P38" s="37" t="str">
        <f t="shared" si="2"/>
        <v>MCSGAST1CPF - Desp. Lazer e Entretenimento - Bares</v>
      </c>
      <c r="Q38" s="37" t="str">
        <f t="shared" si="3"/>
        <v>MCSGAST1</v>
      </c>
      <c r="R38" s="37" t="str">
        <f t="shared" si="4"/>
        <v>MCSGAST1</v>
      </c>
      <c r="S38" s="31"/>
      <c r="T38" s="185">
        <f t="shared" si="5"/>
        <v>46023</v>
      </c>
      <c r="U38" s="181">
        <v>36</v>
      </c>
    </row>
    <row r="39" spans="2:21" s="181" customFormat="1" x14ac:dyDescent="0.25">
      <c r="B39" s="182" t="s">
        <v>25</v>
      </c>
      <c r="C39" s="183"/>
      <c r="D39" s="54" t="str">
        <f>INDEX(Cad_Natureza!$B$3:$C$52,MATCH('2026'!F39,Cad_Natureza!$C$3:$C$52,0),MATCH('2026'!D$2,Cad_Natureza!$B$3:$C$3,0))</f>
        <v>OUG1</v>
      </c>
      <c r="E39" s="52" t="str">
        <f t="shared" si="6"/>
        <v>Despesa 37</v>
      </c>
      <c r="F39" s="53" t="s">
        <v>70</v>
      </c>
      <c r="G39" s="54" t="s">
        <v>25</v>
      </c>
      <c r="H39" s="55">
        <v>46034</v>
      </c>
      <c r="I39" s="55"/>
      <c r="J39" s="50" t="str">
        <f t="shared" si="7"/>
        <v>Observação da despesa 37</v>
      </c>
      <c r="K39" s="43">
        <v>-25</v>
      </c>
      <c r="L39" s="43">
        <f t="shared" si="8"/>
        <v>1826.56</v>
      </c>
      <c r="M39" s="183"/>
      <c r="N39" s="37" t="str">
        <f t="shared" si="0"/>
        <v>MCSOUG1CPF - Outros gastos</v>
      </c>
      <c r="O39" s="37" t="str">
        <f t="shared" si="1"/>
        <v>OUG1CPF - Outros gastos</v>
      </c>
      <c r="P39" s="37" t="str">
        <f t="shared" si="2"/>
        <v>MCSOUG1CPF - Outros gastos</v>
      </c>
      <c r="Q39" s="37" t="str">
        <f t="shared" si="3"/>
        <v>MCSOUG1</v>
      </c>
      <c r="R39" s="37" t="str">
        <f t="shared" si="4"/>
        <v>MCSOUG1</v>
      </c>
      <c r="S39" s="31"/>
      <c r="T39" s="185">
        <f t="shared" si="5"/>
        <v>46023</v>
      </c>
      <c r="U39" s="181">
        <v>37</v>
      </c>
    </row>
    <row r="40" spans="2:21" s="181" customFormat="1" x14ac:dyDescent="0.25">
      <c r="B40" s="182" t="s">
        <v>25</v>
      </c>
      <c r="C40" s="183"/>
      <c r="D40" s="54" t="str">
        <f>INDEX(Cad_Natureza!$B$3:$C$52,MATCH('2026'!F40,Cad_Natureza!$C$3:$C$52,0),MATCH('2026'!D$2,Cad_Natureza!$B$3:$C$3,0))</f>
        <v>FIN1</v>
      </c>
      <c r="E40" s="52" t="str">
        <f t="shared" si="6"/>
        <v>Despesa 38</v>
      </c>
      <c r="F40" s="53" t="s">
        <v>36</v>
      </c>
      <c r="G40" s="54" t="s">
        <v>25</v>
      </c>
      <c r="H40" s="55">
        <v>46034</v>
      </c>
      <c r="I40" s="55"/>
      <c r="J40" s="50" t="str">
        <f t="shared" si="7"/>
        <v>Observação da despesa 38</v>
      </c>
      <c r="K40" s="43">
        <v>-200</v>
      </c>
      <c r="L40" s="43">
        <f t="shared" si="8"/>
        <v>1626.56</v>
      </c>
      <c r="M40" s="183"/>
      <c r="N40" s="37" t="str">
        <f t="shared" si="0"/>
        <v>MCSFIN1CPF - Desp. Financeiras - Empréstimos</v>
      </c>
      <c r="O40" s="37" t="str">
        <f t="shared" si="1"/>
        <v>FIN1CPF - Desp. Financeiras - Empréstimos</v>
      </c>
      <c r="P40" s="37" t="str">
        <f t="shared" si="2"/>
        <v>MCSFIN1CPF - Desp. Financeiras - Empréstimos</v>
      </c>
      <c r="Q40" s="37" t="str">
        <f t="shared" si="3"/>
        <v>MCSFIN1</v>
      </c>
      <c r="R40" s="37" t="str">
        <f t="shared" si="4"/>
        <v>MCSFIN1</v>
      </c>
      <c r="S40" s="31"/>
      <c r="T40" s="185">
        <f t="shared" si="5"/>
        <v>46023</v>
      </c>
      <c r="U40" s="181">
        <v>38</v>
      </c>
    </row>
    <row r="41" spans="2:21" s="181" customFormat="1" x14ac:dyDescent="0.25">
      <c r="B41" s="182" t="s">
        <v>25</v>
      </c>
      <c r="C41" s="183"/>
      <c r="D41" s="54" t="str">
        <f>INDEX(Cad_Natureza!$B$3:$C$52,MATCH('2026'!F41,Cad_Natureza!$C$3:$C$52,0),MATCH('2026'!D$2,Cad_Natureza!$B$3:$C$3,0))</f>
        <v>GAST1</v>
      </c>
      <c r="E41" s="52" t="str">
        <f t="shared" si="6"/>
        <v>Despesa 39</v>
      </c>
      <c r="F41" s="53" t="s">
        <v>65</v>
      </c>
      <c r="G41" s="54" t="s">
        <v>25</v>
      </c>
      <c r="H41" s="55">
        <v>46034</v>
      </c>
      <c r="I41" s="55"/>
      <c r="J41" s="50" t="str">
        <f t="shared" si="7"/>
        <v>Observação da despesa 39</v>
      </c>
      <c r="K41" s="43">
        <v>-19</v>
      </c>
      <c r="L41" s="43">
        <f t="shared" si="8"/>
        <v>1607.56</v>
      </c>
      <c r="M41" s="183"/>
      <c r="N41" s="37" t="str">
        <f t="shared" si="0"/>
        <v>MCSGAST1CPF - Desp. Lazer e Entretenimento - Bares</v>
      </c>
      <c r="O41" s="37" t="str">
        <f t="shared" si="1"/>
        <v>GAST1CPF - Desp. Lazer e Entretenimento - Bares</v>
      </c>
      <c r="P41" s="37" t="str">
        <f t="shared" si="2"/>
        <v>MCSGAST1CPF - Desp. Lazer e Entretenimento - Bares</v>
      </c>
      <c r="Q41" s="37" t="str">
        <f t="shared" si="3"/>
        <v>MCSGAST1</v>
      </c>
      <c r="R41" s="37" t="str">
        <f t="shared" si="4"/>
        <v>MCSGAST1</v>
      </c>
      <c r="S41" s="31"/>
      <c r="T41" s="185">
        <f t="shared" si="5"/>
        <v>46023</v>
      </c>
      <c r="U41" s="181">
        <v>39</v>
      </c>
    </row>
    <row r="42" spans="2:21" s="181" customFormat="1" x14ac:dyDescent="0.25">
      <c r="B42" s="182" t="s">
        <v>25</v>
      </c>
      <c r="C42" s="183"/>
      <c r="D42" s="54" t="str">
        <f>INDEX(Cad_Natureza!$B$3:$C$52,MATCH('2026'!F42,Cad_Natureza!$C$3:$C$52,0),MATCH('2026'!D$2,Cad_Natureza!$B$3:$C$3,0))</f>
        <v>OPF2</v>
      </c>
      <c r="E42" s="52" t="str">
        <f t="shared" si="6"/>
        <v>Despesa 40</v>
      </c>
      <c r="F42" s="53" t="s">
        <v>64</v>
      </c>
      <c r="G42" s="54" t="s">
        <v>25</v>
      </c>
      <c r="H42" s="55">
        <v>46034</v>
      </c>
      <c r="I42" s="55"/>
      <c r="J42" s="50" t="str">
        <f t="shared" si="7"/>
        <v>Observação da despesa 40</v>
      </c>
      <c r="K42" s="43">
        <v>-50</v>
      </c>
      <c r="L42" s="43">
        <f t="shared" si="8"/>
        <v>1557.56</v>
      </c>
      <c r="M42" s="183"/>
      <c r="N42" s="37" t="str">
        <f t="shared" si="0"/>
        <v>MCSOPF2CPF - Desp. Transporte / Combustível</v>
      </c>
      <c r="O42" s="37" t="str">
        <f t="shared" si="1"/>
        <v>OPF2CPF - Desp. Transporte / Combustível</v>
      </c>
      <c r="P42" s="37" t="str">
        <f t="shared" si="2"/>
        <v>MCSOPF2CPF - Desp. Transporte / Combustível</v>
      </c>
      <c r="Q42" s="37" t="str">
        <f t="shared" si="3"/>
        <v>MCSOPF2</v>
      </c>
      <c r="R42" s="37" t="str">
        <f t="shared" si="4"/>
        <v>MCSOPF2</v>
      </c>
      <c r="S42" s="31"/>
      <c r="T42" s="185">
        <f t="shared" si="5"/>
        <v>46023</v>
      </c>
      <c r="U42" s="181">
        <v>40</v>
      </c>
    </row>
    <row r="43" spans="2:21" s="181" customFormat="1" x14ac:dyDescent="0.25">
      <c r="B43" s="182" t="s">
        <v>25</v>
      </c>
      <c r="C43" s="183"/>
      <c r="D43" s="54" t="str">
        <f>INDEX(Cad_Natureza!$B$3:$C$52,MATCH('2026'!F43,Cad_Natureza!$C$3:$C$52,0),MATCH('2026'!D$2,Cad_Natureza!$B$3:$C$3,0))</f>
        <v>FIN3</v>
      </c>
      <c r="E43" s="52" t="str">
        <f t="shared" si="6"/>
        <v>Despesa 41</v>
      </c>
      <c r="F43" s="53" t="s">
        <v>113</v>
      </c>
      <c r="G43" s="54" t="s">
        <v>25</v>
      </c>
      <c r="H43" s="55">
        <v>46034</v>
      </c>
      <c r="I43" s="55"/>
      <c r="J43" s="50" t="str">
        <f t="shared" si="7"/>
        <v>Observação da despesa 41</v>
      </c>
      <c r="K43" s="43">
        <v>-290.26</v>
      </c>
      <c r="L43" s="43">
        <f t="shared" si="8"/>
        <v>1267.3</v>
      </c>
      <c r="M43" s="183"/>
      <c r="N43" s="37" t="str">
        <f t="shared" si="0"/>
        <v>MCSFIN3CPF - Desp. Financeiras - Empréstimos bancários</v>
      </c>
      <c r="O43" s="37" t="str">
        <f t="shared" si="1"/>
        <v>FIN3CPF - Desp. Financeiras - Empréstimos bancários</v>
      </c>
      <c r="P43" s="37" t="str">
        <f t="shared" si="2"/>
        <v>MCSFIN3CPF - Desp. Financeiras - Empréstimos bancários</v>
      </c>
      <c r="Q43" s="37" t="str">
        <f t="shared" si="3"/>
        <v>MCSFIN3</v>
      </c>
      <c r="R43" s="37" t="str">
        <f t="shared" si="4"/>
        <v>MCSFIN3</v>
      </c>
      <c r="S43" s="31"/>
      <c r="T43" s="185">
        <f t="shared" si="5"/>
        <v>46023</v>
      </c>
      <c r="U43" s="181">
        <v>41</v>
      </c>
    </row>
    <row r="44" spans="2:21" s="181" customFormat="1" x14ac:dyDescent="0.25">
      <c r="B44" s="182" t="s">
        <v>25</v>
      </c>
      <c r="C44" s="183"/>
      <c r="D44" s="54" t="str">
        <f>INDEX(Cad_Natureza!$B$3:$C$52,MATCH('2026'!F44,Cad_Natureza!$C$3:$C$52,0),MATCH('2026'!D$2,Cad_Natureza!$B$3:$C$3,0))</f>
        <v>FIN3</v>
      </c>
      <c r="E44" s="52" t="str">
        <f t="shared" si="6"/>
        <v>Despesa 42</v>
      </c>
      <c r="F44" s="53" t="s">
        <v>113</v>
      </c>
      <c r="G44" s="54" t="s">
        <v>25</v>
      </c>
      <c r="H44" s="55">
        <v>46034</v>
      </c>
      <c r="I44" s="55"/>
      <c r="J44" s="50" t="str">
        <f t="shared" si="7"/>
        <v>Observação da despesa 42</v>
      </c>
      <c r="K44" s="43">
        <v>-6.79</v>
      </c>
      <c r="L44" s="43">
        <f t="shared" si="8"/>
        <v>1260.51</v>
      </c>
      <c r="M44" s="183"/>
      <c r="N44" s="37" t="str">
        <f t="shared" si="0"/>
        <v>MCSFIN3CPF - Desp. Financeiras - Empréstimos bancários</v>
      </c>
      <c r="O44" s="37" t="str">
        <f t="shared" si="1"/>
        <v>FIN3CPF - Desp. Financeiras - Empréstimos bancários</v>
      </c>
      <c r="P44" s="37" t="str">
        <f t="shared" si="2"/>
        <v>MCSFIN3CPF - Desp. Financeiras - Empréstimos bancários</v>
      </c>
      <c r="Q44" s="37" t="str">
        <f t="shared" si="3"/>
        <v>MCSFIN3</v>
      </c>
      <c r="R44" s="37" t="str">
        <f t="shared" si="4"/>
        <v>MCSFIN3</v>
      </c>
      <c r="S44" s="31"/>
      <c r="T44" s="185">
        <f t="shared" si="5"/>
        <v>46023</v>
      </c>
      <c r="U44" s="181">
        <v>42</v>
      </c>
    </row>
    <row r="45" spans="2:21" s="181" customFormat="1" x14ac:dyDescent="0.25">
      <c r="B45" s="182" t="s">
        <v>25</v>
      </c>
      <c r="C45" s="183"/>
      <c r="D45" s="54" t="str">
        <f>INDEX(Cad_Natureza!$B$3:$C$52,MATCH('2026'!F45,Cad_Natureza!$C$3:$C$52,0),MATCH('2026'!D$2,Cad_Natureza!$B$3:$C$3,0))</f>
        <v>GAST2</v>
      </c>
      <c r="E45" s="52" t="str">
        <f t="shared" si="6"/>
        <v>Despesa 43</v>
      </c>
      <c r="F45" s="53" t="s">
        <v>66</v>
      </c>
      <c r="G45" s="54" t="s">
        <v>25</v>
      </c>
      <c r="H45" s="55">
        <v>46034</v>
      </c>
      <c r="I45" s="55"/>
      <c r="J45" s="50" t="str">
        <f t="shared" si="7"/>
        <v>Observação da despesa 43</v>
      </c>
      <c r="K45" s="43">
        <v>-40</v>
      </c>
      <c r="L45" s="43">
        <f t="shared" si="8"/>
        <v>1220.51</v>
      </c>
      <c r="M45" s="183"/>
      <c r="N45" s="37" t="str">
        <f t="shared" si="0"/>
        <v>MCSGAST2CPF - Desp. Lazer e Entretenimento - Cigarro</v>
      </c>
      <c r="O45" s="37" t="str">
        <f t="shared" si="1"/>
        <v>GAST2CPF - Desp. Lazer e Entretenimento - Cigarro</v>
      </c>
      <c r="P45" s="37" t="str">
        <f t="shared" si="2"/>
        <v>MCSGAST2CPF - Desp. Lazer e Entretenimento - Cigarro</v>
      </c>
      <c r="Q45" s="37" t="str">
        <f t="shared" si="3"/>
        <v>MCSGAST2</v>
      </c>
      <c r="R45" s="37" t="str">
        <f t="shared" si="4"/>
        <v>MCSGAST2</v>
      </c>
      <c r="S45" s="31"/>
      <c r="T45" s="185">
        <f t="shared" si="5"/>
        <v>46023</v>
      </c>
      <c r="U45" s="181">
        <v>43</v>
      </c>
    </row>
    <row r="46" spans="2:21" s="181" customFormat="1" x14ac:dyDescent="0.25">
      <c r="B46" s="182" t="s">
        <v>25</v>
      </c>
      <c r="C46" s="183"/>
      <c r="D46" s="54" t="str">
        <f>INDEX(Cad_Natureza!$B$3:$C$52,MATCH('2026'!F46,Cad_Natureza!$C$3:$C$52,0),MATCH('2026'!D$2,Cad_Natureza!$B$3:$C$3,0))</f>
        <v>PENS1</v>
      </c>
      <c r="E46" s="52" t="str">
        <f t="shared" si="6"/>
        <v>Despesa 44</v>
      </c>
      <c r="F46" s="53" t="s">
        <v>40</v>
      </c>
      <c r="G46" s="54" t="s">
        <v>25</v>
      </c>
      <c r="H46" s="55">
        <v>46034</v>
      </c>
      <c r="I46" s="55"/>
      <c r="J46" s="50" t="str">
        <f t="shared" si="7"/>
        <v>Observação da despesa 44</v>
      </c>
      <c r="K46" s="43">
        <v>-700</v>
      </c>
      <c r="L46" s="43">
        <f t="shared" si="8"/>
        <v>520.51</v>
      </c>
      <c r="M46" s="183"/>
      <c r="N46" s="37" t="str">
        <f t="shared" ref="N46:N85" si="9">B46&amp;D46&amp;F46</f>
        <v>MCSPENS1CPF - Pensão - Aluguel</v>
      </c>
      <c r="O46" s="37" t="str">
        <f t="shared" ref="O46:O85" si="10">D46&amp;F46</f>
        <v>PENS1CPF - Pensão - Aluguel</v>
      </c>
      <c r="P46" s="37" t="str">
        <f t="shared" ref="P46:P85" si="11">"MCS"&amp;D46&amp;F46</f>
        <v>MCSPENS1CPF - Pensão - Aluguel</v>
      </c>
      <c r="Q46" s="37" t="str">
        <f t="shared" ref="Q46:Q85" si="12">"MCS"&amp;D46</f>
        <v>MCSPENS1</v>
      </c>
      <c r="R46" s="37" t="str">
        <f t="shared" ref="R46:R85" si="13">B46&amp;D46</f>
        <v>MCSPENS1</v>
      </c>
      <c r="S46" s="31"/>
      <c r="T46" s="185">
        <f t="shared" ref="T46:T85" si="14">(1&amp;"/"&amp;MONTH(H46)&amp;"/"&amp;YEAR(H46))*1</f>
        <v>46023</v>
      </c>
      <c r="U46" s="181">
        <v>44</v>
      </c>
    </row>
    <row r="47" spans="2:21" s="177" customFormat="1" x14ac:dyDescent="0.25">
      <c r="B47" s="174" t="s">
        <v>25</v>
      </c>
      <c r="C47" s="51"/>
      <c r="D47" s="44" t="str">
        <f>INDEX(Cad_Natureza!$B$3:$C$52,MATCH('2026'!F47,Cad_Natureza!$C$3:$C$52,0),MATCH('2026'!D$2,Cad_Natureza!$B$3:$C$3,0))</f>
        <v>REC4</v>
      </c>
      <c r="E47" s="45" t="str">
        <f t="shared" si="6"/>
        <v>Receita 45</v>
      </c>
      <c r="F47" s="46" t="s">
        <v>57</v>
      </c>
      <c r="G47" s="44" t="s">
        <v>25</v>
      </c>
      <c r="H47" s="47">
        <v>46034</v>
      </c>
      <c r="I47" s="47"/>
      <c r="J47" s="48" t="str">
        <f t="shared" si="7"/>
        <v>Observação da receita 45</v>
      </c>
      <c r="K47" s="49">
        <v>1900</v>
      </c>
      <c r="L47" s="49">
        <f t="shared" si="8"/>
        <v>2420.5100000000002</v>
      </c>
      <c r="M47" s="51"/>
      <c r="N47" s="175" t="str">
        <f t="shared" si="9"/>
        <v>MCSREC4CPF - Transf. Da conta PJ para a conta PF</v>
      </c>
      <c r="O47" s="175" t="str">
        <f t="shared" si="10"/>
        <v>REC4CPF - Transf. Da conta PJ para a conta PF</v>
      </c>
      <c r="P47" s="175" t="str">
        <f t="shared" si="11"/>
        <v>MCSREC4CPF - Transf. Da conta PJ para a conta PF</v>
      </c>
      <c r="Q47" s="175" t="str">
        <f t="shared" si="12"/>
        <v>MCSREC4</v>
      </c>
      <c r="R47" s="175" t="str">
        <f t="shared" si="13"/>
        <v>MCSREC4</v>
      </c>
      <c r="S47" s="51"/>
      <c r="T47" s="176">
        <f t="shared" si="14"/>
        <v>46023</v>
      </c>
      <c r="U47" s="181">
        <v>45</v>
      </c>
    </row>
    <row r="48" spans="2:21" s="181" customFormat="1" x14ac:dyDescent="0.25">
      <c r="B48" s="182" t="s">
        <v>25</v>
      </c>
      <c r="C48" s="183"/>
      <c r="D48" s="54" t="str">
        <f>INDEX(Cad_Natureza!$B$3:$C$52,MATCH('2026'!F48,Cad_Natureza!$C$3:$C$52,0),MATCH('2026'!D$2,Cad_Natureza!$B$3:$C$3,0))</f>
        <v>PENS2</v>
      </c>
      <c r="E48" s="52" t="str">
        <f t="shared" si="6"/>
        <v>Despesa 46</v>
      </c>
      <c r="F48" s="53" t="s">
        <v>38</v>
      </c>
      <c r="G48" s="54" t="s">
        <v>25</v>
      </c>
      <c r="H48" s="55">
        <v>46034</v>
      </c>
      <c r="I48" s="55"/>
      <c r="J48" s="50" t="str">
        <f t="shared" si="7"/>
        <v>Observação da despesa 46</v>
      </c>
      <c r="K48" s="43">
        <v>-816.87</v>
      </c>
      <c r="L48" s="43">
        <f t="shared" si="8"/>
        <v>1603.6400000000003</v>
      </c>
      <c r="M48" s="183"/>
      <c r="N48" s="37" t="str">
        <f t="shared" si="9"/>
        <v>MCSPENS2CPF - Pensão - Energia</v>
      </c>
      <c r="O48" s="37" t="str">
        <f t="shared" si="10"/>
        <v>PENS2CPF - Pensão - Energia</v>
      </c>
      <c r="P48" s="37" t="str">
        <f t="shared" si="11"/>
        <v>MCSPENS2CPF - Pensão - Energia</v>
      </c>
      <c r="Q48" s="37" t="str">
        <f t="shared" si="12"/>
        <v>MCSPENS2</v>
      </c>
      <c r="R48" s="37" t="str">
        <f t="shared" si="13"/>
        <v>MCSPENS2</v>
      </c>
      <c r="S48" s="31"/>
      <c r="T48" s="185">
        <f t="shared" si="14"/>
        <v>46023</v>
      </c>
      <c r="U48" s="181">
        <v>46</v>
      </c>
    </row>
    <row r="49" spans="2:21" s="181" customFormat="1" x14ac:dyDescent="0.25">
      <c r="B49" s="182" t="s">
        <v>25</v>
      </c>
      <c r="C49" s="183"/>
      <c r="D49" s="54" t="str">
        <f>INDEX(Cad_Natureza!$B$3:$C$52,MATCH('2026'!F49,Cad_Natureza!$C$3:$C$52,0),MATCH('2026'!D$2,Cad_Natureza!$B$3:$C$3,0))</f>
        <v>GAST1</v>
      </c>
      <c r="E49" s="52" t="str">
        <f t="shared" si="6"/>
        <v>Despesa 47</v>
      </c>
      <c r="F49" s="53" t="s">
        <v>65</v>
      </c>
      <c r="G49" s="54" t="s">
        <v>25</v>
      </c>
      <c r="H49" s="55">
        <v>46034</v>
      </c>
      <c r="I49" s="55"/>
      <c r="J49" s="50" t="str">
        <f t="shared" si="7"/>
        <v>Observação da despesa 47</v>
      </c>
      <c r="K49" s="43">
        <v>-4</v>
      </c>
      <c r="L49" s="43">
        <f t="shared" si="8"/>
        <v>1599.6400000000003</v>
      </c>
      <c r="M49" s="183"/>
      <c r="N49" s="37" t="str">
        <f t="shared" si="9"/>
        <v>MCSGAST1CPF - Desp. Lazer e Entretenimento - Bares</v>
      </c>
      <c r="O49" s="37" t="str">
        <f t="shared" si="10"/>
        <v>GAST1CPF - Desp. Lazer e Entretenimento - Bares</v>
      </c>
      <c r="P49" s="37" t="str">
        <f t="shared" si="11"/>
        <v>MCSGAST1CPF - Desp. Lazer e Entretenimento - Bares</v>
      </c>
      <c r="Q49" s="37" t="str">
        <f t="shared" si="12"/>
        <v>MCSGAST1</v>
      </c>
      <c r="R49" s="37" t="str">
        <f t="shared" si="13"/>
        <v>MCSGAST1</v>
      </c>
      <c r="S49" s="31"/>
      <c r="T49" s="185">
        <f t="shared" si="14"/>
        <v>46023</v>
      </c>
      <c r="U49" s="181">
        <v>47</v>
      </c>
    </row>
    <row r="50" spans="2:21" s="181" customFormat="1" x14ac:dyDescent="0.25">
      <c r="B50" s="182" t="s">
        <v>25</v>
      </c>
      <c r="C50" s="183"/>
      <c r="D50" s="54" t="str">
        <f>INDEX(Cad_Natureza!$B$3:$C$52,MATCH('2026'!F50,Cad_Natureza!$C$3:$C$52,0),MATCH('2026'!D$2,Cad_Natureza!$B$3:$C$3,0))</f>
        <v>GAST1</v>
      </c>
      <c r="E50" s="52" t="str">
        <f t="shared" si="6"/>
        <v>Despesa 48</v>
      </c>
      <c r="F50" s="53" t="s">
        <v>65</v>
      </c>
      <c r="G50" s="54" t="s">
        <v>25</v>
      </c>
      <c r="H50" s="55">
        <v>46034</v>
      </c>
      <c r="I50" s="55"/>
      <c r="J50" s="50" t="str">
        <f t="shared" si="7"/>
        <v>Observação da despesa 48</v>
      </c>
      <c r="K50" s="43">
        <v>-6</v>
      </c>
      <c r="L50" s="43">
        <f t="shared" si="8"/>
        <v>1593.6400000000003</v>
      </c>
      <c r="M50" s="183"/>
      <c r="N50" s="37" t="str">
        <f t="shared" si="9"/>
        <v>MCSGAST1CPF - Desp. Lazer e Entretenimento - Bares</v>
      </c>
      <c r="O50" s="37" t="str">
        <f t="shared" si="10"/>
        <v>GAST1CPF - Desp. Lazer e Entretenimento - Bares</v>
      </c>
      <c r="P50" s="37" t="str">
        <f t="shared" si="11"/>
        <v>MCSGAST1CPF - Desp. Lazer e Entretenimento - Bares</v>
      </c>
      <c r="Q50" s="37" t="str">
        <f t="shared" si="12"/>
        <v>MCSGAST1</v>
      </c>
      <c r="R50" s="37" t="str">
        <f t="shared" si="13"/>
        <v>MCSGAST1</v>
      </c>
      <c r="S50" s="31"/>
      <c r="T50" s="185">
        <f t="shared" si="14"/>
        <v>46023</v>
      </c>
      <c r="U50" s="181">
        <v>48</v>
      </c>
    </row>
    <row r="51" spans="2:21" s="181" customFormat="1" x14ac:dyDescent="0.25">
      <c r="B51" s="182" t="s">
        <v>25</v>
      </c>
      <c r="C51" s="183"/>
      <c r="D51" s="54" t="str">
        <f>INDEX(Cad_Natureza!$B$3:$C$52,MATCH('2026'!F51,Cad_Natureza!$C$3:$C$52,0),MATCH('2026'!D$2,Cad_Natureza!$B$3:$C$3,0))</f>
        <v>GAST1</v>
      </c>
      <c r="E51" s="52" t="str">
        <f t="shared" si="6"/>
        <v>Despesa 49</v>
      </c>
      <c r="F51" s="53" t="s">
        <v>65</v>
      </c>
      <c r="G51" s="54" t="s">
        <v>25</v>
      </c>
      <c r="H51" s="55">
        <v>46034</v>
      </c>
      <c r="I51" s="55"/>
      <c r="J51" s="50" t="str">
        <f t="shared" si="7"/>
        <v>Observação da despesa 49</v>
      </c>
      <c r="K51" s="43">
        <v>-4</v>
      </c>
      <c r="L51" s="43">
        <f t="shared" si="8"/>
        <v>1589.6400000000003</v>
      </c>
      <c r="M51" s="183"/>
      <c r="N51" s="37" t="str">
        <f t="shared" si="9"/>
        <v>MCSGAST1CPF - Desp. Lazer e Entretenimento - Bares</v>
      </c>
      <c r="O51" s="37" t="str">
        <f t="shared" si="10"/>
        <v>GAST1CPF - Desp. Lazer e Entretenimento - Bares</v>
      </c>
      <c r="P51" s="37" t="str">
        <f t="shared" si="11"/>
        <v>MCSGAST1CPF - Desp. Lazer e Entretenimento - Bares</v>
      </c>
      <c r="Q51" s="37" t="str">
        <f t="shared" si="12"/>
        <v>MCSGAST1</v>
      </c>
      <c r="R51" s="37" t="str">
        <f t="shared" si="13"/>
        <v>MCSGAST1</v>
      </c>
      <c r="S51" s="31"/>
      <c r="T51" s="185">
        <f t="shared" si="14"/>
        <v>46023</v>
      </c>
      <c r="U51" s="181">
        <v>49</v>
      </c>
    </row>
    <row r="52" spans="2:21" s="181" customFormat="1" x14ac:dyDescent="0.25">
      <c r="B52" s="182" t="s">
        <v>25</v>
      </c>
      <c r="C52" s="183"/>
      <c r="D52" s="54" t="str">
        <f>INDEX(Cad_Natureza!$B$3:$C$52,MATCH('2026'!F52,Cad_Natureza!$C$3:$C$52,0),MATCH('2026'!D$2,Cad_Natureza!$B$3:$C$3,0))</f>
        <v>OPF1</v>
      </c>
      <c r="E52" s="52" t="str">
        <f t="shared" si="6"/>
        <v>Despesa 50</v>
      </c>
      <c r="F52" s="53" t="s">
        <v>67</v>
      </c>
      <c r="G52" s="54" t="s">
        <v>25</v>
      </c>
      <c r="H52" s="55">
        <v>46035</v>
      </c>
      <c r="I52" s="55"/>
      <c r="J52" s="50" t="str">
        <f t="shared" si="7"/>
        <v>Observação da despesa 50</v>
      </c>
      <c r="K52" s="43">
        <v>-22</v>
      </c>
      <c r="L52" s="43">
        <f t="shared" si="8"/>
        <v>1567.6400000000003</v>
      </c>
      <c r="M52" s="183"/>
      <c r="N52" s="37" t="str">
        <f t="shared" si="9"/>
        <v>MCSOPF1CPF - Desp. Alimentação / Refeição</v>
      </c>
      <c r="O52" s="37" t="str">
        <f t="shared" si="10"/>
        <v>OPF1CPF - Desp. Alimentação / Refeição</v>
      </c>
      <c r="P52" s="37" t="str">
        <f t="shared" si="11"/>
        <v>MCSOPF1CPF - Desp. Alimentação / Refeição</v>
      </c>
      <c r="Q52" s="37" t="str">
        <f t="shared" si="12"/>
        <v>MCSOPF1</v>
      </c>
      <c r="R52" s="37" t="str">
        <f t="shared" si="13"/>
        <v>MCSOPF1</v>
      </c>
      <c r="S52" s="31"/>
      <c r="T52" s="185">
        <f t="shared" si="14"/>
        <v>46023</v>
      </c>
      <c r="U52" s="181">
        <v>50</v>
      </c>
    </row>
    <row r="53" spans="2:21" s="181" customFormat="1" x14ac:dyDescent="0.25">
      <c r="B53" s="182" t="s">
        <v>25</v>
      </c>
      <c r="C53" s="183"/>
      <c r="D53" s="54" t="str">
        <f>INDEX(Cad_Natureza!$B$3:$C$52,MATCH('2026'!F53,Cad_Natureza!$C$3:$C$52,0),MATCH('2026'!D$2,Cad_Natureza!$B$3:$C$3,0))</f>
        <v>OPF1</v>
      </c>
      <c r="E53" s="52" t="str">
        <f t="shared" si="6"/>
        <v>Despesa 51</v>
      </c>
      <c r="F53" s="53" t="s">
        <v>67</v>
      </c>
      <c r="G53" s="54" t="s">
        <v>25</v>
      </c>
      <c r="H53" s="55">
        <v>46036</v>
      </c>
      <c r="I53" s="55"/>
      <c r="J53" s="50" t="str">
        <f t="shared" si="7"/>
        <v>Observação da despesa 51</v>
      </c>
      <c r="K53" s="43">
        <v>-23.5</v>
      </c>
      <c r="L53" s="43">
        <f t="shared" si="8"/>
        <v>1544.1400000000003</v>
      </c>
      <c r="M53" s="183"/>
      <c r="N53" s="37" t="str">
        <f t="shared" si="9"/>
        <v>MCSOPF1CPF - Desp. Alimentação / Refeição</v>
      </c>
      <c r="O53" s="37" t="str">
        <f t="shared" si="10"/>
        <v>OPF1CPF - Desp. Alimentação / Refeição</v>
      </c>
      <c r="P53" s="37" t="str">
        <f t="shared" si="11"/>
        <v>MCSOPF1CPF - Desp. Alimentação / Refeição</v>
      </c>
      <c r="Q53" s="37" t="str">
        <f t="shared" si="12"/>
        <v>MCSOPF1</v>
      </c>
      <c r="R53" s="37" t="str">
        <f t="shared" si="13"/>
        <v>MCSOPF1</v>
      </c>
      <c r="S53" s="31"/>
      <c r="T53" s="185">
        <f t="shared" si="14"/>
        <v>46023</v>
      </c>
      <c r="U53" s="181">
        <v>51</v>
      </c>
    </row>
    <row r="54" spans="2:21" s="181" customFormat="1" x14ac:dyDescent="0.25">
      <c r="B54" s="182" t="s">
        <v>25</v>
      </c>
      <c r="C54" s="183"/>
      <c r="D54" s="54" t="str">
        <f>INDEX(Cad_Natureza!$B$3:$C$52,MATCH('2026'!F54,Cad_Natureza!$C$3:$C$52,0),MATCH('2026'!D$2,Cad_Natureza!$B$3:$C$3,0))</f>
        <v>GAST1</v>
      </c>
      <c r="E54" s="52" t="str">
        <f t="shared" si="6"/>
        <v>Despesa 52</v>
      </c>
      <c r="F54" s="53" t="s">
        <v>65</v>
      </c>
      <c r="G54" s="54" t="s">
        <v>25</v>
      </c>
      <c r="H54" s="55">
        <v>46036</v>
      </c>
      <c r="I54" s="55"/>
      <c r="J54" s="50" t="str">
        <f t="shared" si="7"/>
        <v>Observação da despesa 52</v>
      </c>
      <c r="K54" s="43">
        <v>-31</v>
      </c>
      <c r="L54" s="43">
        <f t="shared" si="8"/>
        <v>1513.1400000000003</v>
      </c>
      <c r="M54" s="183"/>
      <c r="N54" s="37" t="str">
        <f t="shared" si="9"/>
        <v>MCSGAST1CPF - Desp. Lazer e Entretenimento - Bares</v>
      </c>
      <c r="O54" s="37" t="str">
        <f t="shared" si="10"/>
        <v>GAST1CPF - Desp. Lazer e Entretenimento - Bares</v>
      </c>
      <c r="P54" s="37" t="str">
        <f t="shared" si="11"/>
        <v>MCSGAST1CPF - Desp. Lazer e Entretenimento - Bares</v>
      </c>
      <c r="Q54" s="37" t="str">
        <f t="shared" si="12"/>
        <v>MCSGAST1</v>
      </c>
      <c r="R54" s="37" t="str">
        <f t="shared" si="13"/>
        <v>MCSGAST1</v>
      </c>
      <c r="S54" s="31"/>
      <c r="T54" s="185">
        <f t="shared" si="14"/>
        <v>46023</v>
      </c>
      <c r="U54" s="181">
        <v>52</v>
      </c>
    </row>
    <row r="55" spans="2:21" s="181" customFormat="1" x14ac:dyDescent="0.25">
      <c r="B55" s="182" t="s">
        <v>25</v>
      </c>
      <c r="C55" s="183"/>
      <c r="D55" s="54" t="str">
        <f>INDEX(Cad_Natureza!$B$3:$C$52,MATCH('2026'!F55,Cad_Natureza!$C$3:$C$52,0),MATCH('2026'!D$2,Cad_Natureza!$B$3:$C$3,0))</f>
        <v>OPF2</v>
      </c>
      <c r="E55" s="52" t="str">
        <f t="shared" si="6"/>
        <v>Despesa 53</v>
      </c>
      <c r="F55" s="53" t="s">
        <v>64</v>
      </c>
      <c r="G55" s="54" t="s">
        <v>25</v>
      </c>
      <c r="H55" s="55">
        <v>46037</v>
      </c>
      <c r="I55" s="55"/>
      <c r="J55" s="50" t="str">
        <f t="shared" si="7"/>
        <v>Observação da despesa 53</v>
      </c>
      <c r="K55" s="43">
        <v>-50</v>
      </c>
      <c r="L55" s="43">
        <f t="shared" si="8"/>
        <v>1463.1400000000003</v>
      </c>
      <c r="M55" s="183"/>
      <c r="N55" s="37" t="str">
        <f t="shared" si="9"/>
        <v>MCSOPF2CPF - Desp. Transporte / Combustível</v>
      </c>
      <c r="O55" s="37" t="str">
        <f t="shared" si="10"/>
        <v>OPF2CPF - Desp. Transporte / Combustível</v>
      </c>
      <c r="P55" s="37" t="str">
        <f t="shared" si="11"/>
        <v>MCSOPF2CPF - Desp. Transporte / Combustível</v>
      </c>
      <c r="Q55" s="37" t="str">
        <f t="shared" si="12"/>
        <v>MCSOPF2</v>
      </c>
      <c r="R55" s="37" t="str">
        <f t="shared" si="13"/>
        <v>MCSOPF2</v>
      </c>
      <c r="S55" s="31"/>
      <c r="T55" s="185">
        <f t="shared" si="14"/>
        <v>46023</v>
      </c>
      <c r="U55" s="181">
        <v>53</v>
      </c>
    </row>
    <row r="56" spans="2:21" s="181" customFormat="1" x14ac:dyDescent="0.25">
      <c r="B56" s="182" t="s">
        <v>25</v>
      </c>
      <c r="C56" s="183"/>
      <c r="D56" s="54" t="str">
        <f>INDEX(Cad_Natureza!$B$3:$C$52,MATCH('2026'!F56,Cad_Natureza!$C$3:$C$52,0),MATCH('2026'!D$2,Cad_Natureza!$B$3:$C$3,0))</f>
        <v>OPF1</v>
      </c>
      <c r="E56" s="52" t="str">
        <f t="shared" si="6"/>
        <v>Despesa 54</v>
      </c>
      <c r="F56" s="53" t="s">
        <v>67</v>
      </c>
      <c r="G56" s="54" t="s">
        <v>25</v>
      </c>
      <c r="H56" s="55">
        <v>46037</v>
      </c>
      <c r="I56" s="55"/>
      <c r="J56" s="50" t="str">
        <f t="shared" si="7"/>
        <v>Observação da despesa 54</v>
      </c>
      <c r="K56" s="43">
        <v>-23</v>
      </c>
      <c r="L56" s="43">
        <f t="shared" si="8"/>
        <v>1440.1400000000003</v>
      </c>
      <c r="M56" s="183"/>
      <c r="N56" s="37" t="str">
        <f t="shared" si="9"/>
        <v>MCSOPF1CPF - Desp. Alimentação / Refeição</v>
      </c>
      <c r="O56" s="37" t="str">
        <f t="shared" si="10"/>
        <v>OPF1CPF - Desp. Alimentação / Refeição</v>
      </c>
      <c r="P56" s="37" t="str">
        <f t="shared" si="11"/>
        <v>MCSOPF1CPF - Desp. Alimentação / Refeição</v>
      </c>
      <c r="Q56" s="37" t="str">
        <f t="shared" si="12"/>
        <v>MCSOPF1</v>
      </c>
      <c r="R56" s="37" t="str">
        <f t="shared" si="13"/>
        <v>MCSOPF1</v>
      </c>
      <c r="S56" s="31"/>
      <c r="T56" s="185">
        <f t="shared" si="14"/>
        <v>46023</v>
      </c>
      <c r="U56" s="181">
        <v>54</v>
      </c>
    </row>
    <row r="57" spans="2:21" s="181" customFormat="1" x14ac:dyDescent="0.25">
      <c r="B57" s="182" t="s">
        <v>25</v>
      </c>
      <c r="C57" s="183"/>
      <c r="D57" s="54" t="str">
        <f>INDEX(Cad_Natureza!$B$3:$C$52,MATCH('2026'!F57,Cad_Natureza!$C$3:$C$52,0),MATCH('2026'!D$2,Cad_Natureza!$B$3:$C$3,0))</f>
        <v>OPF1</v>
      </c>
      <c r="E57" s="52" t="str">
        <f t="shared" si="6"/>
        <v>Despesa 55</v>
      </c>
      <c r="F57" s="53" t="s">
        <v>67</v>
      </c>
      <c r="G57" s="54" t="s">
        <v>25</v>
      </c>
      <c r="H57" s="55">
        <v>46038</v>
      </c>
      <c r="I57" s="55"/>
      <c r="J57" s="50" t="str">
        <f t="shared" si="7"/>
        <v>Observação da despesa 55</v>
      </c>
      <c r="K57" s="43">
        <v>-24</v>
      </c>
      <c r="L57" s="43">
        <f t="shared" si="8"/>
        <v>1416.1400000000003</v>
      </c>
      <c r="M57" s="183"/>
      <c r="N57" s="37" t="str">
        <f t="shared" si="9"/>
        <v>MCSOPF1CPF - Desp. Alimentação / Refeição</v>
      </c>
      <c r="O57" s="37" t="str">
        <f t="shared" si="10"/>
        <v>OPF1CPF - Desp. Alimentação / Refeição</v>
      </c>
      <c r="P57" s="37" t="str">
        <f t="shared" si="11"/>
        <v>MCSOPF1CPF - Desp. Alimentação / Refeição</v>
      </c>
      <c r="Q57" s="37" t="str">
        <f t="shared" si="12"/>
        <v>MCSOPF1</v>
      </c>
      <c r="R57" s="37" t="str">
        <f t="shared" si="13"/>
        <v>MCSOPF1</v>
      </c>
      <c r="S57" s="31"/>
      <c r="T57" s="185">
        <f t="shared" si="14"/>
        <v>46023</v>
      </c>
      <c r="U57" s="181">
        <v>55</v>
      </c>
    </row>
    <row r="58" spans="2:21" s="181" customFormat="1" x14ac:dyDescent="0.25">
      <c r="B58" s="182" t="s">
        <v>25</v>
      </c>
      <c r="C58" s="183"/>
      <c r="D58" s="54" t="str">
        <f>INDEX(Cad_Natureza!$B$3:$C$52,MATCH('2026'!F58,Cad_Natureza!$C$3:$C$52,0),MATCH('2026'!D$2,Cad_Natureza!$B$3:$C$3,0))</f>
        <v>PENS6</v>
      </c>
      <c r="E58" s="52" t="str">
        <f t="shared" si="6"/>
        <v>Despesa 56</v>
      </c>
      <c r="F58" s="53" t="s">
        <v>34</v>
      </c>
      <c r="G58" s="54" t="s">
        <v>25</v>
      </c>
      <c r="H58" s="55">
        <v>46038</v>
      </c>
      <c r="I58" s="55"/>
      <c r="J58" s="50" t="str">
        <f t="shared" si="7"/>
        <v>Observação da despesa 56</v>
      </c>
      <c r="K58" s="43">
        <v>-30</v>
      </c>
      <c r="L58" s="43">
        <f t="shared" si="8"/>
        <v>1386.1400000000003</v>
      </c>
      <c r="M58" s="183"/>
      <c r="N58" s="37" t="str">
        <f t="shared" si="9"/>
        <v>MCSPENS6CPF - Pensão - Farmácia e Saúde</v>
      </c>
      <c r="O58" s="37" t="str">
        <f t="shared" si="10"/>
        <v>PENS6CPF - Pensão - Farmácia e Saúde</v>
      </c>
      <c r="P58" s="37" t="str">
        <f t="shared" si="11"/>
        <v>MCSPENS6CPF - Pensão - Farmácia e Saúde</v>
      </c>
      <c r="Q58" s="37" t="str">
        <f t="shared" si="12"/>
        <v>MCSPENS6</v>
      </c>
      <c r="R58" s="37" t="str">
        <f t="shared" si="13"/>
        <v>MCSPENS6</v>
      </c>
      <c r="S58" s="31"/>
      <c r="T58" s="185">
        <f t="shared" si="14"/>
        <v>46023</v>
      </c>
      <c r="U58" s="181">
        <v>56</v>
      </c>
    </row>
    <row r="59" spans="2:21" s="181" customFormat="1" x14ac:dyDescent="0.25">
      <c r="B59" s="182" t="s">
        <v>25</v>
      </c>
      <c r="C59" s="183"/>
      <c r="D59" s="54" t="str">
        <f>INDEX(Cad_Natureza!$B$3:$C$52,MATCH('2026'!F59,Cad_Natureza!$C$3:$C$52,0),MATCH('2026'!D$2,Cad_Natureza!$B$3:$C$3,0))</f>
        <v>GAST2</v>
      </c>
      <c r="E59" s="52" t="str">
        <f t="shared" si="6"/>
        <v>Despesa 57</v>
      </c>
      <c r="F59" s="53" t="s">
        <v>66</v>
      </c>
      <c r="G59" s="54" t="s">
        <v>25</v>
      </c>
      <c r="H59" s="55">
        <v>46041</v>
      </c>
      <c r="I59" s="55"/>
      <c r="J59" s="50" t="str">
        <f t="shared" si="7"/>
        <v>Observação da despesa 57</v>
      </c>
      <c r="K59" s="43">
        <v>-34</v>
      </c>
      <c r="L59" s="43">
        <f t="shared" si="8"/>
        <v>1352.1400000000003</v>
      </c>
      <c r="M59" s="183"/>
      <c r="N59" s="37" t="str">
        <f t="shared" si="9"/>
        <v>MCSGAST2CPF - Desp. Lazer e Entretenimento - Cigarro</v>
      </c>
      <c r="O59" s="37" t="str">
        <f t="shared" si="10"/>
        <v>GAST2CPF - Desp. Lazer e Entretenimento - Cigarro</v>
      </c>
      <c r="P59" s="37" t="str">
        <f t="shared" si="11"/>
        <v>MCSGAST2CPF - Desp. Lazer e Entretenimento - Cigarro</v>
      </c>
      <c r="Q59" s="37" t="str">
        <f t="shared" si="12"/>
        <v>MCSGAST2</v>
      </c>
      <c r="R59" s="37" t="str">
        <f t="shared" si="13"/>
        <v>MCSGAST2</v>
      </c>
      <c r="S59" s="31"/>
      <c r="T59" s="185">
        <f t="shared" si="14"/>
        <v>46023</v>
      </c>
      <c r="U59" s="181">
        <v>57</v>
      </c>
    </row>
    <row r="60" spans="2:21" s="181" customFormat="1" x14ac:dyDescent="0.25">
      <c r="B60" s="182" t="s">
        <v>25</v>
      </c>
      <c r="C60" s="183"/>
      <c r="D60" s="54" t="str">
        <f>INDEX(Cad_Natureza!$B$3:$C$52,MATCH('2026'!F60,Cad_Natureza!$C$3:$C$52,0),MATCH('2026'!D$2,Cad_Natureza!$B$3:$C$3,0))</f>
        <v>GAST1</v>
      </c>
      <c r="E60" s="52" t="str">
        <f t="shared" si="6"/>
        <v>Despesa 58</v>
      </c>
      <c r="F60" s="53" t="s">
        <v>65</v>
      </c>
      <c r="G60" s="54" t="s">
        <v>25</v>
      </c>
      <c r="H60" s="55">
        <v>46041</v>
      </c>
      <c r="I60" s="55"/>
      <c r="J60" s="50" t="str">
        <f t="shared" si="7"/>
        <v>Observação da despesa 58</v>
      </c>
      <c r="K60" s="43">
        <v>-15</v>
      </c>
      <c r="L60" s="43">
        <f t="shared" si="8"/>
        <v>1337.1400000000003</v>
      </c>
      <c r="M60" s="183"/>
      <c r="N60" s="37" t="str">
        <f t="shared" si="9"/>
        <v>MCSGAST1CPF - Desp. Lazer e Entretenimento - Bares</v>
      </c>
      <c r="O60" s="37" t="str">
        <f t="shared" si="10"/>
        <v>GAST1CPF - Desp. Lazer e Entretenimento - Bares</v>
      </c>
      <c r="P60" s="37" t="str">
        <f t="shared" si="11"/>
        <v>MCSGAST1CPF - Desp. Lazer e Entretenimento - Bares</v>
      </c>
      <c r="Q60" s="37" t="str">
        <f t="shared" si="12"/>
        <v>MCSGAST1</v>
      </c>
      <c r="R60" s="37" t="str">
        <f t="shared" si="13"/>
        <v>MCSGAST1</v>
      </c>
      <c r="S60" s="31"/>
      <c r="T60" s="185">
        <f t="shared" si="14"/>
        <v>46023</v>
      </c>
      <c r="U60" s="181">
        <v>58</v>
      </c>
    </row>
    <row r="61" spans="2:21" s="181" customFormat="1" x14ac:dyDescent="0.25">
      <c r="B61" s="182" t="s">
        <v>25</v>
      </c>
      <c r="C61" s="183"/>
      <c r="D61" s="54" t="str">
        <f>INDEX(Cad_Natureza!$B$3:$C$52,MATCH('2026'!F61,Cad_Natureza!$C$3:$C$52,0),MATCH('2026'!D$2,Cad_Natureza!$B$3:$C$3,0))</f>
        <v>GAST1</v>
      </c>
      <c r="E61" s="52" t="str">
        <f t="shared" si="6"/>
        <v>Despesa 59</v>
      </c>
      <c r="F61" s="53" t="s">
        <v>65</v>
      </c>
      <c r="G61" s="54" t="s">
        <v>25</v>
      </c>
      <c r="H61" s="55">
        <v>46041</v>
      </c>
      <c r="I61" s="55"/>
      <c r="J61" s="50" t="str">
        <f t="shared" si="7"/>
        <v>Observação da despesa 59</v>
      </c>
      <c r="K61" s="43">
        <v>-10</v>
      </c>
      <c r="L61" s="43">
        <f t="shared" si="8"/>
        <v>1327.1400000000003</v>
      </c>
      <c r="M61" s="183"/>
      <c r="N61" s="37" t="str">
        <f t="shared" si="9"/>
        <v>MCSGAST1CPF - Desp. Lazer e Entretenimento - Bares</v>
      </c>
      <c r="O61" s="37" t="str">
        <f t="shared" si="10"/>
        <v>GAST1CPF - Desp. Lazer e Entretenimento - Bares</v>
      </c>
      <c r="P61" s="37" t="str">
        <f t="shared" si="11"/>
        <v>MCSGAST1CPF - Desp. Lazer e Entretenimento - Bares</v>
      </c>
      <c r="Q61" s="37" t="str">
        <f t="shared" si="12"/>
        <v>MCSGAST1</v>
      </c>
      <c r="R61" s="37" t="str">
        <f t="shared" si="13"/>
        <v>MCSGAST1</v>
      </c>
      <c r="S61" s="31"/>
      <c r="T61" s="185">
        <f t="shared" si="14"/>
        <v>46023</v>
      </c>
      <c r="U61" s="181">
        <v>59</v>
      </c>
    </row>
    <row r="62" spans="2:21" s="181" customFormat="1" x14ac:dyDescent="0.25">
      <c r="B62" s="182" t="s">
        <v>25</v>
      </c>
      <c r="C62" s="183"/>
      <c r="D62" s="54" t="str">
        <f>INDEX(Cad_Natureza!$B$3:$C$52,MATCH('2026'!F62,Cad_Natureza!$C$3:$C$52,0),MATCH('2026'!D$2,Cad_Natureza!$B$3:$C$3,0))</f>
        <v>GAST1</v>
      </c>
      <c r="E62" s="52" t="str">
        <f t="shared" si="6"/>
        <v>Despesa 60</v>
      </c>
      <c r="F62" s="53" t="s">
        <v>65</v>
      </c>
      <c r="G62" s="54" t="s">
        <v>25</v>
      </c>
      <c r="H62" s="55">
        <v>46041</v>
      </c>
      <c r="I62" s="55"/>
      <c r="J62" s="50" t="str">
        <f t="shared" si="7"/>
        <v>Observação da despesa 60</v>
      </c>
      <c r="K62" s="43">
        <v>-10</v>
      </c>
      <c r="L62" s="43">
        <f t="shared" si="8"/>
        <v>1317.1400000000003</v>
      </c>
      <c r="M62" s="183"/>
      <c r="N62" s="37" t="str">
        <f t="shared" si="9"/>
        <v>MCSGAST1CPF - Desp. Lazer e Entretenimento - Bares</v>
      </c>
      <c r="O62" s="37" t="str">
        <f t="shared" si="10"/>
        <v>GAST1CPF - Desp. Lazer e Entretenimento - Bares</v>
      </c>
      <c r="P62" s="37" t="str">
        <f t="shared" si="11"/>
        <v>MCSGAST1CPF - Desp. Lazer e Entretenimento - Bares</v>
      </c>
      <c r="Q62" s="37" t="str">
        <f t="shared" si="12"/>
        <v>MCSGAST1</v>
      </c>
      <c r="R62" s="37" t="str">
        <f t="shared" si="13"/>
        <v>MCSGAST1</v>
      </c>
      <c r="S62" s="31"/>
      <c r="T62" s="185">
        <f t="shared" si="14"/>
        <v>46023</v>
      </c>
      <c r="U62" s="181">
        <v>60</v>
      </c>
    </row>
    <row r="63" spans="2:21" s="181" customFormat="1" x14ac:dyDescent="0.25">
      <c r="B63" s="182" t="s">
        <v>25</v>
      </c>
      <c r="C63" s="183"/>
      <c r="D63" s="54" t="str">
        <f>INDEX(Cad_Natureza!$B$3:$C$52,MATCH('2026'!F63,Cad_Natureza!$C$3:$C$52,0),MATCH('2026'!D$2,Cad_Natureza!$B$3:$C$3,0))</f>
        <v>GAST1</v>
      </c>
      <c r="E63" s="52" t="str">
        <f t="shared" si="6"/>
        <v>Despesa 61</v>
      </c>
      <c r="F63" s="53" t="s">
        <v>65</v>
      </c>
      <c r="G63" s="54" t="s">
        <v>25</v>
      </c>
      <c r="H63" s="55">
        <v>46041</v>
      </c>
      <c r="I63" s="55"/>
      <c r="J63" s="50" t="str">
        <f t="shared" si="7"/>
        <v>Observação da despesa 61</v>
      </c>
      <c r="K63" s="43">
        <v>-10</v>
      </c>
      <c r="L63" s="43">
        <f t="shared" si="8"/>
        <v>1307.1400000000003</v>
      </c>
      <c r="M63" s="183"/>
      <c r="N63" s="37" t="str">
        <f t="shared" si="9"/>
        <v>MCSGAST1CPF - Desp. Lazer e Entretenimento - Bares</v>
      </c>
      <c r="O63" s="37" t="str">
        <f t="shared" si="10"/>
        <v>GAST1CPF - Desp. Lazer e Entretenimento - Bares</v>
      </c>
      <c r="P63" s="37" t="str">
        <f t="shared" si="11"/>
        <v>MCSGAST1CPF - Desp. Lazer e Entretenimento - Bares</v>
      </c>
      <c r="Q63" s="37" t="str">
        <f t="shared" si="12"/>
        <v>MCSGAST1</v>
      </c>
      <c r="R63" s="37" t="str">
        <f t="shared" si="13"/>
        <v>MCSGAST1</v>
      </c>
      <c r="S63" s="31"/>
      <c r="T63" s="185">
        <f t="shared" si="14"/>
        <v>46023</v>
      </c>
      <c r="U63" s="181">
        <v>61</v>
      </c>
    </row>
    <row r="64" spans="2:21" s="181" customFormat="1" x14ac:dyDescent="0.25">
      <c r="B64" s="182" t="s">
        <v>25</v>
      </c>
      <c r="C64" s="183"/>
      <c r="D64" s="54" t="str">
        <f>INDEX(Cad_Natureza!$B$3:$C$52,MATCH('2026'!F64,Cad_Natureza!$C$3:$C$52,0),MATCH('2026'!D$2,Cad_Natureza!$B$3:$C$3,0))</f>
        <v>GAST1</v>
      </c>
      <c r="E64" s="52" t="str">
        <f t="shared" si="6"/>
        <v>Despesa 62</v>
      </c>
      <c r="F64" s="53" t="s">
        <v>65</v>
      </c>
      <c r="G64" s="54" t="s">
        <v>25</v>
      </c>
      <c r="H64" s="55">
        <v>46041</v>
      </c>
      <c r="I64" s="55"/>
      <c r="J64" s="50" t="str">
        <f t="shared" si="7"/>
        <v>Observação da despesa 62</v>
      </c>
      <c r="K64" s="43">
        <v>-30</v>
      </c>
      <c r="L64" s="43">
        <f t="shared" si="8"/>
        <v>1277.1400000000003</v>
      </c>
      <c r="M64" s="183"/>
      <c r="N64" s="37" t="str">
        <f t="shared" si="9"/>
        <v>MCSGAST1CPF - Desp. Lazer e Entretenimento - Bares</v>
      </c>
      <c r="O64" s="37" t="str">
        <f t="shared" si="10"/>
        <v>GAST1CPF - Desp. Lazer e Entretenimento - Bares</v>
      </c>
      <c r="P64" s="37" t="str">
        <f t="shared" si="11"/>
        <v>MCSGAST1CPF - Desp. Lazer e Entretenimento - Bares</v>
      </c>
      <c r="Q64" s="37" t="str">
        <f t="shared" si="12"/>
        <v>MCSGAST1</v>
      </c>
      <c r="R64" s="37" t="str">
        <f t="shared" si="13"/>
        <v>MCSGAST1</v>
      </c>
      <c r="S64" s="31"/>
      <c r="T64" s="185">
        <f t="shared" si="14"/>
        <v>46023</v>
      </c>
      <c r="U64" s="181">
        <v>62</v>
      </c>
    </row>
    <row r="65" spans="2:21" s="181" customFormat="1" x14ac:dyDescent="0.25">
      <c r="B65" s="182" t="s">
        <v>25</v>
      </c>
      <c r="C65" s="183"/>
      <c r="D65" s="54" t="str">
        <f>INDEX(Cad_Natureza!$B$3:$C$52,MATCH('2026'!F65,Cad_Natureza!$C$3:$C$52,0),MATCH('2026'!D$2,Cad_Natureza!$B$3:$C$3,0))</f>
        <v>OPF2</v>
      </c>
      <c r="E65" s="52" t="str">
        <f t="shared" si="6"/>
        <v>Despesa 63</v>
      </c>
      <c r="F65" s="53" t="s">
        <v>64</v>
      </c>
      <c r="G65" s="54" t="s">
        <v>25</v>
      </c>
      <c r="H65" s="55">
        <v>46041</v>
      </c>
      <c r="I65" s="55"/>
      <c r="J65" s="50" t="str">
        <f t="shared" si="7"/>
        <v>Observação da despesa 63</v>
      </c>
      <c r="K65" s="43">
        <v>-50</v>
      </c>
      <c r="L65" s="43">
        <f t="shared" si="8"/>
        <v>1227.1400000000003</v>
      </c>
      <c r="M65" s="183"/>
      <c r="N65" s="37" t="str">
        <f t="shared" si="9"/>
        <v>MCSOPF2CPF - Desp. Transporte / Combustível</v>
      </c>
      <c r="O65" s="37" t="str">
        <f t="shared" si="10"/>
        <v>OPF2CPF - Desp. Transporte / Combustível</v>
      </c>
      <c r="P65" s="37" t="str">
        <f t="shared" si="11"/>
        <v>MCSOPF2CPF - Desp. Transporte / Combustível</v>
      </c>
      <c r="Q65" s="37" t="str">
        <f t="shared" si="12"/>
        <v>MCSOPF2</v>
      </c>
      <c r="R65" s="37" t="str">
        <f t="shared" si="13"/>
        <v>MCSOPF2</v>
      </c>
      <c r="S65" s="31"/>
      <c r="T65" s="185">
        <f t="shared" si="14"/>
        <v>46023</v>
      </c>
      <c r="U65" s="181">
        <v>63</v>
      </c>
    </row>
    <row r="66" spans="2:21" s="181" customFormat="1" x14ac:dyDescent="0.25">
      <c r="B66" s="182" t="s">
        <v>25</v>
      </c>
      <c r="C66" s="183"/>
      <c r="D66" s="54" t="str">
        <f>INDEX(Cad_Natureza!$B$3:$C$52,MATCH('2026'!F66,Cad_Natureza!$C$3:$C$52,0),MATCH('2026'!D$2,Cad_Natureza!$B$3:$C$3,0))</f>
        <v>PENS6</v>
      </c>
      <c r="E66" s="52" t="str">
        <f t="shared" si="6"/>
        <v>Despesa 64</v>
      </c>
      <c r="F66" s="53" t="s">
        <v>34</v>
      </c>
      <c r="G66" s="54" t="s">
        <v>25</v>
      </c>
      <c r="H66" s="55">
        <v>46041</v>
      </c>
      <c r="I66" s="55"/>
      <c r="J66" s="50" t="str">
        <f t="shared" si="7"/>
        <v>Observação da despesa 64</v>
      </c>
      <c r="K66" s="43">
        <v>-35.99</v>
      </c>
      <c r="L66" s="43">
        <f t="shared" si="8"/>
        <v>1191.1500000000003</v>
      </c>
      <c r="M66" s="183"/>
      <c r="N66" s="37" t="str">
        <f t="shared" si="9"/>
        <v>MCSPENS6CPF - Pensão - Farmácia e Saúde</v>
      </c>
      <c r="O66" s="37" t="str">
        <f t="shared" si="10"/>
        <v>PENS6CPF - Pensão - Farmácia e Saúde</v>
      </c>
      <c r="P66" s="37" t="str">
        <f t="shared" si="11"/>
        <v>MCSPENS6CPF - Pensão - Farmácia e Saúde</v>
      </c>
      <c r="Q66" s="37" t="str">
        <f t="shared" si="12"/>
        <v>MCSPENS6</v>
      </c>
      <c r="R66" s="37" t="str">
        <f t="shared" si="13"/>
        <v>MCSPENS6</v>
      </c>
      <c r="S66" s="31"/>
      <c r="T66" s="185">
        <f t="shared" si="14"/>
        <v>46023</v>
      </c>
      <c r="U66" s="181">
        <v>64</v>
      </c>
    </row>
    <row r="67" spans="2:21" s="181" customFormat="1" x14ac:dyDescent="0.25">
      <c r="B67" s="182" t="s">
        <v>25</v>
      </c>
      <c r="C67" s="183"/>
      <c r="D67" s="54" t="str">
        <f>INDEX(Cad_Natureza!$B$3:$C$52,MATCH('2026'!F67,Cad_Natureza!$C$3:$C$52,0),MATCH('2026'!D$2,Cad_Natureza!$B$3:$C$3,0))</f>
        <v>GAST1</v>
      </c>
      <c r="E67" s="52" t="str">
        <f t="shared" si="6"/>
        <v>Despesa 65</v>
      </c>
      <c r="F67" s="53" t="s">
        <v>65</v>
      </c>
      <c r="G67" s="54" t="s">
        <v>25</v>
      </c>
      <c r="H67" s="55">
        <v>46041</v>
      </c>
      <c r="I67" s="55"/>
      <c r="J67" s="50" t="str">
        <f t="shared" si="7"/>
        <v>Observação da despesa 65</v>
      </c>
      <c r="K67" s="43">
        <v>-2</v>
      </c>
      <c r="L67" s="43">
        <f t="shared" si="8"/>
        <v>1189.1500000000003</v>
      </c>
      <c r="M67" s="183"/>
      <c r="N67" s="37" t="str">
        <f t="shared" si="9"/>
        <v>MCSGAST1CPF - Desp. Lazer e Entretenimento - Bares</v>
      </c>
      <c r="O67" s="37" t="str">
        <f t="shared" si="10"/>
        <v>GAST1CPF - Desp. Lazer e Entretenimento - Bares</v>
      </c>
      <c r="P67" s="37" t="str">
        <f t="shared" si="11"/>
        <v>MCSGAST1CPF - Desp. Lazer e Entretenimento - Bares</v>
      </c>
      <c r="Q67" s="37" t="str">
        <f t="shared" si="12"/>
        <v>MCSGAST1</v>
      </c>
      <c r="R67" s="37" t="str">
        <f t="shared" si="13"/>
        <v>MCSGAST1</v>
      </c>
      <c r="S67" s="31"/>
      <c r="T67" s="185">
        <f t="shared" si="14"/>
        <v>46023</v>
      </c>
      <c r="U67" s="181">
        <v>65</v>
      </c>
    </row>
    <row r="68" spans="2:21" s="181" customFormat="1" x14ac:dyDescent="0.25">
      <c r="B68" s="182" t="s">
        <v>25</v>
      </c>
      <c r="C68" s="183"/>
      <c r="D68" s="54" t="str">
        <f>INDEX(Cad_Natureza!$B$3:$C$52,MATCH('2026'!F68,Cad_Natureza!$C$3:$C$52,0),MATCH('2026'!D$2,Cad_Natureza!$B$3:$C$3,0))</f>
        <v>GAST1</v>
      </c>
      <c r="E68" s="52" t="str">
        <f t="shared" ref="E68:E131" si="15">IF(K68&lt;0,"Despesa "&amp;U68,"Receita "&amp;U68)</f>
        <v>Despesa 66</v>
      </c>
      <c r="F68" s="53" t="s">
        <v>65</v>
      </c>
      <c r="G68" s="54" t="s">
        <v>25</v>
      </c>
      <c r="H68" s="55">
        <v>46041</v>
      </c>
      <c r="I68" s="55"/>
      <c r="J68" s="50" t="str">
        <f t="shared" ref="J68:J131" si="16">IF(K68&lt;0,"Observação da despesa "&amp;U68,"Observação da receita "&amp;U68)</f>
        <v>Observação da despesa 66</v>
      </c>
      <c r="K68" s="43">
        <v>-7</v>
      </c>
      <c r="L68" s="43">
        <f t="shared" ref="L68:L131" si="17">L67+K68</f>
        <v>1182.1500000000003</v>
      </c>
      <c r="M68" s="183"/>
      <c r="N68" s="37" t="str">
        <f t="shared" si="9"/>
        <v>MCSGAST1CPF - Desp. Lazer e Entretenimento - Bares</v>
      </c>
      <c r="O68" s="37" t="str">
        <f t="shared" si="10"/>
        <v>GAST1CPF - Desp. Lazer e Entretenimento - Bares</v>
      </c>
      <c r="P68" s="37" t="str">
        <f t="shared" si="11"/>
        <v>MCSGAST1CPF - Desp. Lazer e Entretenimento - Bares</v>
      </c>
      <c r="Q68" s="37" t="str">
        <f t="shared" si="12"/>
        <v>MCSGAST1</v>
      </c>
      <c r="R68" s="37" t="str">
        <f t="shared" si="13"/>
        <v>MCSGAST1</v>
      </c>
      <c r="S68" s="31"/>
      <c r="T68" s="185">
        <f t="shared" si="14"/>
        <v>46023</v>
      </c>
      <c r="U68" s="181">
        <v>66</v>
      </c>
    </row>
    <row r="69" spans="2:21" s="181" customFormat="1" x14ac:dyDescent="0.25">
      <c r="B69" s="182" t="s">
        <v>25</v>
      </c>
      <c r="C69" s="183"/>
      <c r="D69" s="54" t="str">
        <f>INDEX(Cad_Natureza!$B$3:$C$52,MATCH('2026'!F69,Cad_Natureza!$C$3:$C$52,0),MATCH('2026'!D$2,Cad_Natureza!$B$3:$C$3,0))</f>
        <v>OPF2</v>
      </c>
      <c r="E69" s="52" t="str">
        <f t="shared" si="15"/>
        <v>Despesa 67</v>
      </c>
      <c r="F69" s="53" t="s">
        <v>64</v>
      </c>
      <c r="G69" s="54" t="s">
        <v>25</v>
      </c>
      <c r="H69" s="55">
        <v>46041</v>
      </c>
      <c r="I69" s="55"/>
      <c r="J69" s="50" t="str">
        <f t="shared" si="16"/>
        <v>Observação da despesa 67</v>
      </c>
      <c r="K69" s="43">
        <v>-50</v>
      </c>
      <c r="L69" s="43">
        <f t="shared" si="17"/>
        <v>1132.1500000000003</v>
      </c>
      <c r="M69" s="183"/>
      <c r="N69" s="37" t="str">
        <f t="shared" si="9"/>
        <v>MCSOPF2CPF - Desp. Transporte / Combustível</v>
      </c>
      <c r="O69" s="37" t="str">
        <f t="shared" si="10"/>
        <v>OPF2CPF - Desp. Transporte / Combustível</v>
      </c>
      <c r="P69" s="37" t="str">
        <f t="shared" si="11"/>
        <v>MCSOPF2CPF - Desp. Transporte / Combustível</v>
      </c>
      <c r="Q69" s="37" t="str">
        <f t="shared" si="12"/>
        <v>MCSOPF2</v>
      </c>
      <c r="R69" s="37" t="str">
        <f t="shared" si="13"/>
        <v>MCSOPF2</v>
      </c>
      <c r="S69" s="31"/>
      <c r="T69" s="185">
        <f t="shared" si="14"/>
        <v>46023</v>
      </c>
      <c r="U69" s="181">
        <v>67</v>
      </c>
    </row>
    <row r="70" spans="2:21" s="181" customFormat="1" x14ac:dyDescent="0.25">
      <c r="B70" s="182" t="s">
        <v>25</v>
      </c>
      <c r="C70" s="183"/>
      <c r="D70" s="54" t="str">
        <f>INDEX(Cad_Natureza!$B$3:$C$52,MATCH('2026'!F70,Cad_Natureza!$C$3:$C$52,0),MATCH('2026'!D$2,Cad_Natureza!$B$3:$C$3,0))</f>
        <v>OPF1</v>
      </c>
      <c r="E70" s="52" t="str">
        <f t="shared" si="15"/>
        <v>Despesa 68</v>
      </c>
      <c r="F70" s="53" t="s">
        <v>67</v>
      </c>
      <c r="G70" s="54" t="s">
        <v>25</v>
      </c>
      <c r="H70" s="55">
        <v>46041</v>
      </c>
      <c r="I70" s="55"/>
      <c r="J70" s="50" t="str">
        <f t="shared" si="16"/>
        <v>Observação da despesa 68</v>
      </c>
      <c r="K70" s="43">
        <v>-23.5</v>
      </c>
      <c r="L70" s="43">
        <f t="shared" si="17"/>
        <v>1108.6500000000003</v>
      </c>
      <c r="M70" s="183"/>
      <c r="N70" s="37" t="str">
        <f t="shared" si="9"/>
        <v>MCSOPF1CPF - Desp. Alimentação / Refeição</v>
      </c>
      <c r="O70" s="37" t="str">
        <f t="shared" si="10"/>
        <v>OPF1CPF - Desp. Alimentação / Refeição</v>
      </c>
      <c r="P70" s="37" t="str">
        <f t="shared" si="11"/>
        <v>MCSOPF1CPF - Desp. Alimentação / Refeição</v>
      </c>
      <c r="Q70" s="37" t="str">
        <f t="shared" si="12"/>
        <v>MCSOPF1</v>
      </c>
      <c r="R70" s="37" t="str">
        <f t="shared" si="13"/>
        <v>MCSOPF1</v>
      </c>
      <c r="S70" s="31"/>
      <c r="T70" s="185">
        <f t="shared" si="14"/>
        <v>46023</v>
      </c>
      <c r="U70" s="181">
        <v>68</v>
      </c>
    </row>
    <row r="71" spans="2:21" s="181" customFormat="1" x14ac:dyDescent="0.25">
      <c r="B71" s="182" t="s">
        <v>25</v>
      </c>
      <c r="C71" s="183"/>
      <c r="D71" s="54" t="str">
        <f>INDEX(Cad_Natureza!$B$3:$C$52,MATCH('2026'!F71,Cad_Natureza!$C$3:$C$52,0),MATCH('2026'!D$2,Cad_Natureza!$B$3:$C$3,0))</f>
        <v>GAST1</v>
      </c>
      <c r="E71" s="52" t="str">
        <f t="shared" si="15"/>
        <v>Despesa 69</v>
      </c>
      <c r="F71" s="53" t="s">
        <v>65</v>
      </c>
      <c r="G71" s="54" t="s">
        <v>25</v>
      </c>
      <c r="H71" s="55">
        <v>46041</v>
      </c>
      <c r="I71" s="55"/>
      <c r="J71" s="50" t="str">
        <f t="shared" si="16"/>
        <v>Observação da despesa 69</v>
      </c>
      <c r="K71" s="43">
        <v>-12</v>
      </c>
      <c r="L71" s="43">
        <f t="shared" si="17"/>
        <v>1096.6500000000003</v>
      </c>
      <c r="M71" s="183"/>
      <c r="N71" s="37" t="str">
        <f t="shared" si="9"/>
        <v>MCSGAST1CPF - Desp. Lazer e Entretenimento - Bares</v>
      </c>
      <c r="O71" s="37" t="str">
        <f t="shared" si="10"/>
        <v>GAST1CPF - Desp. Lazer e Entretenimento - Bares</v>
      </c>
      <c r="P71" s="37" t="str">
        <f t="shared" si="11"/>
        <v>MCSGAST1CPF - Desp. Lazer e Entretenimento - Bares</v>
      </c>
      <c r="Q71" s="37" t="str">
        <f t="shared" si="12"/>
        <v>MCSGAST1</v>
      </c>
      <c r="R71" s="37" t="str">
        <f t="shared" si="13"/>
        <v>MCSGAST1</v>
      </c>
      <c r="S71" s="31"/>
      <c r="T71" s="185">
        <f t="shared" si="14"/>
        <v>46023</v>
      </c>
      <c r="U71" s="181">
        <v>69</v>
      </c>
    </row>
    <row r="72" spans="2:21" s="181" customFormat="1" x14ac:dyDescent="0.25">
      <c r="B72" s="182" t="s">
        <v>25</v>
      </c>
      <c r="C72" s="183"/>
      <c r="D72" s="54" t="str">
        <f>INDEX(Cad_Natureza!$B$3:$C$52,MATCH('2026'!F72,Cad_Natureza!$C$3:$C$52,0),MATCH('2026'!D$2,Cad_Natureza!$B$3:$C$3,0))</f>
        <v>OPF1</v>
      </c>
      <c r="E72" s="52" t="str">
        <f t="shared" si="15"/>
        <v>Despesa 70</v>
      </c>
      <c r="F72" s="53" t="s">
        <v>67</v>
      </c>
      <c r="G72" s="54" t="s">
        <v>25</v>
      </c>
      <c r="H72" s="55">
        <v>46042</v>
      </c>
      <c r="I72" s="55"/>
      <c r="J72" s="50" t="str">
        <f t="shared" si="16"/>
        <v>Observação da despesa 70</v>
      </c>
      <c r="K72" s="43">
        <v>-25</v>
      </c>
      <c r="L72" s="43">
        <f t="shared" si="17"/>
        <v>1071.6500000000003</v>
      </c>
      <c r="M72" s="183"/>
      <c r="N72" s="37" t="str">
        <f t="shared" si="9"/>
        <v>MCSOPF1CPF - Desp. Alimentação / Refeição</v>
      </c>
      <c r="O72" s="37" t="str">
        <f t="shared" si="10"/>
        <v>OPF1CPF - Desp. Alimentação / Refeição</v>
      </c>
      <c r="P72" s="37" t="str">
        <f t="shared" si="11"/>
        <v>MCSOPF1CPF - Desp. Alimentação / Refeição</v>
      </c>
      <c r="Q72" s="37" t="str">
        <f t="shared" si="12"/>
        <v>MCSOPF1</v>
      </c>
      <c r="R72" s="37" t="str">
        <f t="shared" si="13"/>
        <v>MCSOPF1</v>
      </c>
      <c r="S72" s="31"/>
      <c r="T72" s="185">
        <f t="shared" si="14"/>
        <v>46023</v>
      </c>
      <c r="U72" s="181">
        <v>70</v>
      </c>
    </row>
    <row r="73" spans="2:21" s="181" customFormat="1" x14ac:dyDescent="0.25">
      <c r="B73" s="182" t="s">
        <v>25</v>
      </c>
      <c r="C73" s="183"/>
      <c r="D73" s="54" t="str">
        <f>INDEX(Cad_Natureza!$B$3:$C$52,MATCH('2026'!F73,Cad_Natureza!$C$3:$C$52,0),MATCH('2026'!D$2,Cad_Natureza!$B$3:$C$3,0))</f>
        <v>GAST1</v>
      </c>
      <c r="E73" s="52" t="str">
        <f t="shared" si="15"/>
        <v>Despesa 71</v>
      </c>
      <c r="F73" s="53" t="s">
        <v>65</v>
      </c>
      <c r="G73" s="54" t="s">
        <v>25</v>
      </c>
      <c r="H73" s="55">
        <v>46042</v>
      </c>
      <c r="I73" s="55"/>
      <c r="J73" s="50" t="str">
        <f t="shared" si="16"/>
        <v>Observação da despesa 71</v>
      </c>
      <c r="K73" s="43">
        <v>-12</v>
      </c>
      <c r="L73" s="43">
        <f t="shared" si="17"/>
        <v>1059.6500000000003</v>
      </c>
      <c r="M73" s="183"/>
      <c r="N73" s="37" t="str">
        <f t="shared" si="9"/>
        <v>MCSGAST1CPF - Desp. Lazer e Entretenimento - Bares</v>
      </c>
      <c r="O73" s="37" t="str">
        <f t="shared" si="10"/>
        <v>GAST1CPF - Desp. Lazer e Entretenimento - Bares</v>
      </c>
      <c r="P73" s="37" t="str">
        <f t="shared" si="11"/>
        <v>MCSGAST1CPF - Desp. Lazer e Entretenimento - Bares</v>
      </c>
      <c r="Q73" s="37" t="str">
        <f t="shared" si="12"/>
        <v>MCSGAST1</v>
      </c>
      <c r="R73" s="37" t="str">
        <f t="shared" si="13"/>
        <v>MCSGAST1</v>
      </c>
      <c r="S73" s="31"/>
      <c r="T73" s="185">
        <f t="shared" si="14"/>
        <v>46023</v>
      </c>
      <c r="U73" s="181">
        <v>71</v>
      </c>
    </row>
    <row r="74" spans="2:21" s="181" customFormat="1" x14ac:dyDescent="0.25">
      <c r="B74" s="182" t="s">
        <v>25</v>
      </c>
      <c r="C74" s="183"/>
      <c r="D74" s="54" t="str">
        <f>INDEX(Cad_Natureza!$B$3:$C$52,MATCH('2026'!F74,Cad_Natureza!$C$3:$C$52,0),MATCH('2026'!D$2,Cad_Natureza!$B$3:$C$3,0))</f>
        <v>GAST1</v>
      </c>
      <c r="E74" s="52" t="str">
        <f t="shared" si="15"/>
        <v>Despesa 72</v>
      </c>
      <c r="F74" s="53" t="s">
        <v>65</v>
      </c>
      <c r="G74" s="54" t="s">
        <v>25</v>
      </c>
      <c r="H74" s="55">
        <v>46042</v>
      </c>
      <c r="I74" s="55"/>
      <c r="J74" s="50" t="str">
        <f t="shared" si="16"/>
        <v>Observação da despesa 72</v>
      </c>
      <c r="K74" s="43">
        <v>-4</v>
      </c>
      <c r="L74" s="43">
        <f t="shared" si="17"/>
        <v>1055.6500000000003</v>
      </c>
      <c r="M74" s="183"/>
      <c r="N74" s="37" t="str">
        <f t="shared" si="9"/>
        <v>MCSGAST1CPF - Desp. Lazer e Entretenimento - Bares</v>
      </c>
      <c r="O74" s="37" t="str">
        <f t="shared" si="10"/>
        <v>GAST1CPF - Desp. Lazer e Entretenimento - Bares</v>
      </c>
      <c r="P74" s="37" t="str">
        <f t="shared" si="11"/>
        <v>MCSGAST1CPF - Desp. Lazer e Entretenimento - Bares</v>
      </c>
      <c r="Q74" s="37" t="str">
        <f t="shared" si="12"/>
        <v>MCSGAST1</v>
      </c>
      <c r="R74" s="37" t="str">
        <f t="shared" si="13"/>
        <v>MCSGAST1</v>
      </c>
      <c r="S74" s="31"/>
      <c r="T74" s="185">
        <f t="shared" si="14"/>
        <v>46023</v>
      </c>
      <c r="U74" s="181">
        <v>72</v>
      </c>
    </row>
    <row r="75" spans="2:21" s="181" customFormat="1" x14ac:dyDescent="0.25">
      <c r="B75" s="182" t="s">
        <v>25</v>
      </c>
      <c r="C75" s="183"/>
      <c r="D75" s="54" t="str">
        <f>INDEX(Cad_Natureza!$B$3:$C$52,MATCH('2026'!F75,Cad_Natureza!$C$3:$C$52,0),MATCH('2026'!D$2,Cad_Natureza!$B$3:$C$3,0))</f>
        <v>OPF2</v>
      </c>
      <c r="E75" s="52" t="str">
        <f t="shared" si="15"/>
        <v>Despesa 73</v>
      </c>
      <c r="F75" s="53" t="s">
        <v>64</v>
      </c>
      <c r="G75" s="54" t="s">
        <v>25</v>
      </c>
      <c r="H75" s="55">
        <v>46043</v>
      </c>
      <c r="I75" s="55"/>
      <c r="J75" s="50" t="str">
        <f t="shared" si="16"/>
        <v>Observação da despesa 73</v>
      </c>
      <c r="K75" s="43">
        <v>-50</v>
      </c>
      <c r="L75" s="43">
        <f t="shared" si="17"/>
        <v>1005.6500000000003</v>
      </c>
      <c r="M75" s="183"/>
      <c r="N75" s="37" t="str">
        <f t="shared" si="9"/>
        <v>MCSOPF2CPF - Desp. Transporte / Combustível</v>
      </c>
      <c r="O75" s="37" t="str">
        <f t="shared" si="10"/>
        <v>OPF2CPF - Desp. Transporte / Combustível</v>
      </c>
      <c r="P75" s="37" t="str">
        <f t="shared" si="11"/>
        <v>MCSOPF2CPF - Desp. Transporte / Combustível</v>
      </c>
      <c r="Q75" s="37" t="str">
        <f t="shared" si="12"/>
        <v>MCSOPF2</v>
      </c>
      <c r="R75" s="37" t="str">
        <f t="shared" si="13"/>
        <v>MCSOPF2</v>
      </c>
      <c r="S75" s="31"/>
      <c r="T75" s="185">
        <f t="shared" si="14"/>
        <v>46023</v>
      </c>
      <c r="U75" s="181">
        <v>73</v>
      </c>
    </row>
    <row r="76" spans="2:21" s="181" customFormat="1" x14ac:dyDescent="0.25">
      <c r="B76" s="182" t="s">
        <v>25</v>
      </c>
      <c r="C76" s="183"/>
      <c r="D76" s="54" t="str">
        <f>INDEX(Cad_Natureza!$B$3:$C$52,MATCH('2026'!F76,Cad_Natureza!$C$3:$C$52,0),MATCH('2026'!D$2,Cad_Natureza!$B$3:$C$3,0))</f>
        <v>OPF1</v>
      </c>
      <c r="E76" s="52" t="str">
        <f t="shared" si="15"/>
        <v>Despesa 74</v>
      </c>
      <c r="F76" s="53" t="s">
        <v>67</v>
      </c>
      <c r="G76" s="54" t="s">
        <v>25</v>
      </c>
      <c r="H76" s="55">
        <v>46043</v>
      </c>
      <c r="I76" s="55"/>
      <c r="J76" s="50" t="str">
        <f t="shared" si="16"/>
        <v>Observação da despesa 74</v>
      </c>
      <c r="K76" s="43">
        <v>-24</v>
      </c>
      <c r="L76" s="43">
        <f t="shared" si="17"/>
        <v>981.65000000000032</v>
      </c>
      <c r="M76" s="183"/>
      <c r="N76" s="37" t="str">
        <f t="shared" si="9"/>
        <v>MCSOPF1CPF - Desp. Alimentação / Refeição</v>
      </c>
      <c r="O76" s="37" t="str">
        <f t="shared" si="10"/>
        <v>OPF1CPF - Desp. Alimentação / Refeição</v>
      </c>
      <c r="P76" s="37" t="str">
        <f t="shared" si="11"/>
        <v>MCSOPF1CPF - Desp. Alimentação / Refeição</v>
      </c>
      <c r="Q76" s="37" t="str">
        <f t="shared" si="12"/>
        <v>MCSOPF1</v>
      </c>
      <c r="R76" s="37" t="str">
        <f t="shared" si="13"/>
        <v>MCSOPF1</v>
      </c>
      <c r="S76" s="31"/>
      <c r="T76" s="185">
        <f t="shared" si="14"/>
        <v>46023</v>
      </c>
      <c r="U76" s="181">
        <v>74</v>
      </c>
    </row>
    <row r="77" spans="2:21" s="181" customFormat="1" x14ac:dyDescent="0.25">
      <c r="B77" s="182" t="s">
        <v>25</v>
      </c>
      <c r="C77" s="183"/>
      <c r="D77" s="54" t="str">
        <f>INDEX(Cad_Natureza!$B$3:$C$52,MATCH('2026'!F77,Cad_Natureza!$C$3:$C$52,0),MATCH('2026'!D$2,Cad_Natureza!$B$3:$C$3,0))</f>
        <v>GAST1</v>
      </c>
      <c r="E77" s="52" t="str">
        <f t="shared" si="15"/>
        <v>Despesa 75</v>
      </c>
      <c r="F77" s="53" t="s">
        <v>65</v>
      </c>
      <c r="G77" s="54" t="s">
        <v>25</v>
      </c>
      <c r="H77" s="55">
        <v>46043</v>
      </c>
      <c r="I77" s="55"/>
      <c r="J77" s="50" t="str">
        <f t="shared" si="16"/>
        <v>Observação da despesa 75</v>
      </c>
      <c r="K77" s="43">
        <v>-45.5</v>
      </c>
      <c r="L77" s="43">
        <f t="shared" si="17"/>
        <v>936.15000000000032</v>
      </c>
      <c r="M77" s="183"/>
      <c r="N77" s="37" t="str">
        <f t="shared" si="9"/>
        <v>MCSGAST1CPF - Desp. Lazer e Entretenimento - Bares</v>
      </c>
      <c r="O77" s="37" t="str">
        <f t="shared" si="10"/>
        <v>GAST1CPF - Desp. Lazer e Entretenimento - Bares</v>
      </c>
      <c r="P77" s="37" t="str">
        <f t="shared" si="11"/>
        <v>MCSGAST1CPF - Desp. Lazer e Entretenimento - Bares</v>
      </c>
      <c r="Q77" s="37" t="str">
        <f t="shared" si="12"/>
        <v>MCSGAST1</v>
      </c>
      <c r="R77" s="37" t="str">
        <f t="shared" si="13"/>
        <v>MCSGAST1</v>
      </c>
      <c r="S77" s="31"/>
      <c r="T77" s="185">
        <f t="shared" si="14"/>
        <v>46023</v>
      </c>
      <c r="U77" s="181">
        <v>75</v>
      </c>
    </row>
    <row r="78" spans="2:21" s="181" customFormat="1" x14ac:dyDescent="0.25">
      <c r="B78" s="182" t="s">
        <v>25</v>
      </c>
      <c r="C78" s="183"/>
      <c r="D78" s="54" t="str">
        <f>INDEX(Cad_Natureza!$B$3:$C$52,MATCH('2026'!F78,Cad_Natureza!$C$3:$C$52,0),MATCH('2026'!D$2,Cad_Natureza!$B$3:$C$3,0))</f>
        <v>OPF1</v>
      </c>
      <c r="E78" s="52" t="str">
        <f t="shared" si="15"/>
        <v>Despesa 76</v>
      </c>
      <c r="F78" s="53" t="s">
        <v>67</v>
      </c>
      <c r="G78" s="54" t="s">
        <v>25</v>
      </c>
      <c r="H78" s="55">
        <v>46044</v>
      </c>
      <c r="I78" s="55"/>
      <c r="J78" s="50" t="str">
        <f t="shared" si="16"/>
        <v>Observação da despesa 76</v>
      </c>
      <c r="K78" s="43">
        <v>-24</v>
      </c>
      <c r="L78" s="43">
        <f t="shared" si="17"/>
        <v>912.15000000000032</v>
      </c>
      <c r="M78" s="183"/>
      <c r="N78" s="37" t="str">
        <f t="shared" si="9"/>
        <v>MCSOPF1CPF - Desp. Alimentação / Refeição</v>
      </c>
      <c r="O78" s="37" t="str">
        <f t="shared" si="10"/>
        <v>OPF1CPF - Desp. Alimentação / Refeição</v>
      </c>
      <c r="P78" s="37" t="str">
        <f t="shared" si="11"/>
        <v>MCSOPF1CPF - Desp. Alimentação / Refeição</v>
      </c>
      <c r="Q78" s="37" t="str">
        <f t="shared" si="12"/>
        <v>MCSOPF1</v>
      </c>
      <c r="R78" s="37" t="str">
        <f t="shared" si="13"/>
        <v>MCSOPF1</v>
      </c>
      <c r="S78" s="31"/>
      <c r="T78" s="185">
        <f t="shared" si="14"/>
        <v>46023</v>
      </c>
      <c r="U78" s="181">
        <v>76</v>
      </c>
    </row>
    <row r="79" spans="2:21" s="181" customFormat="1" x14ac:dyDescent="0.25">
      <c r="B79" s="182" t="s">
        <v>25</v>
      </c>
      <c r="C79" s="183"/>
      <c r="D79" s="54" t="str">
        <f>INDEX(Cad_Natureza!$B$3:$C$52,MATCH('2026'!F79,Cad_Natureza!$C$3:$C$52,0),MATCH('2026'!D$2,Cad_Natureza!$B$3:$C$3,0))</f>
        <v>GAST1</v>
      </c>
      <c r="E79" s="52" t="str">
        <f t="shared" si="15"/>
        <v>Despesa 77</v>
      </c>
      <c r="F79" s="53" t="s">
        <v>65</v>
      </c>
      <c r="G79" s="54" t="s">
        <v>25</v>
      </c>
      <c r="H79" s="55">
        <v>46044</v>
      </c>
      <c r="I79" s="55"/>
      <c r="J79" s="50" t="str">
        <f t="shared" si="16"/>
        <v>Observação da despesa 77</v>
      </c>
      <c r="K79" s="43">
        <v>-15</v>
      </c>
      <c r="L79" s="43">
        <f t="shared" si="17"/>
        <v>897.15000000000032</v>
      </c>
      <c r="M79" s="183"/>
      <c r="N79" s="37" t="str">
        <f t="shared" si="9"/>
        <v>MCSGAST1CPF - Desp. Lazer e Entretenimento - Bares</v>
      </c>
      <c r="O79" s="37" t="str">
        <f t="shared" si="10"/>
        <v>GAST1CPF - Desp. Lazer e Entretenimento - Bares</v>
      </c>
      <c r="P79" s="37" t="str">
        <f t="shared" si="11"/>
        <v>MCSGAST1CPF - Desp. Lazer e Entretenimento - Bares</v>
      </c>
      <c r="Q79" s="37" t="str">
        <f t="shared" si="12"/>
        <v>MCSGAST1</v>
      </c>
      <c r="R79" s="37" t="str">
        <f t="shared" si="13"/>
        <v>MCSGAST1</v>
      </c>
      <c r="S79" s="31"/>
      <c r="T79" s="185">
        <f t="shared" si="14"/>
        <v>46023</v>
      </c>
      <c r="U79" s="181">
        <v>77</v>
      </c>
    </row>
    <row r="80" spans="2:21" s="181" customFormat="1" x14ac:dyDescent="0.25">
      <c r="B80" s="182" t="s">
        <v>25</v>
      </c>
      <c r="C80" s="183"/>
      <c r="D80" s="54" t="str">
        <f>INDEX(Cad_Natureza!$B$3:$C$52,MATCH('2026'!F80,Cad_Natureza!$C$3:$C$52,0),MATCH('2026'!D$2,Cad_Natureza!$B$3:$C$3,0))</f>
        <v>OPF2</v>
      </c>
      <c r="E80" s="52" t="str">
        <f t="shared" si="15"/>
        <v>Despesa 78</v>
      </c>
      <c r="F80" s="53" t="s">
        <v>64</v>
      </c>
      <c r="G80" s="54" t="s">
        <v>25</v>
      </c>
      <c r="H80" s="55">
        <v>46045</v>
      </c>
      <c r="I80" s="55"/>
      <c r="J80" s="50" t="str">
        <f t="shared" si="16"/>
        <v>Observação da despesa 78</v>
      </c>
      <c r="K80" s="43">
        <v>-50</v>
      </c>
      <c r="L80" s="43">
        <f t="shared" si="17"/>
        <v>847.15000000000032</v>
      </c>
      <c r="M80" s="183"/>
      <c r="N80" s="37" t="str">
        <f t="shared" si="9"/>
        <v>MCSOPF2CPF - Desp. Transporte / Combustível</v>
      </c>
      <c r="O80" s="37" t="str">
        <f t="shared" si="10"/>
        <v>OPF2CPF - Desp. Transporte / Combustível</v>
      </c>
      <c r="P80" s="37" t="str">
        <f t="shared" si="11"/>
        <v>MCSOPF2CPF - Desp. Transporte / Combustível</v>
      </c>
      <c r="Q80" s="37" t="str">
        <f t="shared" si="12"/>
        <v>MCSOPF2</v>
      </c>
      <c r="R80" s="37" t="str">
        <f t="shared" si="13"/>
        <v>MCSOPF2</v>
      </c>
      <c r="S80" s="31"/>
      <c r="T80" s="185">
        <f t="shared" si="14"/>
        <v>46023</v>
      </c>
      <c r="U80" s="181">
        <v>78</v>
      </c>
    </row>
    <row r="81" spans="2:21" s="181" customFormat="1" x14ac:dyDescent="0.25">
      <c r="B81" s="182" t="s">
        <v>25</v>
      </c>
      <c r="C81" s="183"/>
      <c r="D81" s="54" t="str">
        <f>INDEX(Cad_Natureza!$B$3:$C$52,MATCH('2026'!F81,Cad_Natureza!$C$3:$C$52,0),MATCH('2026'!D$2,Cad_Natureza!$B$3:$C$3,0))</f>
        <v>OPF1</v>
      </c>
      <c r="E81" s="52" t="str">
        <f t="shared" si="15"/>
        <v>Despesa 79</v>
      </c>
      <c r="F81" s="53" t="s">
        <v>67</v>
      </c>
      <c r="G81" s="54" t="s">
        <v>25</v>
      </c>
      <c r="H81" s="55">
        <v>46045</v>
      </c>
      <c r="I81" s="55"/>
      <c r="J81" s="50" t="str">
        <f t="shared" si="16"/>
        <v>Observação da despesa 79</v>
      </c>
      <c r="K81" s="43">
        <v>-22.5</v>
      </c>
      <c r="L81" s="43">
        <f t="shared" si="17"/>
        <v>824.65000000000032</v>
      </c>
      <c r="M81" s="183"/>
      <c r="N81" s="37" t="str">
        <f t="shared" si="9"/>
        <v>MCSOPF1CPF - Desp. Alimentação / Refeição</v>
      </c>
      <c r="O81" s="37" t="str">
        <f t="shared" si="10"/>
        <v>OPF1CPF - Desp. Alimentação / Refeição</v>
      </c>
      <c r="P81" s="37" t="str">
        <f t="shared" si="11"/>
        <v>MCSOPF1CPF - Desp. Alimentação / Refeição</v>
      </c>
      <c r="Q81" s="37" t="str">
        <f t="shared" si="12"/>
        <v>MCSOPF1</v>
      </c>
      <c r="R81" s="37" t="str">
        <f t="shared" si="13"/>
        <v>MCSOPF1</v>
      </c>
      <c r="S81" s="31"/>
      <c r="T81" s="185">
        <f t="shared" si="14"/>
        <v>46023</v>
      </c>
      <c r="U81" s="181">
        <v>79</v>
      </c>
    </row>
    <row r="82" spans="2:21" s="181" customFormat="1" x14ac:dyDescent="0.25">
      <c r="B82" s="182" t="s">
        <v>25</v>
      </c>
      <c r="C82" s="183"/>
      <c r="D82" s="54" t="str">
        <f>INDEX(Cad_Natureza!$B$3:$C$52,MATCH('2026'!F82,Cad_Natureza!$C$3:$C$52,0),MATCH('2026'!D$2,Cad_Natureza!$B$3:$C$3,0))</f>
        <v>OPF1</v>
      </c>
      <c r="E82" s="52" t="str">
        <f t="shared" si="15"/>
        <v>Despesa 80</v>
      </c>
      <c r="F82" s="53" t="s">
        <v>67</v>
      </c>
      <c r="G82" s="54" t="s">
        <v>25</v>
      </c>
      <c r="H82" s="55">
        <v>46045</v>
      </c>
      <c r="I82" s="55"/>
      <c r="J82" s="50" t="str">
        <f t="shared" si="16"/>
        <v>Observação da despesa 80</v>
      </c>
      <c r="K82" s="43">
        <v>-10</v>
      </c>
      <c r="L82" s="43">
        <f t="shared" si="17"/>
        <v>814.65000000000032</v>
      </c>
      <c r="M82" s="183"/>
      <c r="N82" s="37" t="str">
        <f t="shared" si="9"/>
        <v>MCSOPF1CPF - Desp. Alimentação / Refeição</v>
      </c>
      <c r="O82" s="37" t="str">
        <f t="shared" si="10"/>
        <v>OPF1CPF - Desp. Alimentação / Refeição</v>
      </c>
      <c r="P82" s="37" t="str">
        <f t="shared" si="11"/>
        <v>MCSOPF1CPF - Desp. Alimentação / Refeição</v>
      </c>
      <c r="Q82" s="37" t="str">
        <f t="shared" si="12"/>
        <v>MCSOPF1</v>
      </c>
      <c r="R82" s="37" t="str">
        <f t="shared" si="13"/>
        <v>MCSOPF1</v>
      </c>
      <c r="S82" s="31"/>
      <c r="T82" s="185">
        <f t="shared" si="14"/>
        <v>46023</v>
      </c>
      <c r="U82" s="181">
        <v>80</v>
      </c>
    </row>
    <row r="83" spans="2:21" s="181" customFormat="1" x14ac:dyDescent="0.25">
      <c r="B83" s="182" t="s">
        <v>25</v>
      </c>
      <c r="C83" s="183"/>
      <c r="D83" s="54" t="str">
        <f>INDEX(Cad_Natureza!$B$3:$C$52,MATCH('2026'!F83,Cad_Natureza!$C$3:$C$52,0),MATCH('2026'!D$2,Cad_Natureza!$B$3:$C$3,0))</f>
        <v>GAST1</v>
      </c>
      <c r="E83" s="52" t="str">
        <f t="shared" si="15"/>
        <v>Despesa 81</v>
      </c>
      <c r="F83" s="53" t="s">
        <v>65</v>
      </c>
      <c r="G83" s="54" t="s">
        <v>25</v>
      </c>
      <c r="H83" s="55">
        <v>46045</v>
      </c>
      <c r="I83" s="55"/>
      <c r="J83" s="50" t="str">
        <f t="shared" si="16"/>
        <v>Observação da despesa 81</v>
      </c>
      <c r="K83" s="43">
        <v>-15</v>
      </c>
      <c r="L83" s="43">
        <f t="shared" si="17"/>
        <v>799.65000000000032</v>
      </c>
      <c r="M83" s="183"/>
      <c r="N83" s="37" t="str">
        <f t="shared" si="9"/>
        <v>MCSGAST1CPF - Desp. Lazer e Entretenimento - Bares</v>
      </c>
      <c r="O83" s="37" t="str">
        <f t="shared" si="10"/>
        <v>GAST1CPF - Desp. Lazer e Entretenimento - Bares</v>
      </c>
      <c r="P83" s="37" t="str">
        <f t="shared" si="11"/>
        <v>MCSGAST1CPF - Desp. Lazer e Entretenimento - Bares</v>
      </c>
      <c r="Q83" s="37" t="str">
        <f t="shared" si="12"/>
        <v>MCSGAST1</v>
      </c>
      <c r="R83" s="37" t="str">
        <f t="shared" si="13"/>
        <v>MCSGAST1</v>
      </c>
      <c r="S83" s="31"/>
      <c r="T83" s="185">
        <f t="shared" si="14"/>
        <v>46023</v>
      </c>
      <c r="U83" s="181">
        <v>81</v>
      </c>
    </row>
    <row r="84" spans="2:21" s="181" customFormat="1" x14ac:dyDescent="0.25">
      <c r="B84" s="182" t="s">
        <v>25</v>
      </c>
      <c r="C84" s="183"/>
      <c r="D84" s="54" t="str">
        <f>INDEX(Cad_Natureza!$B$3:$C$52,MATCH('2026'!F84,Cad_Natureza!$C$3:$C$52,0),MATCH('2026'!D$2,Cad_Natureza!$B$3:$C$3,0))</f>
        <v>GAST1</v>
      </c>
      <c r="E84" s="52" t="str">
        <f t="shared" si="15"/>
        <v>Despesa 82</v>
      </c>
      <c r="F84" s="53" t="s">
        <v>65</v>
      </c>
      <c r="G84" s="54" t="s">
        <v>25</v>
      </c>
      <c r="H84" s="55">
        <v>46045</v>
      </c>
      <c r="I84" s="55"/>
      <c r="J84" s="50" t="str">
        <f t="shared" si="16"/>
        <v>Observação da despesa 82</v>
      </c>
      <c r="K84" s="43">
        <v>-10</v>
      </c>
      <c r="L84" s="43">
        <f t="shared" si="17"/>
        <v>789.65000000000032</v>
      </c>
      <c r="M84" s="183"/>
      <c r="N84" s="37" t="str">
        <f t="shared" si="9"/>
        <v>MCSGAST1CPF - Desp. Lazer e Entretenimento - Bares</v>
      </c>
      <c r="O84" s="37" t="str">
        <f t="shared" si="10"/>
        <v>GAST1CPF - Desp. Lazer e Entretenimento - Bares</v>
      </c>
      <c r="P84" s="37" t="str">
        <f t="shared" si="11"/>
        <v>MCSGAST1CPF - Desp. Lazer e Entretenimento - Bares</v>
      </c>
      <c r="Q84" s="37" t="str">
        <f t="shared" si="12"/>
        <v>MCSGAST1</v>
      </c>
      <c r="R84" s="37" t="str">
        <f t="shared" si="13"/>
        <v>MCSGAST1</v>
      </c>
      <c r="S84" s="31"/>
      <c r="T84" s="185">
        <f t="shared" si="14"/>
        <v>46023</v>
      </c>
      <c r="U84" s="181">
        <v>82</v>
      </c>
    </row>
    <row r="85" spans="2:21" s="181" customFormat="1" x14ac:dyDescent="0.25">
      <c r="B85" s="182" t="s">
        <v>25</v>
      </c>
      <c r="C85" s="183"/>
      <c r="D85" s="54" t="str">
        <f>INDEX(Cad_Natureza!$B$3:$C$52,MATCH('2026'!F85,Cad_Natureza!$C$3:$C$52,0),MATCH('2026'!D$2,Cad_Natureza!$B$3:$C$3,0))</f>
        <v>GAST1</v>
      </c>
      <c r="E85" s="52" t="str">
        <f t="shared" si="15"/>
        <v>Despesa 83</v>
      </c>
      <c r="F85" s="53" t="s">
        <v>65</v>
      </c>
      <c r="G85" s="54" t="s">
        <v>25</v>
      </c>
      <c r="H85" s="55">
        <v>46048</v>
      </c>
      <c r="I85" s="55"/>
      <c r="J85" s="50" t="str">
        <f t="shared" si="16"/>
        <v>Observação da despesa 83</v>
      </c>
      <c r="K85" s="43">
        <v>-10</v>
      </c>
      <c r="L85" s="43">
        <f t="shared" si="17"/>
        <v>779.65000000000032</v>
      </c>
      <c r="M85" s="183"/>
      <c r="N85" s="37" t="str">
        <f t="shared" si="9"/>
        <v>MCSGAST1CPF - Desp. Lazer e Entretenimento - Bares</v>
      </c>
      <c r="O85" s="37" t="str">
        <f t="shared" si="10"/>
        <v>GAST1CPF - Desp. Lazer e Entretenimento - Bares</v>
      </c>
      <c r="P85" s="37" t="str">
        <f t="shared" si="11"/>
        <v>MCSGAST1CPF - Desp. Lazer e Entretenimento - Bares</v>
      </c>
      <c r="Q85" s="37" t="str">
        <f t="shared" si="12"/>
        <v>MCSGAST1</v>
      </c>
      <c r="R85" s="37" t="str">
        <f t="shared" si="13"/>
        <v>MCSGAST1</v>
      </c>
      <c r="S85" s="31"/>
      <c r="T85" s="185">
        <f t="shared" si="14"/>
        <v>46023</v>
      </c>
      <c r="U85" s="181">
        <v>83</v>
      </c>
    </row>
    <row r="86" spans="2:21" s="181" customFormat="1" x14ac:dyDescent="0.25">
      <c r="B86" s="182" t="s">
        <v>25</v>
      </c>
      <c r="C86" s="183"/>
      <c r="D86" s="54" t="str">
        <f>INDEX(Cad_Natureza!$B$3:$C$52,MATCH('2026'!F86,Cad_Natureza!$C$3:$C$52,0),MATCH('2026'!D$2,Cad_Natureza!$B$3:$C$3,0))</f>
        <v>GAST1</v>
      </c>
      <c r="E86" s="52" t="str">
        <f t="shared" si="15"/>
        <v>Despesa 84</v>
      </c>
      <c r="F86" s="53" t="s">
        <v>65</v>
      </c>
      <c r="G86" s="54" t="s">
        <v>25</v>
      </c>
      <c r="H86" s="55">
        <v>46048</v>
      </c>
      <c r="I86" s="55"/>
      <c r="J86" s="50" t="str">
        <f t="shared" si="16"/>
        <v>Observação da despesa 84</v>
      </c>
      <c r="K86" s="43">
        <v>-15</v>
      </c>
      <c r="L86" s="43">
        <f t="shared" si="17"/>
        <v>764.65000000000032</v>
      </c>
      <c r="M86" s="183"/>
      <c r="N86" s="37" t="str">
        <f t="shared" si="0"/>
        <v>MCSGAST1CPF - Desp. Lazer e Entretenimento - Bares</v>
      </c>
      <c r="O86" s="37" t="str">
        <f t="shared" si="1"/>
        <v>GAST1CPF - Desp. Lazer e Entretenimento - Bares</v>
      </c>
      <c r="P86" s="37" t="str">
        <f t="shared" si="2"/>
        <v>MCSGAST1CPF - Desp. Lazer e Entretenimento - Bares</v>
      </c>
      <c r="Q86" s="37" t="str">
        <f t="shared" si="3"/>
        <v>MCSGAST1</v>
      </c>
      <c r="R86" s="37" t="str">
        <f t="shared" si="4"/>
        <v>MCSGAST1</v>
      </c>
      <c r="S86" s="31"/>
      <c r="T86" s="185">
        <f t="shared" si="5"/>
        <v>46023</v>
      </c>
      <c r="U86" s="181">
        <v>84</v>
      </c>
    </row>
    <row r="87" spans="2:21" s="181" customFormat="1" x14ac:dyDescent="0.25">
      <c r="B87" s="182" t="s">
        <v>25</v>
      </c>
      <c r="C87" s="183"/>
      <c r="D87" s="54" t="str">
        <f>INDEX(Cad_Natureza!$B$3:$C$52,MATCH('2026'!F87,Cad_Natureza!$C$3:$C$52,0),MATCH('2026'!D$2,Cad_Natureza!$B$3:$C$3,0))</f>
        <v>GAST1</v>
      </c>
      <c r="E87" s="52" t="str">
        <f t="shared" si="15"/>
        <v>Despesa 85</v>
      </c>
      <c r="F87" s="53" t="s">
        <v>65</v>
      </c>
      <c r="G87" s="54" t="s">
        <v>25</v>
      </c>
      <c r="H87" s="55">
        <v>46048</v>
      </c>
      <c r="I87" s="55"/>
      <c r="J87" s="50" t="str">
        <f t="shared" si="16"/>
        <v>Observação da despesa 85</v>
      </c>
      <c r="K87" s="43">
        <v>-5.5</v>
      </c>
      <c r="L87" s="43">
        <f t="shared" si="17"/>
        <v>759.15000000000032</v>
      </c>
      <c r="M87" s="183"/>
      <c r="N87" s="37" t="str">
        <f t="shared" si="0"/>
        <v>MCSGAST1CPF - Desp. Lazer e Entretenimento - Bares</v>
      </c>
      <c r="O87" s="37" t="str">
        <f t="shared" si="1"/>
        <v>GAST1CPF - Desp. Lazer e Entretenimento - Bares</v>
      </c>
      <c r="P87" s="37" t="str">
        <f t="shared" si="2"/>
        <v>MCSGAST1CPF - Desp. Lazer e Entretenimento - Bares</v>
      </c>
      <c r="Q87" s="37" t="str">
        <f t="shared" si="3"/>
        <v>MCSGAST1</v>
      </c>
      <c r="R87" s="37" t="str">
        <f t="shared" si="4"/>
        <v>MCSGAST1</v>
      </c>
      <c r="S87" s="31"/>
      <c r="T87" s="185">
        <f t="shared" si="5"/>
        <v>46023</v>
      </c>
      <c r="U87" s="181">
        <v>85</v>
      </c>
    </row>
    <row r="88" spans="2:21" s="181" customFormat="1" x14ac:dyDescent="0.25">
      <c r="B88" s="182" t="s">
        <v>25</v>
      </c>
      <c r="C88" s="183"/>
      <c r="D88" s="54" t="str">
        <f>INDEX(Cad_Natureza!$B$3:$C$52,MATCH('2026'!F88,Cad_Natureza!$C$3:$C$52,0),MATCH('2026'!D$2,Cad_Natureza!$B$3:$C$3,0))</f>
        <v>OPF2</v>
      </c>
      <c r="E88" s="52" t="str">
        <f t="shared" si="15"/>
        <v>Despesa 86</v>
      </c>
      <c r="F88" s="53" t="s">
        <v>64</v>
      </c>
      <c r="G88" s="54" t="s">
        <v>25</v>
      </c>
      <c r="H88" s="55">
        <v>46048</v>
      </c>
      <c r="I88" s="55"/>
      <c r="J88" s="50" t="str">
        <f t="shared" si="16"/>
        <v>Observação da despesa 86</v>
      </c>
      <c r="K88" s="43">
        <v>-50</v>
      </c>
      <c r="L88" s="43">
        <f t="shared" si="17"/>
        <v>709.15000000000032</v>
      </c>
      <c r="M88" s="183"/>
      <c r="N88" s="37" t="str">
        <f t="shared" si="0"/>
        <v>MCSOPF2CPF - Desp. Transporte / Combustível</v>
      </c>
      <c r="O88" s="37" t="str">
        <f t="shared" si="1"/>
        <v>OPF2CPF - Desp. Transporte / Combustível</v>
      </c>
      <c r="P88" s="37" t="str">
        <f t="shared" si="2"/>
        <v>MCSOPF2CPF - Desp. Transporte / Combustível</v>
      </c>
      <c r="Q88" s="37" t="str">
        <f t="shared" si="3"/>
        <v>MCSOPF2</v>
      </c>
      <c r="R88" s="37" t="str">
        <f t="shared" si="4"/>
        <v>MCSOPF2</v>
      </c>
      <c r="S88" s="31"/>
      <c r="T88" s="185">
        <f t="shared" si="5"/>
        <v>46023</v>
      </c>
      <c r="U88" s="181">
        <v>86</v>
      </c>
    </row>
    <row r="89" spans="2:21" s="181" customFormat="1" x14ac:dyDescent="0.25">
      <c r="B89" s="182" t="s">
        <v>25</v>
      </c>
      <c r="C89" s="183"/>
      <c r="D89" s="54" t="str">
        <f>INDEX(Cad_Natureza!$B$3:$C$52,MATCH('2026'!F89,Cad_Natureza!$C$3:$C$52,0),MATCH('2026'!D$2,Cad_Natureza!$B$3:$C$3,0))</f>
        <v>GAST2</v>
      </c>
      <c r="E89" s="52" t="str">
        <f t="shared" si="15"/>
        <v>Despesa 87</v>
      </c>
      <c r="F89" s="53" t="s">
        <v>66</v>
      </c>
      <c r="G89" s="54" t="s">
        <v>25</v>
      </c>
      <c r="H89" s="55">
        <v>46048</v>
      </c>
      <c r="I89" s="55"/>
      <c r="J89" s="50" t="str">
        <f t="shared" si="16"/>
        <v>Observação da despesa 87</v>
      </c>
      <c r="K89" s="43">
        <v>-36</v>
      </c>
      <c r="L89" s="43">
        <f t="shared" si="17"/>
        <v>673.15000000000032</v>
      </c>
      <c r="M89" s="183"/>
      <c r="N89" s="37" t="str">
        <f t="shared" si="0"/>
        <v>MCSGAST2CPF - Desp. Lazer e Entretenimento - Cigarro</v>
      </c>
      <c r="O89" s="37" t="str">
        <f t="shared" si="1"/>
        <v>GAST2CPF - Desp. Lazer e Entretenimento - Cigarro</v>
      </c>
      <c r="P89" s="37" t="str">
        <f t="shared" si="2"/>
        <v>MCSGAST2CPF - Desp. Lazer e Entretenimento - Cigarro</v>
      </c>
      <c r="Q89" s="37" t="str">
        <f t="shared" si="3"/>
        <v>MCSGAST2</v>
      </c>
      <c r="R89" s="37" t="str">
        <f t="shared" si="4"/>
        <v>MCSGAST2</v>
      </c>
      <c r="S89" s="31"/>
      <c r="T89" s="185">
        <f t="shared" si="5"/>
        <v>46023</v>
      </c>
      <c r="U89" s="181">
        <v>87</v>
      </c>
    </row>
    <row r="90" spans="2:21" s="181" customFormat="1" x14ac:dyDescent="0.25">
      <c r="B90" s="182" t="s">
        <v>25</v>
      </c>
      <c r="C90" s="183"/>
      <c r="D90" s="54" t="str">
        <f>INDEX(Cad_Natureza!$B$3:$C$52,MATCH('2026'!F90,Cad_Natureza!$C$3:$C$52,0),MATCH('2026'!D$2,Cad_Natureza!$B$3:$C$3,0))</f>
        <v>GAST1</v>
      </c>
      <c r="E90" s="52" t="str">
        <f t="shared" si="15"/>
        <v>Despesa 88</v>
      </c>
      <c r="F90" s="53" t="s">
        <v>65</v>
      </c>
      <c r="G90" s="54" t="s">
        <v>25</v>
      </c>
      <c r="H90" s="55">
        <v>46048</v>
      </c>
      <c r="I90" s="55"/>
      <c r="J90" s="50" t="str">
        <f t="shared" si="16"/>
        <v>Observação da despesa 88</v>
      </c>
      <c r="K90" s="43">
        <v>-30</v>
      </c>
      <c r="L90" s="43">
        <f t="shared" si="17"/>
        <v>643.15000000000032</v>
      </c>
      <c r="M90" s="183"/>
      <c r="N90" s="37" t="str">
        <f t="shared" si="0"/>
        <v>MCSGAST1CPF - Desp. Lazer e Entretenimento - Bares</v>
      </c>
      <c r="O90" s="37" t="str">
        <f t="shared" si="1"/>
        <v>GAST1CPF - Desp. Lazer e Entretenimento - Bares</v>
      </c>
      <c r="P90" s="37" t="str">
        <f t="shared" si="2"/>
        <v>MCSGAST1CPF - Desp. Lazer e Entretenimento - Bares</v>
      </c>
      <c r="Q90" s="37" t="str">
        <f t="shared" si="3"/>
        <v>MCSGAST1</v>
      </c>
      <c r="R90" s="37" t="str">
        <f t="shared" si="4"/>
        <v>MCSGAST1</v>
      </c>
      <c r="S90" s="31"/>
      <c r="T90" s="185">
        <f t="shared" si="5"/>
        <v>46023</v>
      </c>
      <c r="U90" s="181">
        <v>88</v>
      </c>
    </row>
    <row r="91" spans="2:21" s="181" customFormat="1" x14ac:dyDescent="0.25">
      <c r="B91" s="182" t="s">
        <v>25</v>
      </c>
      <c r="C91" s="183"/>
      <c r="D91" s="54" t="str">
        <f>INDEX(Cad_Natureza!$B$3:$C$52,MATCH('2026'!F91,Cad_Natureza!$C$3:$C$52,0),MATCH('2026'!D$2,Cad_Natureza!$B$3:$C$3,0))</f>
        <v>GAST1</v>
      </c>
      <c r="E91" s="52" t="str">
        <f t="shared" si="15"/>
        <v>Despesa 89</v>
      </c>
      <c r="F91" s="53" t="s">
        <v>65</v>
      </c>
      <c r="G91" s="54" t="s">
        <v>25</v>
      </c>
      <c r="H91" s="55">
        <v>46048</v>
      </c>
      <c r="I91" s="55"/>
      <c r="J91" s="50" t="str">
        <f t="shared" si="16"/>
        <v>Observação da despesa 89</v>
      </c>
      <c r="K91" s="43">
        <v>-30</v>
      </c>
      <c r="L91" s="43">
        <f t="shared" si="17"/>
        <v>613.15000000000032</v>
      </c>
      <c r="M91" s="183"/>
      <c r="N91" s="37" t="str">
        <f t="shared" si="0"/>
        <v>MCSGAST1CPF - Desp. Lazer e Entretenimento - Bares</v>
      </c>
      <c r="O91" s="37" t="str">
        <f t="shared" si="1"/>
        <v>GAST1CPF - Desp. Lazer e Entretenimento - Bares</v>
      </c>
      <c r="P91" s="37" t="str">
        <f t="shared" si="2"/>
        <v>MCSGAST1CPF - Desp. Lazer e Entretenimento - Bares</v>
      </c>
      <c r="Q91" s="37" t="str">
        <f t="shared" si="3"/>
        <v>MCSGAST1</v>
      </c>
      <c r="R91" s="37" t="str">
        <f t="shared" si="4"/>
        <v>MCSGAST1</v>
      </c>
      <c r="S91" s="31"/>
      <c r="T91" s="185">
        <f t="shared" si="5"/>
        <v>46023</v>
      </c>
      <c r="U91" s="181">
        <v>89</v>
      </c>
    </row>
    <row r="92" spans="2:21" s="181" customFormat="1" x14ac:dyDescent="0.25">
      <c r="B92" s="182" t="s">
        <v>25</v>
      </c>
      <c r="C92" s="183"/>
      <c r="D92" s="54" t="str">
        <f>INDEX(Cad_Natureza!$B$3:$C$52,MATCH('2026'!F92,Cad_Natureza!$C$3:$C$52,0),MATCH('2026'!D$2,Cad_Natureza!$B$3:$C$3,0))</f>
        <v>GAST1</v>
      </c>
      <c r="E92" s="52" t="str">
        <f t="shared" si="15"/>
        <v>Despesa 90</v>
      </c>
      <c r="F92" s="53" t="s">
        <v>65</v>
      </c>
      <c r="G92" s="54" t="s">
        <v>25</v>
      </c>
      <c r="H92" s="55">
        <v>46048</v>
      </c>
      <c r="I92" s="55"/>
      <c r="J92" s="50" t="str">
        <f t="shared" si="16"/>
        <v>Observação da despesa 90</v>
      </c>
      <c r="K92" s="43">
        <v>-16.98</v>
      </c>
      <c r="L92" s="43">
        <f t="shared" si="17"/>
        <v>596.1700000000003</v>
      </c>
      <c r="M92" s="183"/>
      <c r="N92" s="37" t="str">
        <f t="shared" si="0"/>
        <v>MCSGAST1CPF - Desp. Lazer e Entretenimento - Bares</v>
      </c>
      <c r="O92" s="37" t="str">
        <f t="shared" si="1"/>
        <v>GAST1CPF - Desp. Lazer e Entretenimento - Bares</v>
      </c>
      <c r="P92" s="37" t="str">
        <f t="shared" si="2"/>
        <v>MCSGAST1CPF - Desp. Lazer e Entretenimento - Bares</v>
      </c>
      <c r="Q92" s="37" t="str">
        <f t="shared" si="3"/>
        <v>MCSGAST1</v>
      </c>
      <c r="R92" s="37" t="str">
        <f t="shared" si="4"/>
        <v>MCSGAST1</v>
      </c>
      <c r="S92" s="31"/>
      <c r="T92" s="185">
        <f t="shared" si="5"/>
        <v>46023</v>
      </c>
      <c r="U92" s="181">
        <v>90</v>
      </c>
    </row>
    <row r="93" spans="2:21" s="181" customFormat="1" x14ac:dyDescent="0.25">
      <c r="B93" s="182" t="s">
        <v>25</v>
      </c>
      <c r="C93" s="183"/>
      <c r="D93" s="54" t="str">
        <f>INDEX(Cad_Natureza!$B$3:$C$52,MATCH('2026'!F93,Cad_Natureza!$C$3:$C$52,0),MATCH('2026'!D$2,Cad_Natureza!$B$3:$C$3,0))</f>
        <v>GAST1</v>
      </c>
      <c r="E93" s="52" t="str">
        <f t="shared" si="15"/>
        <v>Despesa 91</v>
      </c>
      <c r="F93" s="53" t="s">
        <v>65</v>
      </c>
      <c r="G93" s="54" t="s">
        <v>25</v>
      </c>
      <c r="H93" s="55">
        <v>46048</v>
      </c>
      <c r="I93" s="55"/>
      <c r="J93" s="50" t="str">
        <f t="shared" si="16"/>
        <v>Observação da despesa 91</v>
      </c>
      <c r="K93" s="43">
        <v>-8.5</v>
      </c>
      <c r="L93" s="43">
        <f t="shared" si="17"/>
        <v>587.6700000000003</v>
      </c>
      <c r="M93" s="183"/>
      <c r="N93" s="37" t="str">
        <f t="shared" si="0"/>
        <v>MCSGAST1CPF - Desp. Lazer e Entretenimento - Bares</v>
      </c>
      <c r="O93" s="37" t="str">
        <f t="shared" si="1"/>
        <v>GAST1CPF - Desp. Lazer e Entretenimento - Bares</v>
      </c>
      <c r="P93" s="37" t="str">
        <f t="shared" si="2"/>
        <v>MCSGAST1CPF - Desp. Lazer e Entretenimento - Bares</v>
      </c>
      <c r="Q93" s="37" t="str">
        <f t="shared" si="3"/>
        <v>MCSGAST1</v>
      </c>
      <c r="R93" s="37" t="str">
        <f t="shared" si="4"/>
        <v>MCSGAST1</v>
      </c>
      <c r="S93" s="31"/>
      <c r="T93" s="185">
        <f t="shared" si="5"/>
        <v>46023</v>
      </c>
      <c r="U93" s="181">
        <v>91</v>
      </c>
    </row>
    <row r="94" spans="2:21" s="181" customFormat="1" x14ac:dyDescent="0.25">
      <c r="B94" s="182" t="s">
        <v>25</v>
      </c>
      <c r="C94" s="183"/>
      <c r="D94" s="54" t="str">
        <f>INDEX(Cad_Natureza!$B$3:$C$52,MATCH('2026'!F94,Cad_Natureza!$C$3:$C$52,0),MATCH('2026'!D$2,Cad_Natureza!$B$3:$C$3,0))</f>
        <v>GAST1</v>
      </c>
      <c r="E94" s="52" t="str">
        <f t="shared" si="15"/>
        <v>Despesa 92</v>
      </c>
      <c r="F94" s="53" t="s">
        <v>65</v>
      </c>
      <c r="G94" s="54" t="s">
        <v>25</v>
      </c>
      <c r="H94" s="55">
        <v>46048</v>
      </c>
      <c r="I94" s="55"/>
      <c r="J94" s="50" t="str">
        <f t="shared" si="16"/>
        <v>Observação da despesa 92</v>
      </c>
      <c r="K94" s="43">
        <v>-10</v>
      </c>
      <c r="L94" s="43">
        <f t="shared" si="17"/>
        <v>577.6700000000003</v>
      </c>
      <c r="M94" s="183"/>
      <c r="N94" s="37" t="str">
        <f t="shared" ref="N94:N125" si="18">B94&amp;D94&amp;F94</f>
        <v>MCSGAST1CPF - Desp. Lazer e Entretenimento - Bares</v>
      </c>
      <c r="O94" s="37" t="str">
        <f t="shared" ref="O94:O125" si="19">D94&amp;F94</f>
        <v>GAST1CPF - Desp. Lazer e Entretenimento - Bares</v>
      </c>
      <c r="P94" s="37" t="str">
        <f t="shared" ref="P94:P125" si="20">"MCS"&amp;D94&amp;F94</f>
        <v>MCSGAST1CPF - Desp. Lazer e Entretenimento - Bares</v>
      </c>
      <c r="Q94" s="37" t="str">
        <f t="shared" ref="Q94:Q125" si="21">"MCS"&amp;D94</f>
        <v>MCSGAST1</v>
      </c>
      <c r="R94" s="37" t="str">
        <f t="shared" ref="R94:R125" si="22">B94&amp;D94</f>
        <v>MCSGAST1</v>
      </c>
      <c r="S94" s="31"/>
      <c r="T94" s="185">
        <f t="shared" ref="T94:T125" si="23">(1&amp;"/"&amp;MONTH(H94)&amp;"/"&amp;YEAR(H94))*1</f>
        <v>46023</v>
      </c>
      <c r="U94" s="181">
        <v>92</v>
      </c>
    </row>
    <row r="95" spans="2:21" s="181" customFormat="1" x14ac:dyDescent="0.25">
      <c r="B95" s="182" t="s">
        <v>25</v>
      </c>
      <c r="C95" s="183"/>
      <c r="D95" s="54" t="str">
        <f>INDEX(Cad_Natureza!$B$3:$C$52,MATCH('2026'!F95,Cad_Natureza!$C$3:$C$52,0),MATCH('2026'!D$2,Cad_Natureza!$B$3:$C$3,0))</f>
        <v>GAST1</v>
      </c>
      <c r="E95" s="52" t="str">
        <f t="shared" si="15"/>
        <v>Despesa 93</v>
      </c>
      <c r="F95" s="53" t="s">
        <v>65</v>
      </c>
      <c r="G95" s="54" t="s">
        <v>25</v>
      </c>
      <c r="H95" s="55">
        <v>46048</v>
      </c>
      <c r="I95" s="55"/>
      <c r="J95" s="50" t="str">
        <f t="shared" si="16"/>
        <v>Observação da despesa 93</v>
      </c>
      <c r="K95" s="43">
        <v>-9.99</v>
      </c>
      <c r="L95" s="43">
        <f t="shared" si="17"/>
        <v>567.68000000000029</v>
      </c>
      <c r="M95" s="183"/>
      <c r="N95" s="37" t="str">
        <f t="shared" si="18"/>
        <v>MCSGAST1CPF - Desp. Lazer e Entretenimento - Bares</v>
      </c>
      <c r="O95" s="37" t="str">
        <f t="shared" si="19"/>
        <v>GAST1CPF - Desp. Lazer e Entretenimento - Bares</v>
      </c>
      <c r="P95" s="37" t="str">
        <f t="shared" si="20"/>
        <v>MCSGAST1CPF - Desp. Lazer e Entretenimento - Bares</v>
      </c>
      <c r="Q95" s="37" t="str">
        <f t="shared" si="21"/>
        <v>MCSGAST1</v>
      </c>
      <c r="R95" s="37" t="str">
        <f t="shared" si="22"/>
        <v>MCSGAST1</v>
      </c>
      <c r="S95" s="31"/>
      <c r="T95" s="185">
        <f t="shared" si="23"/>
        <v>46023</v>
      </c>
      <c r="U95" s="181">
        <v>93</v>
      </c>
    </row>
    <row r="96" spans="2:21" s="181" customFormat="1" x14ac:dyDescent="0.25">
      <c r="B96" s="182" t="s">
        <v>25</v>
      </c>
      <c r="C96" s="183"/>
      <c r="D96" s="54" t="str">
        <f>INDEX(Cad_Natureza!$B$3:$C$52,MATCH('2026'!F96,Cad_Natureza!$C$3:$C$52,0),MATCH('2026'!D$2,Cad_Natureza!$B$3:$C$3,0))</f>
        <v>GAST1</v>
      </c>
      <c r="E96" s="52" t="str">
        <f t="shared" si="15"/>
        <v>Despesa 94</v>
      </c>
      <c r="F96" s="53" t="s">
        <v>65</v>
      </c>
      <c r="G96" s="54" t="s">
        <v>25</v>
      </c>
      <c r="H96" s="55">
        <v>46048</v>
      </c>
      <c r="I96" s="55"/>
      <c r="J96" s="50" t="str">
        <f t="shared" si="16"/>
        <v>Observação da despesa 94</v>
      </c>
      <c r="K96" s="43">
        <v>-11</v>
      </c>
      <c r="L96" s="43">
        <f t="shared" si="17"/>
        <v>556.68000000000029</v>
      </c>
      <c r="M96" s="183"/>
      <c r="N96" s="37" t="str">
        <f t="shared" si="18"/>
        <v>MCSGAST1CPF - Desp. Lazer e Entretenimento - Bares</v>
      </c>
      <c r="O96" s="37" t="str">
        <f t="shared" si="19"/>
        <v>GAST1CPF - Desp. Lazer e Entretenimento - Bares</v>
      </c>
      <c r="P96" s="37" t="str">
        <f t="shared" si="20"/>
        <v>MCSGAST1CPF - Desp. Lazer e Entretenimento - Bares</v>
      </c>
      <c r="Q96" s="37" t="str">
        <f t="shared" si="21"/>
        <v>MCSGAST1</v>
      </c>
      <c r="R96" s="37" t="str">
        <f t="shared" si="22"/>
        <v>MCSGAST1</v>
      </c>
      <c r="S96" s="31"/>
      <c r="T96" s="185">
        <f t="shared" si="23"/>
        <v>46023</v>
      </c>
      <c r="U96" s="181">
        <v>94</v>
      </c>
    </row>
    <row r="97" spans="2:21" s="181" customFormat="1" x14ac:dyDescent="0.25">
      <c r="B97" s="182" t="s">
        <v>25</v>
      </c>
      <c r="C97" s="183"/>
      <c r="D97" s="54" t="str">
        <f>INDEX(Cad_Natureza!$B$3:$C$52,MATCH('2026'!F97,Cad_Natureza!$C$3:$C$52,0),MATCH('2026'!D$2,Cad_Natureza!$B$3:$C$3,0))</f>
        <v>OPF1</v>
      </c>
      <c r="E97" s="52" t="str">
        <f t="shared" si="15"/>
        <v>Despesa 95</v>
      </c>
      <c r="F97" s="53" t="s">
        <v>67</v>
      </c>
      <c r="G97" s="54" t="s">
        <v>25</v>
      </c>
      <c r="H97" s="55">
        <v>46048</v>
      </c>
      <c r="I97" s="55"/>
      <c r="J97" s="50" t="str">
        <f t="shared" si="16"/>
        <v>Observação da despesa 95</v>
      </c>
      <c r="K97" s="43">
        <v>-20</v>
      </c>
      <c r="L97" s="43">
        <f t="shared" si="17"/>
        <v>536.68000000000029</v>
      </c>
      <c r="M97" s="183"/>
      <c r="N97" s="37" t="str">
        <f t="shared" si="18"/>
        <v>MCSOPF1CPF - Desp. Alimentação / Refeição</v>
      </c>
      <c r="O97" s="37" t="str">
        <f t="shared" si="19"/>
        <v>OPF1CPF - Desp. Alimentação / Refeição</v>
      </c>
      <c r="P97" s="37" t="str">
        <f t="shared" si="20"/>
        <v>MCSOPF1CPF - Desp. Alimentação / Refeição</v>
      </c>
      <c r="Q97" s="37" t="str">
        <f t="shared" si="21"/>
        <v>MCSOPF1</v>
      </c>
      <c r="R97" s="37" t="str">
        <f t="shared" si="22"/>
        <v>MCSOPF1</v>
      </c>
      <c r="S97" s="31"/>
      <c r="T97" s="185">
        <f t="shared" si="23"/>
        <v>46023</v>
      </c>
      <c r="U97" s="181">
        <v>95</v>
      </c>
    </row>
    <row r="98" spans="2:21" s="181" customFormat="1" x14ac:dyDescent="0.25">
      <c r="B98" s="182" t="s">
        <v>25</v>
      </c>
      <c r="C98" s="183"/>
      <c r="D98" s="54" t="str">
        <f>INDEX(Cad_Natureza!$B$3:$C$52,MATCH('2026'!F98,Cad_Natureza!$C$3:$C$52,0),MATCH('2026'!D$2,Cad_Natureza!$B$3:$C$3,0))</f>
        <v>GAST1</v>
      </c>
      <c r="E98" s="52" t="str">
        <f t="shared" si="15"/>
        <v>Despesa 96</v>
      </c>
      <c r="F98" s="53" t="s">
        <v>65</v>
      </c>
      <c r="G98" s="54" t="s">
        <v>25</v>
      </c>
      <c r="H98" s="55">
        <v>46048</v>
      </c>
      <c r="I98" s="55"/>
      <c r="J98" s="50" t="str">
        <f t="shared" si="16"/>
        <v>Observação da despesa 96</v>
      </c>
      <c r="K98" s="43">
        <v>-9</v>
      </c>
      <c r="L98" s="43">
        <f t="shared" si="17"/>
        <v>527.68000000000029</v>
      </c>
      <c r="M98" s="183"/>
      <c r="N98" s="37" t="str">
        <f t="shared" si="18"/>
        <v>MCSGAST1CPF - Desp. Lazer e Entretenimento - Bares</v>
      </c>
      <c r="O98" s="37" t="str">
        <f t="shared" si="19"/>
        <v>GAST1CPF - Desp. Lazer e Entretenimento - Bares</v>
      </c>
      <c r="P98" s="37" t="str">
        <f t="shared" si="20"/>
        <v>MCSGAST1CPF - Desp. Lazer e Entretenimento - Bares</v>
      </c>
      <c r="Q98" s="37" t="str">
        <f t="shared" si="21"/>
        <v>MCSGAST1</v>
      </c>
      <c r="R98" s="37" t="str">
        <f t="shared" si="22"/>
        <v>MCSGAST1</v>
      </c>
      <c r="S98" s="31"/>
      <c r="T98" s="185">
        <f t="shared" si="23"/>
        <v>46023</v>
      </c>
      <c r="U98" s="181">
        <v>96</v>
      </c>
    </row>
    <row r="99" spans="2:21" s="181" customFormat="1" x14ac:dyDescent="0.25">
      <c r="B99" s="182" t="s">
        <v>25</v>
      </c>
      <c r="C99" s="183"/>
      <c r="D99" s="54" t="str">
        <f>INDEX(Cad_Natureza!$B$3:$C$52,MATCH('2026'!F99,Cad_Natureza!$C$3:$C$52,0),MATCH('2026'!D$2,Cad_Natureza!$B$3:$C$3,0))</f>
        <v>OPF1</v>
      </c>
      <c r="E99" s="52" t="str">
        <f t="shared" si="15"/>
        <v>Despesa 97</v>
      </c>
      <c r="F99" s="53" t="s">
        <v>67</v>
      </c>
      <c r="G99" s="54" t="s">
        <v>25</v>
      </c>
      <c r="H99" s="55">
        <v>46049</v>
      </c>
      <c r="I99" s="55"/>
      <c r="J99" s="50" t="str">
        <f t="shared" si="16"/>
        <v>Observação da despesa 97</v>
      </c>
      <c r="K99" s="43">
        <v>-20</v>
      </c>
      <c r="L99" s="43">
        <f t="shared" si="17"/>
        <v>507.68000000000029</v>
      </c>
      <c r="M99" s="183"/>
      <c r="N99" s="37" t="str">
        <f t="shared" si="18"/>
        <v>MCSOPF1CPF - Desp. Alimentação / Refeição</v>
      </c>
      <c r="O99" s="37" t="str">
        <f t="shared" si="19"/>
        <v>OPF1CPF - Desp. Alimentação / Refeição</v>
      </c>
      <c r="P99" s="37" t="str">
        <f t="shared" si="20"/>
        <v>MCSOPF1CPF - Desp. Alimentação / Refeição</v>
      </c>
      <c r="Q99" s="37" t="str">
        <f t="shared" si="21"/>
        <v>MCSOPF1</v>
      </c>
      <c r="R99" s="37" t="str">
        <f t="shared" si="22"/>
        <v>MCSOPF1</v>
      </c>
      <c r="S99" s="31"/>
      <c r="T99" s="185">
        <f t="shared" si="23"/>
        <v>46023</v>
      </c>
      <c r="U99" s="181">
        <v>97</v>
      </c>
    </row>
    <row r="100" spans="2:21" s="181" customFormat="1" x14ac:dyDescent="0.25">
      <c r="B100" s="182" t="s">
        <v>25</v>
      </c>
      <c r="C100" s="183"/>
      <c r="D100" s="54" t="str">
        <f>INDEX(Cad_Natureza!$B$3:$C$52,MATCH('2026'!F100,Cad_Natureza!$C$3:$C$52,0),MATCH('2026'!D$2,Cad_Natureza!$B$3:$C$3,0))</f>
        <v>GAST1</v>
      </c>
      <c r="E100" s="52" t="str">
        <f t="shared" si="15"/>
        <v>Despesa 98</v>
      </c>
      <c r="F100" s="53" t="s">
        <v>65</v>
      </c>
      <c r="G100" s="54" t="s">
        <v>25</v>
      </c>
      <c r="H100" s="55">
        <v>46049</v>
      </c>
      <c r="I100" s="55"/>
      <c r="J100" s="50" t="str">
        <f t="shared" si="16"/>
        <v>Observação da despesa 98</v>
      </c>
      <c r="K100" s="43">
        <v>-16</v>
      </c>
      <c r="L100" s="43">
        <f t="shared" si="17"/>
        <v>491.68000000000029</v>
      </c>
      <c r="M100" s="183"/>
      <c r="N100" s="37" t="str">
        <f t="shared" si="18"/>
        <v>MCSGAST1CPF - Desp. Lazer e Entretenimento - Bares</v>
      </c>
      <c r="O100" s="37" t="str">
        <f t="shared" si="19"/>
        <v>GAST1CPF - Desp. Lazer e Entretenimento - Bares</v>
      </c>
      <c r="P100" s="37" t="str">
        <f t="shared" si="20"/>
        <v>MCSGAST1CPF - Desp. Lazer e Entretenimento - Bares</v>
      </c>
      <c r="Q100" s="37" t="str">
        <f t="shared" si="21"/>
        <v>MCSGAST1</v>
      </c>
      <c r="R100" s="37" t="str">
        <f t="shared" si="22"/>
        <v>MCSGAST1</v>
      </c>
      <c r="S100" s="31"/>
      <c r="T100" s="185">
        <f t="shared" si="23"/>
        <v>46023</v>
      </c>
      <c r="U100" s="181">
        <v>98</v>
      </c>
    </row>
    <row r="101" spans="2:21" s="181" customFormat="1" x14ac:dyDescent="0.25">
      <c r="B101" s="182" t="s">
        <v>25</v>
      </c>
      <c r="C101" s="183"/>
      <c r="D101" s="54" t="str">
        <f>INDEX(Cad_Natureza!$B$3:$C$52,MATCH('2026'!F101,Cad_Natureza!$C$3:$C$52,0),MATCH('2026'!D$2,Cad_Natureza!$B$3:$C$3,0))</f>
        <v>OPF2</v>
      </c>
      <c r="E101" s="52" t="str">
        <f t="shared" si="15"/>
        <v>Despesa 99</v>
      </c>
      <c r="F101" s="53" t="s">
        <v>64</v>
      </c>
      <c r="G101" s="54" t="s">
        <v>25</v>
      </c>
      <c r="H101" s="55">
        <v>46050</v>
      </c>
      <c r="I101" s="55"/>
      <c r="J101" s="50" t="str">
        <f t="shared" si="16"/>
        <v>Observação da despesa 99</v>
      </c>
      <c r="K101" s="43">
        <v>-50</v>
      </c>
      <c r="L101" s="43">
        <f t="shared" si="17"/>
        <v>441.68000000000029</v>
      </c>
      <c r="M101" s="183"/>
      <c r="N101" s="37" t="str">
        <f t="shared" si="18"/>
        <v>MCSOPF2CPF - Desp. Transporte / Combustível</v>
      </c>
      <c r="O101" s="37" t="str">
        <f t="shared" si="19"/>
        <v>OPF2CPF - Desp. Transporte / Combustível</v>
      </c>
      <c r="P101" s="37" t="str">
        <f t="shared" si="20"/>
        <v>MCSOPF2CPF - Desp. Transporte / Combustível</v>
      </c>
      <c r="Q101" s="37" t="str">
        <f t="shared" si="21"/>
        <v>MCSOPF2</v>
      </c>
      <c r="R101" s="37" t="str">
        <f t="shared" si="22"/>
        <v>MCSOPF2</v>
      </c>
      <c r="S101" s="31"/>
      <c r="T101" s="185">
        <f t="shared" si="23"/>
        <v>46023</v>
      </c>
      <c r="U101" s="181">
        <v>99</v>
      </c>
    </row>
    <row r="102" spans="2:21" s="181" customFormat="1" x14ac:dyDescent="0.25">
      <c r="B102" s="182" t="s">
        <v>25</v>
      </c>
      <c r="C102" s="183"/>
      <c r="D102" s="54" t="str">
        <f>INDEX(Cad_Natureza!$B$3:$C$52,MATCH('2026'!F102,Cad_Natureza!$C$3:$C$52,0),MATCH('2026'!D$2,Cad_Natureza!$B$3:$C$3,0))</f>
        <v>OPF1</v>
      </c>
      <c r="E102" s="52" t="str">
        <f t="shared" si="15"/>
        <v>Despesa 100</v>
      </c>
      <c r="F102" s="53" t="s">
        <v>67</v>
      </c>
      <c r="G102" s="54" t="s">
        <v>25</v>
      </c>
      <c r="H102" s="55">
        <v>46050</v>
      </c>
      <c r="I102" s="55"/>
      <c r="J102" s="50" t="str">
        <f t="shared" si="16"/>
        <v>Observação da despesa 100</v>
      </c>
      <c r="K102" s="43">
        <v>-19</v>
      </c>
      <c r="L102" s="43">
        <f t="shared" si="17"/>
        <v>422.68000000000029</v>
      </c>
      <c r="M102" s="183"/>
      <c r="N102" s="37" t="str">
        <f t="shared" si="18"/>
        <v>MCSOPF1CPF - Desp. Alimentação / Refeição</v>
      </c>
      <c r="O102" s="37" t="str">
        <f t="shared" si="19"/>
        <v>OPF1CPF - Desp. Alimentação / Refeição</v>
      </c>
      <c r="P102" s="37" t="str">
        <f t="shared" si="20"/>
        <v>MCSOPF1CPF - Desp. Alimentação / Refeição</v>
      </c>
      <c r="Q102" s="37" t="str">
        <f t="shared" si="21"/>
        <v>MCSOPF1</v>
      </c>
      <c r="R102" s="37" t="str">
        <f t="shared" si="22"/>
        <v>MCSOPF1</v>
      </c>
      <c r="S102" s="31"/>
      <c r="T102" s="185">
        <f t="shared" si="23"/>
        <v>46023</v>
      </c>
      <c r="U102" s="181">
        <v>100</v>
      </c>
    </row>
    <row r="103" spans="2:21" s="181" customFormat="1" x14ac:dyDescent="0.25">
      <c r="B103" s="182" t="s">
        <v>25</v>
      </c>
      <c r="C103" s="183"/>
      <c r="D103" s="54" t="str">
        <f>INDEX(Cad_Natureza!$B$3:$C$52,MATCH('2026'!F103,Cad_Natureza!$C$3:$C$52,0),MATCH('2026'!D$2,Cad_Natureza!$B$3:$C$3,0))</f>
        <v>GAST1</v>
      </c>
      <c r="E103" s="52" t="str">
        <f t="shared" si="15"/>
        <v>Despesa 101</v>
      </c>
      <c r="F103" s="53" t="s">
        <v>65</v>
      </c>
      <c r="G103" s="54" t="s">
        <v>25</v>
      </c>
      <c r="H103" s="55">
        <v>46050</v>
      </c>
      <c r="I103" s="55"/>
      <c r="J103" s="50" t="str">
        <f t="shared" si="16"/>
        <v>Observação da despesa 101</v>
      </c>
      <c r="K103" s="43">
        <v>-49</v>
      </c>
      <c r="L103" s="43">
        <f t="shared" si="17"/>
        <v>373.68000000000029</v>
      </c>
      <c r="M103" s="183"/>
      <c r="N103" s="37" t="str">
        <f t="shared" si="18"/>
        <v>MCSGAST1CPF - Desp. Lazer e Entretenimento - Bares</v>
      </c>
      <c r="O103" s="37" t="str">
        <f t="shared" si="19"/>
        <v>GAST1CPF - Desp. Lazer e Entretenimento - Bares</v>
      </c>
      <c r="P103" s="37" t="str">
        <f t="shared" si="20"/>
        <v>MCSGAST1CPF - Desp. Lazer e Entretenimento - Bares</v>
      </c>
      <c r="Q103" s="37" t="str">
        <f t="shared" si="21"/>
        <v>MCSGAST1</v>
      </c>
      <c r="R103" s="37" t="str">
        <f t="shared" si="22"/>
        <v>MCSGAST1</v>
      </c>
      <c r="S103" s="31"/>
      <c r="T103" s="185">
        <f t="shared" si="23"/>
        <v>46023</v>
      </c>
      <c r="U103" s="181">
        <v>101</v>
      </c>
    </row>
    <row r="104" spans="2:21" s="181" customFormat="1" x14ac:dyDescent="0.25">
      <c r="B104" s="182" t="s">
        <v>25</v>
      </c>
      <c r="C104" s="183"/>
      <c r="D104" s="54" t="str">
        <f>INDEX(Cad_Natureza!$B$3:$C$52,MATCH('2026'!F104,Cad_Natureza!$C$3:$C$52,0),MATCH('2026'!D$2,Cad_Natureza!$B$3:$C$3,0))</f>
        <v>OPF1</v>
      </c>
      <c r="E104" s="52" t="str">
        <f t="shared" si="15"/>
        <v>Despesa 102</v>
      </c>
      <c r="F104" s="53" t="s">
        <v>67</v>
      </c>
      <c r="G104" s="54" t="s">
        <v>25</v>
      </c>
      <c r="H104" s="55">
        <v>46051</v>
      </c>
      <c r="I104" s="55"/>
      <c r="J104" s="50" t="str">
        <f t="shared" si="16"/>
        <v>Observação da despesa 102</v>
      </c>
      <c r="K104" s="43">
        <v>-19</v>
      </c>
      <c r="L104" s="43">
        <f t="shared" si="17"/>
        <v>354.68000000000029</v>
      </c>
      <c r="M104" s="183"/>
      <c r="N104" s="37" t="str">
        <f t="shared" si="18"/>
        <v>MCSOPF1CPF - Desp. Alimentação / Refeição</v>
      </c>
      <c r="O104" s="37" t="str">
        <f t="shared" si="19"/>
        <v>OPF1CPF - Desp. Alimentação / Refeição</v>
      </c>
      <c r="P104" s="37" t="str">
        <f t="shared" si="20"/>
        <v>MCSOPF1CPF - Desp. Alimentação / Refeição</v>
      </c>
      <c r="Q104" s="37" t="str">
        <f t="shared" si="21"/>
        <v>MCSOPF1</v>
      </c>
      <c r="R104" s="37" t="str">
        <f t="shared" si="22"/>
        <v>MCSOPF1</v>
      </c>
      <c r="S104" s="31"/>
      <c r="T104" s="185">
        <f t="shared" si="23"/>
        <v>46023</v>
      </c>
      <c r="U104" s="181">
        <v>102</v>
      </c>
    </row>
    <row r="105" spans="2:21" s="181" customFormat="1" x14ac:dyDescent="0.25">
      <c r="B105" s="182" t="s">
        <v>25</v>
      </c>
      <c r="C105" s="183"/>
      <c r="D105" s="54" t="str">
        <f>INDEX(Cad_Natureza!$B$3:$C$52,MATCH('2026'!F105,Cad_Natureza!$C$3:$C$52,0),MATCH('2026'!D$2,Cad_Natureza!$B$3:$C$3,0))</f>
        <v>GAST2</v>
      </c>
      <c r="E105" s="52" t="str">
        <f t="shared" si="15"/>
        <v>Despesa 103</v>
      </c>
      <c r="F105" s="53" t="s">
        <v>66</v>
      </c>
      <c r="G105" s="54" t="s">
        <v>25</v>
      </c>
      <c r="H105" s="55">
        <v>46051</v>
      </c>
      <c r="I105" s="55"/>
      <c r="J105" s="50" t="str">
        <f t="shared" si="16"/>
        <v>Observação da despesa 103</v>
      </c>
      <c r="K105" s="43">
        <v>-5</v>
      </c>
      <c r="L105" s="43">
        <f t="shared" si="17"/>
        <v>349.68000000000029</v>
      </c>
      <c r="M105" s="183"/>
      <c r="N105" s="37" t="str">
        <f t="shared" si="18"/>
        <v>MCSGAST2CPF - Desp. Lazer e Entretenimento - Cigarro</v>
      </c>
      <c r="O105" s="37" t="str">
        <f t="shared" si="19"/>
        <v>GAST2CPF - Desp. Lazer e Entretenimento - Cigarro</v>
      </c>
      <c r="P105" s="37" t="str">
        <f t="shared" si="20"/>
        <v>MCSGAST2CPF - Desp. Lazer e Entretenimento - Cigarro</v>
      </c>
      <c r="Q105" s="37" t="str">
        <f t="shared" si="21"/>
        <v>MCSGAST2</v>
      </c>
      <c r="R105" s="37" t="str">
        <f t="shared" si="22"/>
        <v>MCSGAST2</v>
      </c>
      <c r="S105" s="31"/>
      <c r="T105" s="185">
        <f t="shared" si="23"/>
        <v>46023</v>
      </c>
      <c r="U105" s="181">
        <v>103</v>
      </c>
    </row>
    <row r="106" spans="2:21" s="181" customFormat="1" x14ac:dyDescent="0.25">
      <c r="B106" s="182" t="s">
        <v>25</v>
      </c>
      <c r="C106" s="183"/>
      <c r="D106" s="54" t="str">
        <f>INDEX(Cad_Natureza!$B$3:$C$52,MATCH('2026'!F106,Cad_Natureza!$C$3:$C$52,0),MATCH('2026'!D$2,Cad_Natureza!$B$3:$C$3,0))</f>
        <v>OPF2</v>
      </c>
      <c r="E106" s="52" t="str">
        <f t="shared" si="15"/>
        <v>Despesa 104</v>
      </c>
      <c r="F106" s="53" t="s">
        <v>64</v>
      </c>
      <c r="G106" s="54" t="s">
        <v>25</v>
      </c>
      <c r="H106" s="55">
        <v>46051</v>
      </c>
      <c r="I106" s="55"/>
      <c r="J106" s="50" t="str">
        <f t="shared" si="16"/>
        <v>Observação da despesa 104</v>
      </c>
      <c r="K106" s="43">
        <v>-50</v>
      </c>
      <c r="L106" s="43">
        <f t="shared" si="17"/>
        <v>299.68000000000029</v>
      </c>
      <c r="M106" s="183"/>
      <c r="N106" s="37" t="str">
        <f t="shared" si="18"/>
        <v>MCSOPF2CPF - Desp. Transporte / Combustível</v>
      </c>
      <c r="O106" s="37" t="str">
        <f t="shared" si="19"/>
        <v>OPF2CPF - Desp. Transporte / Combustível</v>
      </c>
      <c r="P106" s="37" t="str">
        <f t="shared" si="20"/>
        <v>MCSOPF2CPF - Desp. Transporte / Combustível</v>
      </c>
      <c r="Q106" s="37" t="str">
        <f t="shared" si="21"/>
        <v>MCSOPF2</v>
      </c>
      <c r="R106" s="37" t="str">
        <f t="shared" si="22"/>
        <v>MCSOPF2</v>
      </c>
      <c r="S106" s="31"/>
      <c r="T106" s="185">
        <f t="shared" si="23"/>
        <v>46023</v>
      </c>
      <c r="U106" s="181">
        <v>104</v>
      </c>
    </row>
    <row r="107" spans="2:21" s="181" customFormat="1" x14ac:dyDescent="0.25">
      <c r="B107" s="182" t="s">
        <v>25</v>
      </c>
      <c r="C107" s="183"/>
      <c r="D107" s="54" t="str">
        <f>INDEX(Cad_Natureza!$B$3:$C$52,MATCH('2026'!F107,Cad_Natureza!$C$3:$C$52,0),MATCH('2026'!D$2,Cad_Natureza!$B$3:$C$3,0))</f>
        <v>GAST1</v>
      </c>
      <c r="E107" s="52" t="str">
        <f t="shared" si="15"/>
        <v>Despesa 105</v>
      </c>
      <c r="F107" s="53" t="s">
        <v>65</v>
      </c>
      <c r="G107" s="54" t="s">
        <v>25</v>
      </c>
      <c r="H107" s="55">
        <v>46051</v>
      </c>
      <c r="I107" s="55"/>
      <c r="J107" s="50" t="str">
        <f t="shared" si="16"/>
        <v>Observação da despesa 105</v>
      </c>
      <c r="K107" s="43">
        <v>-25</v>
      </c>
      <c r="L107" s="43">
        <f t="shared" si="17"/>
        <v>274.68000000000029</v>
      </c>
      <c r="M107" s="183"/>
      <c r="N107" s="37" t="str">
        <f t="shared" si="18"/>
        <v>MCSGAST1CPF - Desp. Lazer e Entretenimento - Bares</v>
      </c>
      <c r="O107" s="37" t="str">
        <f t="shared" si="19"/>
        <v>GAST1CPF - Desp. Lazer e Entretenimento - Bares</v>
      </c>
      <c r="P107" s="37" t="str">
        <f t="shared" si="20"/>
        <v>MCSGAST1CPF - Desp. Lazer e Entretenimento - Bares</v>
      </c>
      <c r="Q107" s="37" t="str">
        <f t="shared" si="21"/>
        <v>MCSGAST1</v>
      </c>
      <c r="R107" s="37" t="str">
        <f t="shared" si="22"/>
        <v>MCSGAST1</v>
      </c>
      <c r="S107" s="31"/>
      <c r="T107" s="185">
        <f t="shared" si="23"/>
        <v>46023</v>
      </c>
      <c r="U107" s="181">
        <v>105</v>
      </c>
    </row>
    <row r="108" spans="2:21" s="181" customFormat="1" x14ac:dyDescent="0.25">
      <c r="B108" s="182" t="s">
        <v>25</v>
      </c>
      <c r="C108" s="183"/>
      <c r="D108" s="54" t="str">
        <f>INDEX(Cad_Natureza!$B$3:$C$52,MATCH('2026'!F108,Cad_Natureza!$C$3:$C$52,0),MATCH('2026'!D$2,Cad_Natureza!$B$3:$C$3,0))</f>
        <v>OPF2</v>
      </c>
      <c r="E108" s="52" t="str">
        <f t="shared" si="15"/>
        <v>Despesa 106</v>
      </c>
      <c r="F108" s="53" t="s">
        <v>64</v>
      </c>
      <c r="G108" s="54" t="s">
        <v>25</v>
      </c>
      <c r="H108" s="55">
        <v>46052</v>
      </c>
      <c r="I108" s="55"/>
      <c r="J108" s="50" t="str">
        <f t="shared" si="16"/>
        <v>Observação da despesa 106</v>
      </c>
      <c r="K108" s="43">
        <v>-50</v>
      </c>
      <c r="L108" s="43">
        <f t="shared" si="17"/>
        <v>224.68000000000029</v>
      </c>
      <c r="M108" s="183"/>
      <c r="N108" s="37" t="str">
        <f t="shared" si="18"/>
        <v>MCSOPF2CPF - Desp. Transporte / Combustível</v>
      </c>
      <c r="O108" s="37" t="str">
        <f t="shared" si="19"/>
        <v>OPF2CPF - Desp. Transporte / Combustível</v>
      </c>
      <c r="P108" s="37" t="str">
        <f t="shared" si="20"/>
        <v>MCSOPF2CPF - Desp. Transporte / Combustível</v>
      </c>
      <c r="Q108" s="37" t="str">
        <f t="shared" si="21"/>
        <v>MCSOPF2</v>
      </c>
      <c r="R108" s="37" t="str">
        <f t="shared" si="22"/>
        <v>MCSOPF2</v>
      </c>
      <c r="S108" s="31"/>
      <c r="T108" s="185">
        <f t="shared" si="23"/>
        <v>46023</v>
      </c>
      <c r="U108" s="181">
        <v>106</v>
      </c>
    </row>
    <row r="109" spans="2:21" s="181" customFormat="1" x14ac:dyDescent="0.25">
      <c r="B109" s="182" t="s">
        <v>25</v>
      </c>
      <c r="C109" s="183"/>
      <c r="D109" s="54" t="str">
        <f>INDEX(Cad_Natureza!$B$3:$C$52,MATCH('2026'!F109,Cad_Natureza!$C$3:$C$52,0),MATCH('2026'!D$2,Cad_Natureza!$B$3:$C$3,0))</f>
        <v>GAST1</v>
      </c>
      <c r="E109" s="52" t="str">
        <f t="shared" si="15"/>
        <v>Despesa 107</v>
      </c>
      <c r="F109" s="53" t="s">
        <v>65</v>
      </c>
      <c r="G109" s="54" t="s">
        <v>25</v>
      </c>
      <c r="H109" s="55">
        <v>46052</v>
      </c>
      <c r="I109" s="55"/>
      <c r="J109" s="50" t="str">
        <f t="shared" si="16"/>
        <v>Observação da despesa 107</v>
      </c>
      <c r="K109" s="43">
        <v>-60</v>
      </c>
      <c r="L109" s="43">
        <f t="shared" si="17"/>
        <v>164.68000000000029</v>
      </c>
      <c r="M109" s="183"/>
      <c r="N109" s="37" t="str">
        <f t="shared" si="18"/>
        <v>MCSGAST1CPF - Desp. Lazer e Entretenimento - Bares</v>
      </c>
      <c r="O109" s="37" t="str">
        <f t="shared" si="19"/>
        <v>GAST1CPF - Desp. Lazer e Entretenimento - Bares</v>
      </c>
      <c r="P109" s="37" t="str">
        <f t="shared" si="20"/>
        <v>MCSGAST1CPF - Desp. Lazer e Entretenimento - Bares</v>
      </c>
      <c r="Q109" s="37" t="str">
        <f t="shared" si="21"/>
        <v>MCSGAST1</v>
      </c>
      <c r="R109" s="37" t="str">
        <f t="shared" si="22"/>
        <v>MCSGAST1</v>
      </c>
      <c r="S109" s="31"/>
      <c r="T109" s="185">
        <f t="shared" si="23"/>
        <v>46023</v>
      </c>
      <c r="U109" s="181">
        <v>107</v>
      </c>
    </row>
    <row r="110" spans="2:21" s="181" customFormat="1" x14ac:dyDescent="0.25">
      <c r="B110" s="182" t="s">
        <v>25</v>
      </c>
      <c r="C110" s="183"/>
      <c r="D110" s="54" t="str">
        <f>INDEX(Cad_Natureza!$B$3:$C$52,MATCH('2026'!F110,Cad_Natureza!$C$3:$C$52,0),MATCH('2026'!D$2,Cad_Natureza!$B$3:$C$3,0))</f>
        <v>GAST1</v>
      </c>
      <c r="E110" s="52" t="str">
        <f t="shared" si="15"/>
        <v>Despesa 108</v>
      </c>
      <c r="F110" s="53" t="s">
        <v>65</v>
      </c>
      <c r="G110" s="54" t="s">
        <v>25</v>
      </c>
      <c r="H110" s="55">
        <v>46052</v>
      </c>
      <c r="I110" s="55"/>
      <c r="J110" s="50" t="str">
        <f t="shared" si="16"/>
        <v>Observação da despesa 108</v>
      </c>
      <c r="K110" s="43">
        <v>-12</v>
      </c>
      <c r="L110" s="43">
        <f t="shared" si="17"/>
        <v>152.68000000000029</v>
      </c>
      <c r="M110" s="183"/>
      <c r="N110" s="37" t="str">
        <f t="shared" si="18"/>
        <v>MCSGAST1CPF - Desp. Lazer e Entretenimento - Bares</v>
      </c>
      <c r="O110" s="37" t="str">
        <f t="shared" si="19"/>
        <v>GAST1CPF - Desp. Lazer e Entretenimento - Bares</v>
      </c>
      <c r="P110" s="37" t="str">
        <f t="shared" si="20"/>
        <v>MCSGAST1CPF - Desp. Lazer e Entretenimento - Bares</v>
      </c>
      <c r="Q110" s="37" t="str">
        <f t="shared" si="21"/>
        <v>MCSGAST1</v>
      </c>
      <c r="R110" s="37" t="str">
        <f t="shared" si="22"/>
        <v>MCSGAST1</v>
      </c>
      <c r="S110" s="31"/>
      <c r="T110" s="185">
        <f t="shared" si="23"/>
        <v>46023</v>
      </c>
      <c r="U110" s="181">
        <v>108</v>
      </c>
    </row>
    <row r="111" spans="2:21" s="181" customFormat="1" x14ac:dyDescent="0.25">
      <c r="B111" s="182" t="s">
        <v>25</v>
      </c>
      <c r="C111" s="183"/>
      <c r="D111" s="54" t="str">
        <f>INDEX(Cad_Natureza!$B$3:$C$52,MATCH('2026'!F111,Cad_Natureza!$C$3:$C$52,0),MATCH('2026'!D$2,Cad_Natureza!$B$3:$C$3,0))</f>
        <v>GAST1</v>
      </c>
      <c r="E111" s="52" t="str">
        <f t="shared" si="15"/>
        <v>Despesa 109</v>
      </c>
      <c r="F111" s="53" t="s">
        <v>65</v>
      </c>
      <c r="G111" s="54" t="s">
        <v>25</v>
      </c>
      <c r="H111" s="55">
        <v>46055</v>
      </c>
      <c r="I111" s="55"/>
      <c r="J111" s="50" t="str">
        <f t="shared" si="16"/>
        <v>Observação da despesa 109</v>
      </c>
      <c r="K111" s="43">
        <v>-15</v>
      </c>
      <c r="L111" s="43">
        <f t="shared" si="17"/>
        <v>137.68000000000029</v>
      </c>
      <c r="M111" s="183"/>
      <c r="N111" s="37" t="str">
        <f t="shared" si="18"/>
        <v>MCSGAST1CPF - Desp. Lazer e Entretenimento - Bares</v>
      </c>
      <c r="O111" s="37" t="str">
        <f t="shared" si="19"/>
        <v>GAST1CPF - Desp. Lazer e Entretenimento - Bares</v>
      </c>
      <c r="P111" s="37" t="str">
        <f t="shared" si="20"/>
        <v>MCSGAST1CPF - Desp. Lazer e Entretenimento - Bares</v>
      </c>
      <c r="Q111" s="37" t="str">
        <f t="shared" si="21"/>
        <v>MCSGAST1</v>
      </c>
      <c r="R111" s="37" t="str">
        <f t="shared" si="22"/>
        <v>MCSGAST1</v>
      </c>
      <c r="S111" s="31"/>
      <c r="T111" s="185">
        <f t="shared" si="23"/>
        <v>46054</v>
      </c>
      <c r="U111" s="181">
        <v>109</v>
      </c>
    </row>
    <row r="112" spans="2:21" s="181" customFormat="1" x14ac:dyDescent="0.25">
      <c r="B112" s="182" t="s">
        <v>25</v>
      </c>
      <c r="C112" s="183"/>
      <c r="D112" s="54" t="str">
        <f>INDEX(Cad_Natureza!$B$3:$C$52,MATCH('2026'!F112,Cad_Natureza!$C$3:$C$52,0),MATCH('2026'!D$2,Cad_Natureza!$B$3:$C$3,0))</f>
        <v>GAST1</v>
      </c>
      <c r="E112" s="52" t="str">
        <f t="shared" si="15"/>
        <v>Despesa 110</v>
      </c>
      <c r="F112" s="53" t="s">
        <v>65</v>
      </c>
      <c r="G112" s="54" t="s">
        <v>25</v>
      </c>
      <c r="H112" s="55">
        <v>46055</v>
      </c>
      <c r="I112" s="55"/>
      <c r="J112" s="50" t="str">
        <f t="shared" si="16"/>
        <v>Observação da despesa 110</v>
      </c>
      <c r="K112" s="43">
        <v>-6</v>
      </c>
      <c r="L112" s="43">
        <f t="shared" si="17"/>
        <v>131.68000000000029</v>
      </c>
      <c r="M112" s="183"/>
      <c r="N112" s="37" t="str">
        <f t="shared" si="18"/>
        <v>MCSGAST1CPF - Desp. Lazer e Entretenimento - Bares</v>
      </c>
      <c r="O112" s="37" t="str">
        <f t="shared" si="19"/>
        <v>GAST1CPF - Desp. Lazer e Entretenimento - Bares</v>
      </c>
      <c r="P112" s="37" t="str">
        <f t="shared" si="20"/>
        <v>MCSGAST1CPF - Desp. Lazer e Entretenimento - Bares</v>
      </c>
      <c r="Q112" s="37" t="str">
        <f t="shared" si="21"/>
        <v>MCSGAST1</v>
      </c>
      <c r="R112" s="37" t="str">
        <f t="shared" si="22"/>
        <v>MCSGAST1</v>
      </c>
      <c r="S112" s="31"/>
      <c r="T112" s="185">
        <f t="shared" si="23"/>
        <v>46054</v>
      </c>
      <c r="U112" s="181">
        <v>110</v>
      </c>
    </row>
    <row r="113" spans="2:21" s="181" customFormat="1" x14ac:dyDescent="0.25">
      <c r="B113" s="182" t="s">
        <v>25</v>
      </c>
      <c r="C113" s="183"/>
      <c r="D113" s="54" t="str">
        <f>INDEX(Cad_Natureza!$B$3:$C$52,MATCH('2026'!F113,Cad_Natureza!$C$3:$C$52,0),MATCH('2026'!D$2,Cad_Natureza!$B$3:$C$3,0))</f>
        <v>GAST1</v>
      </c>
      <c r="E113" s="52" t="str">
        <f t="shared" si="15"/>
        <v>Despesa 111</v>
      </c>
      <c r="F113" s="53" t="s">
        <v>65</v>
      </c>
      <c r="G113" s="54" t="s">
        <v>25</v>
      </c>
      <c r="H113" s="55">
        <v>46055</v>
      </c>
      <c r="I113" s="55"/>
      <c r="J113" s="50" t="str">
        <f t="shared" si="16"/>
        <v>Observação da despesa 111</v>
      </c>
      <c r="K113" s="43">
        <v>-6</v>
      </c>
      <c r="L113" s="43">
        <f t="shared" si="17"/>
        <v>125.68000000000029</v>
      </c>
      <c r="M113" s="183"/>
      <c r="N113" s="37" t="str">
        <f t="shared" si="18"/>
        <v>MCSGAST1CPF - Desp. Lazer e Entretenimento - Bares</v>
      </c>
      <c r="O113" s="37" t="str">
        <f t="shared" si="19"/>
        <v>GAST1CPF - Desp. Lazer e Entretenimento - Bares</v>
      </c>
      <c r="P113" s="37" t="str">
        <f t="shared" si="20"/>
        <v>MCSGAST1CPF - Desp. Lazer e Entretenimento - Bares</v>
      </c>
      <c r="Q113" s="37" t="str">
        <f t="shared" si="21"/>
        <v>MCSGAST1</v>
      </c>
      <c r="R113" s="37" t="str">
        <f t="shared" si="22"/>
        <v>MCSGAST1</v>
      </c>
      <c r="S113" s="31"/>
      <c r="T113" s="185">
        <f t="shared" si="23"/>
        <v>46054</v>
      </c>
      <c r="U113" s="181">
        <v>111</v>
      </c>
    </row>
    <row r="114" spans="2:21" s="181" customFormat="1" x14ac:dyDescent="0.25">
      <c r="B114" s="182" t="s">
        <v>25</v>
      </c>
      <c r="C114" s="183"/>
      <c r="D114" s="54" t="str">
        <f>INDEX(Cad_Natureza!$B$3:$C$52,MATCH('2026'!F114,Cad_Natureza!$C$3:$C$52,0),MATCH('2026'!D$2,Cad_Natureza!$B$3:$C$3,0))</f>
        <v>GAST2</v>
      </c>
      <c r="E114" s="52" t="str">
        <f t="shared" si="15"/>
        <v>Despesa 112</v>
      </c>
      <c r="F114" s="53" t="s">
        <v>66</v>
      </c>
      <c r="G114" s="54" t="s">
        <v>25</v>
      </c>
      <c r="H114" s="55">
        <v>46055</v>
      </c>
      <c r="I114" s="55"/>
      <c r="J114" s="50" t="str">
        <f t="shared" si="16"/>
        <v>Observação da despesa 112</v>
      </c>
      <c r="K114" s="43">
        <v>-5</v>
      </c>
      <c r="L114" s="43">
        <f t="shared" si="17"/>
        <v>120.68000000000029</v>
      </c>
      <c r="M114" s="183"/>
      <c r="N114" s="37" t="str">
        <f t="shared" si="18"/>
        <v>MCSGAST2CPF - Desp. Lazer e Entretenimento - Cigarro</v>
      </c>
      <c r="O114" s="37" t="str">
        <f t="shared" si="19"/>
        <v>GAST2CPF - Desp. Lazer e Entretenimento - Cigarro</v>
      </c>
      <c r="P114" s="37" t="str">
        <f t="shared" si="20"/>
        <v>MCSGAST2CPF - Desp. Lazer e Entretenimento - Cigarro</v>
      </c>
      <c r="Q114" s="37" t="str">
        <f t="shared" si="21"/>
        <v>MCSGAST2</v>
      </c>
      <c r="R114" s="37" t="str">
        <f t="shared" si="22"/>
        <v>MCSGAST2</v>
      </c>
      <c r="S114" s="31"/>
      <c r="T114" s="185">
        <f t="shared" si="23"/>
        <v>46054</v>
      </c>
      <c r="U114" s="181">
        <v>112</v>
      </c>
    </row>
    <row r="115" spans="2:21" s="181" customFormat="1" x14ac:dyDescent="0.25">
      <c r="B115" s="182" t="s">
        <v>25</v>
      </c>
      <c r="C115" s="183"/>
      <c r="D115" s="54" t="str">
        <f>INDEX(Cad_Natureza!$B$3:$C$52,MATCH('2026'!F115,Cad_Natureza!$C$3:$C$52,0),MATCH('2026'!D$2,Cad_Natureza!$B$3:$C$3,0))</f>
        <v>OPF1</v>
      </c>
      <c r="E115" s="52" t="str">
        <f t="shared" si="15"/>
        <v>Despesa 113</v>
      </c>
      <c r="F115" s="53" t="s">
        <v>67</v>
      </c>
      <c r="G115" s="54" t="s">
        <v>25</v>
      </c>
      <c r="H115" s="55">
        <v>46055</v>
      </c>
      <c r="I115" s="55"/>
      <c r="J115" s="50" t="str">
        <f t="shared" si="16"/>
        <v>Observação da despesa 113</v>
      </c>
      <c r="K115" s="43">
        <v>-20</v>
      </c>
      <c r="L115" s="43">
        <f t="shared" si="17"/>
        <v>100.68000000000029</v>
      </c>
      <c r="M115" s="183"/>
      <c r="N115" s="37" t="str">
        <f t="shared" si="18"/>
        <v>MCSOPF1CPF - Desp. Alimentação / Refeição</v>
      </c>
      <c r="O115" s="37" t="str">
        <f t="shared" si="19"/>
        <v>OPF1CPF - Desp. Alimentação / Refeição</v>
      </c>
      <c r="P115" s="37" t="str">
        <f t="shared" si="20"/>
        <v>MCSOPF1CPF - Desp. Alimentação / Refeição</v>
      </c>
      <c r="Q115" s="37" t="str">
        <f t="shared" si="21"/>
        <v>MCSOPF1</v>
      </c>
      <c r="R115" s="37" t="str">
        <f t="shared" si="22"/>
        <v>MCSOPF1</v>
      </c>
      <c r="S115" s="31"/>
      <c r="T115" s="185">
        <f t="shared" si="23"/>
        <v>46054</v>
      </c>
      <c r="U115" s="181">
        <v>113</v>
      </c>
    </row>
    <row r="116" spans="2:21" s="181" customFormat="1" x14ac:dyDescent="0.25">
      <c r="B116" s="182" t="s">
        <v>25</v>
      </c>
      <c r="C116" s="183"/>
      <c r="D116" s="54" t="str">
        <f>INDEX(Cad_Natureza!$B$3:$C$52,MATCH('2026'!F116,Cad_Natureza!$C$3:$C$52,0),MATCH('2026'!D$2,Cad_Natureza!$B$3:$C$3,0))</f>
        <v>OPF1</v>
      </c>
      <c r="E116" s="52" t="str">
        <f t="shared" si="15"/>
        <v>Despesa 114</v>
      </c>
      <c r="F116" s="53" t="s">
        <v>67</v>
      </c>
      <c r="G116" s="54" t="s">
        <v>25</v>
      </c>
      <c r="H116" s="55">
        <v>46055</v>
      </c>
      <c r="I116" s="55"/>
      <c r="J116" s="50" t="str">
        <f t="shared" si="16"/>
        <v>Observação da despesa 114</v>
      </c>
      <c r="K116" s="43">
        <v>-3</v>
      </c>
      <c r="L116" s="43">
        <f t="shared" si="17"/>
        <v>97.680000000000291</v>
      </c>
      <c r="M116" s="183"/>
      <c r="N116" s="37" t="str">
        <f t="shared" si="18"/>
        <v>MCSOPF1CPF - Desp. Alimentação / Refeição</v>
      </c>
      <c r="O116" s="37" t="str">
        <f t="shared" si="19"/>
        <v>OPF1CPF - Desp. Alimentação / Refeição</v>
      </c>
      <c r="P116" s="37" t="str">
        <f t="shared" si="20"/>
        <v>MCSOPF1CPF - Desp. Alimentação / Refeição</v>
      </c>
      <c r="Q116" s="37" t="str">
        <f t="shared" si="21"/>
        <v>MCSOPF1</v>
      </c>
      <c r="R116" s="37" t="str">
        <f t="shared" si="22"/>
        <v>MCSOPF1</v>
      </c>
      <c r="S116" s="31"/>
      <c r="T116" s="185">
        <f t="shared" si="23"/>
        <v>46054</v>
      </c>
      <c r="U116" s="181">
        <v>114</v>
      </c>
    </row>
    <row r="117" spans="2:21" s="181" customFormat="1" x14ac:dyDescent="0.25">
      <c r="B117" s="182" t="s">
        <v>25</v>
      </c>
      <c r="C117" s="183"/>
      <c r="D117" s="54" t="str">
        <f>INDEX(Cad_Natureza!$B$3:$C$52,MATCH('2026'!F117,Cad_Natureza!$C$3:$C$52,0),MATCH('2026'!D$2,Cad_Natureza!$B$3:$C$3,0))</f>
        <v>OPF1</v>
      </c>
      <c r="E117" s="52" t="str">
        <f t="shared" si="15"/>
        <v>Despesa 115</v>
      </c>
      <c r="F117" s="53" t="s">
        <v>67</v>
      </c>
      <c r="G117" s="54" t="s">
        <v>25</v>
      </c>
      <c r="H117" s="55">
        <v>46056</v>
      </c>
      <c r="I117" s="55"/>
      <c r="J117" s="50" t="str">
        <f t="shared" si="16"/>
        <v>Observação da despesa 115</v>
      </c>
      <c r="K117" s="43">
        <v>-20</v>
      </c>
      <c r="L117" s="43">
        <f t="shared" si="17"/>
        <v>77.680000000000291</v>
      </c>
      <c r="M117" s="183"/>
      <c r="N117" s="37" t="str">
        <f t="shared" si="18"/>
        <v>MCSOPF1CPF - Desp. Alimentação / Refeição</v>
      </c>
      <c r="O117" s="37" t="str">
        <f t="shared" si="19"/>
        <v>OPF1CPF - Desp. Alimentação / Refeição</v>
      </c>
      <c r="P117" s="37" t="str">
        <f t="shared" si="20"/>
        <v>MCSOPF1CPF - Desp. Alimentação / Refeição</v>
      </c>
      <c r="Q117" s="37" t="str">
        <f t="shared" si="21"/>
        <v>MCSOPF1</v>
      </c>
      <c r="R117" s="37" t="str">
        <f t="shared" si="22"/>
        <v>MCSOPF1</v>
      </c>
      <c r="S117" s="31"/>
      <c r="T117" s="185">
        <f t="shared" si="23"/>
        <v>46054</v>
      </c>
      <c r="U117" s="181">
        <v>115</v>
      </c>
    </row>
    <row r="118" spans="2:21" s="181" customFormat="1" x14ac:dyDescent="0.25">
      <c r="B118" s="182" t="s">
        <v>25</v>
      </c>
      <c r="C118" s="183"/>
      <c r="D118" s="54" t="str">
        <f>INDEX(Cad_Natureza!$B$3:$C$52,MATCH('2026'!F118,Cad_Natureza!$C$3:$C$52,0),MATCH('2026'!D$2,Cad_Natureza!$B$3:$C$3,0))</f>
        <v>GAST2</v>
      </c>
      <c r="E118" s="52" t="str">
        <f t="shared" si="15"/>
        <v>Despesa 116</v>
      </c>
      <c r="F118" s="53" t="s">
        <v>66</v>
      </c>
      <c r="G118" s="54" t="s">
        <v>25</v>
      </c>
      <c r="H118" s="55">
        <v>46056</v>
      </c>
      <c r="I118" s="55"/>
      <c r="J118" s="50" t="str">
        <f t="shared" si="16"/>
        <v>Observação da despesa 116</v>
      </c>
      <c r="K118" s="43">
        <v>-3</v>
      </c>
      <c r="L118" s="43">
        <f t="shared" si="17"/>
        <v>74.680000000000291</v>
      </c>
      <c r="M118" s="183"/>
      <c r="N118" s="37" t="str">
        <f t="shared" si="18"/>
        <v>MCSGAST2CPF - Desp. Lazer e Entretenimento - Cigarro</v>
      </c>
      <c r="O118" s="37" t="str">
        <f t="shared" si="19"/>
        <v>GAST2CPF - Desp. Lazer e Entretenimento - Cigarro</v>
      </c>
      <c r="P118" s="37" t="str">
        <f t="shared" si="20"/>
        <v>MCSGAST2CPF - Desp. Lazer e Entretenimento - Cigarro</v>
      </c>
      <c r="Q118" s="37" t="str">
        <f t="shared" si="21"/>
        <v>MCSGAST2</v>
      </c>
      <c r="R118" s="37" t="str">
        <f t="shared" si="22"/>
        <v>MCSGAST2</v>
      </c>
      <c r="S118" s="31"/>
      <c r="T118" s="185">
        <f t="shared" si="23"/>
        <v>46054</v>
      </c>
      <c r="U118" s="181">
        <v>116</v>
      </c>
    </row>
    <row r="119" spans="2:21" s="181" customFormat="1" x14ac:dyDescent="0.25">
      <c r="B119" s="182" t="s">
        <v>25</v>
      </c>
      <c r="C119" s="183"/>
      <c r="D119" s="54" t="str">
        <f>INDEX(Cad_Natureza!$B$3:$C$52,MATCH('2026'!F119,Cad_Natureza!$C$3:$C$52,0),MATCH('2026'!D$2,Cad_Natureza!$B$3:$C$3,0))</f>
        <v>OPF2</v>
      </c>
      <c r="E119" s="52" t="str">
        <f t="shared" si="15"/>
        <v>Despesa 117</v>
      </c>
      <c r="F119" s="53" t="s">
        <v>64</v>
      </c>
      <c r="G119" s="54" t="s">
        <v>25</v>
      </c>
      <c r="H119" s="55">
        <v>46056</v>
      </c>
      <c r="I119" s="55"/>
      <c r="J119" s="50" t="str">
        <f t="shared" si="16"/>
        <v>Observação da despesa 117</v>
      </c>
      <c r="K119" s="43">
        <v>-50</v>
      </c>
      <c r="L119" s="43">
        <f t="shared" si="17"/>
        <v>24.680000000000291</v>
      </c>
      <c r="M119" s="183"/>
      <c r="N119" s="37" t="str">
        <f t="shared" si="18"/>
        <v>MCSOPF2CPF - Desp. Transporte / Combustível</v>
      </c>
      <c r="O119" s="37" t="str">
        <f t="shared" si="19"/>
        <v>OPF2CPF - Desp. Transporte / Combustível</v>
      </c>
      <c r="P119" s="37" t="str">
        <f t="shared" si="20"/>
        <v>MCSOPF2CPF - Desp. Transporte / Combustível</v>
      </c>
      <c r="Q119" s="37" t="str">
        <f t="shared" si="21"/>
        <v>MCSOPF2</v>
      </c>
      <c r="R119" s="37" t="str">
        <f t="shared" si="22"/>
        <v>MCSOPF2</v>
      </c>
      <c r="S119" s="31"/>
      <c r="T119" s="185">
        <f t="shared" si="23"/>
        <v>46054</v>
      </c>
      <c r="U119" s="181">
        <v>117</v>
      </c>
    </row>
    <row r="120" spans="2:21" s="181" customFormat="1" x14ac:dyDescent="0.25">
      <c r="B120" s="182" t="s">
        <v>25</v>
      </c>
      <c r="C120" s="183"/>
      <c r="D120" s="54" t="str">
        <f>INDEX(Cad_Natureza!$B$3:$C$52,MATCH('2026'!F120,Cad_Natureza!$C$3:$C$52,0),MATCH('2026'!D$2,Cad_Natureza!$B$3:$C$3,0))</f>
        <v>GAST2</v>
      </c>
      <c r="E120" s="52" t="str">
        <f t="shared" si="15"/>
        <v>Despesa 118</v>
      </c>
      <c r="F120" s="53" t="s">
        <v>66</v>
      </c>
      <c r="G120" s="54" t="s">
        <v>25</v>
      </c>
      <c r="H120" s="55">
        <v>46056</v>
      </c>
      <c r="I120" s="55"/>
      <c r="J120" s="50" t="str">
        <f t="shared" si="16"/>
        <v>Observação da despesa 118</v>
      </c>
      <c r="K120" s="43">
        <v>-5</v>
      </c>
      <c r="L120" s="43">
        <f t="shared" si="17"/>
        <v>19.680000000000291</v>
      </c>
      <c r="M120" s="183"/>
      <c r="N120" s="37" t="str">
        <f t="shared" si="18"/>
        <v>MCSGAST2CPF - Desp. Lazer e Entretenimento - Cigarro</v>
      </c>
      <c r="O120" s="37" t="str">
        <f t="shared" si="19"/>
        <v>GAST2CPF - Desp. Lazer e Entretenimento - Cigarro</v>
      </c>
      <c r="P120" s="37" t="str">
        <f t="shared" si="20"/>
        <v>MCSGAST2CPF - Desp. Lazer e Entretenimento - Cigarro</v>
      </c>
      <c r="Q120" s="37" t="str">
        <f t="shared" si="21"/>
        <v>MCSGAST2</v>
      </c>
      <c r="R120" s="37" t="str">
        <f t="shared" si="22"/>
        <v>MCSGAST2</v>
      </c>
      <c r="S120" s="31"/>
      <c r="T120" s="185">
        <f t="shared" si="23"/>
        <v>46054</v>
      </c>
      <c r="U120" s="181">
        <v>118</v>
      </c>
    </row>
    <row r="121" spans="2:21" s="181" customFormat="1" x14ac:dyDescent="0.25">
      <c r="B121" s="182" t="s">
        <v>25</v>
      </c>
      <c r="C121" s="183"/>
      <c r="D121" s="54" t="str">
        <f>INDEX(Cad_Natureza!$B$3:$C$52,MATCH('2026'!F121,Cad_Natureza!$C$3:$C$52,0),MATCH('2026'!D$2,Cad_Natureza!$B$3:$C$3,0))</f>
        <v>OUG1</v>
      </c>
      <c r="E121" s="52" t="str">
        <f t="shared" si="15"/>
        <v>Despesa 119</v>
      </c>
      <c r="F121" s="53" t="s">
        <v>70</v>
      </c>
      <c r="G121" s="54" t="s">
        <v>25</v>
      </c>
      <c r="H121" s="55">
        <v>46057</v>
      </c>
      <c r="I121" s="55"/>
      <c r="J121" s="50" t="str">
        <f t="shared" si="16"/>
        <v>Observação da despesa 119</v>
      </c>
      <c r="K121" s="43">
        <v>-18</v>
      </c>
      <c r="L121" s="43">
        <f t="shared" si="17"/>
        <v>1.680000000000291</v>
      </c>
      <c r="M121" s="183"/>
      <c r="N121" s="37" t="str">
        <f t="shared" si="18"/>
        <v>MCSOUG1CPF - Outros gastos</v>
      </c>
      <c r="O121" s="37" t="str">
        <f t="shared" si="19"/>
        <v>OUG1CPF - Outros gastos</v>
      </c>
      <c r="P121" s="37" t="str">
        <f t="shared" si="20"/>
        <v>MCSOUG1CPF - Outros gastos</v>
      </c>
      <c r="Q121" s="37" t="str">
        <f t="shared" si="21"/>
        <v>MCSOUG1</v>
      </c>
      <c r="R121" s="37" t="str">
        <f t="shared" si="22"/>
        <v>MCSOUG1</v>
      </c>
      <c r="S121" s="31"/>
      <c r="T121" s="185">
        <f t="shared" si="23"/>
        <v>46054</v>
      </c>
      <c r="U121" s="181">
        <v>119</v>
      </c>
    </row>
    <row r="122" spans="2:21" s="177" customFormat="1" x14ac:dyDescent="0.25">
      <c r="B122" s="174" t="s">
        <v>25</v>
      </c>
      <c r="C122" s="51"/>
      <c r="D122" s="44" t="str">
        <f>INDEX(Cad_Natureza!$B$3:$C$52,MATCH('2026'!F122,Cad_Natureza!$C$3:$C$52,0),MATCH('2026'!D$2,Cad_Natureza!$B$3:$C$3,0))</f>
        <v>REC5</v>
      </c>
      <c r="E122" s="45" t="str">
        <f t="shared" si="15"/>
        <v>Receita 120</v>
      </c>
      <c r="F122" s="46" t="s">
        <v>63</v>
      </c>
      <c r="G122" s="44" t="s">
        <v>25</v>
      </c>
      <c r="H122" s="47">
        <v>46058</v>
      </c>
      <c r="I122" s="47"/>
      <c r="J122" s="48" t="str">
        <f t="shared" si="16"/>
        <v>Observação da receita 120</v>
      </c>
      <c r="K122" s="49">
        <v>17.62</v>
      </c>
      <c r="L122" s="49">
        <f t="shared" si="17"/>
        <v>19.300000000000292</v>
      </c>
      <c r="M122" s="51"/>
      <c r="N122" s="37" t="str">
        <f t="shared" si="18"/>
        <v>MCSREC5CPF - Outras receitas</v>
      </c>
      <c r="O122" s="37" t="str">
        <f t="shared" si="19"/>
        <v>REC5CPF - Outras receitas</v>
      </c>
      <c r="P122" s="37" t="str">
        <f t="shared" si="20"/>
        <v>MCSREC5CPF - Outras receitas</v>
      </c>
      <c r="Q122" s="37" t="str">
        <f t="shared" si="21"/>
        <v>MCSREC5</v>
      </c>
      <c r="R122" s="37" t="str">
        <f t="shared" si="22"/>
        <v>MCSREC5</v>
      </c>
      <c r="S122" s="31"/>
      <c r="T122" s="176">
        <f t="shared" si="23"/>
        <v>46054</v>
      </c>
      <c r="U122" s="181">
        <v>120</v>
      </c>
    </row>
    <row r="123" spans="2:21" s="177" customFormat="1" x14ac:dyDescent="0.25">
      <c r="B123" s="174" t="s">
        <v>25</v>
      </c>
      <c r="C123" s="51"/>
      <c r="D123" s="44" t="str">
        <f>INDEX(Cad_Natureza!$B$3:$C$52,MATCH('2026'!F123,Cad_Natureza!$C$3:$C$52,0),MATCH('2026'!D$2,Cad_Natureza!$B$3:$C$3,0))</f>
        <v>REC4</v>
      </c>
      <c r="E123" s="45" t="str">
        <f t="shared" si="15"/>
        <v>Receita 121</v>
      </c>
      <c r="F123" s="46" t="s">
        <v>57</v>
      </c>
      <c r="G123" s="44" t="s">
        <v>25</v>
      </c>
      <c r="H123" s="47">
        <v>46059</v>
      </c>
      <c r="I123" s="47"/>
      <c r="J123" s="48" t="str">
        <f t="shared" si="16"/>
        <v>Observação da receita 121</v>
      </c>
      <c r="K123" s="49">
        <v>100</v>
      </c>
      <c r="L123" s="49">
        <f t="shared" si="17"/>
        <v>119.3000000000003</v>
      </c>
      <c r="M123" s="51"/>
      <c r="N123" s="175" t="str">
        <f t="shared" si="18"/>
        <v>MCSREC4CPF - Transf. Da conta PJ para a conta PF</v>
      </c>
      <c r="O123" s="175" t="str">
        <f t="shared" si="19"/>
        <v>REC4CPF - Transf. Da conta PJ para a conta PF</v>
      </c>
      <c r="P123" s="175" t="str">
        <f t="shared" si="20"/>
        <v>MCSREC4CPF - Transf. Da conta PJ para a conta PF</v>
      </c>
      <c r="Q123" s="175" t="str">
        <f t="shared" si="21"/>
        <v>MCSREC4</v>
      </c>
      <c r="R123" s="175" t="str">
        <f t="shared" si="22"/>
        <v>MCSREC4</v>
      </c>
      <c r="S123" s="51"/>
      <c r="T123" s="176">
        <f t="shared" si="23"/>
        <v>46054</v>
      </c>
      <c r="U123" s="181">
        <v>121</v>
      </c>
    </row>
    <row r="124" spans="2:21" s="177" customFormat="1" x14ac:dyDescent="0.25">
      <c r="B124" s="174" t="s">
        <v>25</v>
      </c>
      <c r="C124" s="51"/>
      <c r="D124" s="44" t="str">
        <f>INDEX(Cad_Natureza!$B$3:$C$52,MATCH('2026'!F124,Cad_Natureza!$C$3:$C$52,0),MATCH('2026'!D$2,Cad_Natureza!$B$3:$C$3,0))</f>
        <v>REC4</v>
      </c>
      <c r="E124" s="45" t="str">
        <f t="shared" si="15"/>
        <v>Receita 122</v>
      </c>
      <c r="F124" s="46" t="s">
        <v>57</v>
      </c>
      <c r="G124" s="44" t="s">
        <v>25</v>
      </c>
      <c r="H124" s="47">
        <v>46059</v>
      </c>
      <c r="I124" s="47"/>
      <c r="J124" s="48" t="str">
        <f t="shared" si="16"/>
        <v>Observação da receita 122</v>
      </c>
      <c r="K124" s="49">
        <v>4000</v>
      </c>
      <c r="L124" s="49">
        <f t="shared" si="17"/>
        <v>4119.3</v>
      </c>
      <c r="M124" s="51"/>
      <c r="N124" s="175" t="str">
        <f t="shared" si="18"/>
        <v>MCSREC4CPF - Transf. Da conta PJ para a conta PF</v>
      </c>
      <c r="O124" s="175" t="str">
        <f t="shared" si="19"/>
        <v>REC4CPF - Transf. Da conta PJ para a conta PF</v>
      </c>
      <c r="P124" s="175" t="str">
        <f t="shared" si="20"/>
        <v>MCSREC4CPF - Transf. Da conta PJ para a conta PF</v>
      </c>
      <c r="Q124" s="175" t="str">
        <f t="shared" si="21"/>
        <v>MCSREC4</v>
      </c>
      <c r="R124" s="175" t="str">
        <f t="shared" si="22"/>
        <v>MCSREC4</v>
      </c>
      <c r="S124" s="51"/>
      <c r="T124" s="176">
        <f t="shared" si="23"/>
        <v>46054</v>
      </c>
      <c r="U124" s="181">
        <v>122</v>
      </c>
    </row>
    <row r="125" spans="2:21" s="181" customFormat="1" x14ac:dyDescent="0.25">
      <c r="B125" s="182" t="s">
        <v>25</v>
      </c>
      <c r="C125" s="183"/>
      <c r="D125" s="54" t="str">
        <f>INDEX(Cad_Natureza!$B$3:$C$52,MATCH('2026'!F125,Cad_Natureza!$C$3:$C$52,0),MATCH('2026'!D$2,Cad_Natureza!$B$3:$C$3,0))</f>
        <v>OPF2</v>
      </c>
      <c r="E125" s="52" t="str">
        <f t="shared" si="15"/>
        <v>Despesa 123</v>
      </c>
      <c r="F125" s="53" t="s">
        <v>64</v>
      </c>
      <c r="G125" s="54" t="s">
        <v>25</v>
      </c>
      <c r="H125" s="55">
        <v>46059</v>
      </c>
      <c r="I125" s="55"/>
      <c r="J125" s="50" t="str">
        <f t="shared" si="16"/>
        <v>Observação da despesa 123</v>
      </c>
      <c r="K125" s="43">
        <v>-50</v>
      </c>
      <c r="L125" s="43">
        <f t="shared" si="17"/>
        <v>4069.3</v>
      </c>
      <c r="M125" s="183"/>
      <c r="N125" s="37" t="str">
        <f t="shared" si="18"/>
        <v>MCSOPF2CPF - Desp. Transporte / Combustível</v>
      </c>
      <c r="O125" s="37" t="str">
        <f t="shared" si="19"/>
        <v>OPF2CPF - Desp. Transporte / Combustível</v>
      </c>
      <c r="P125" s="37" t="str">
        <f t="shared" si="20"/>
        <v>MCSOPF2CPF - Desp. Transporte / Combustível</v>
      </c>
      <c r="Q125" s="37" t="str">
        <f t="shared" si="21"/>
        <v>MCSOPF2</v>
      </c>
      <c r="R125" s="37" t="str">
        <f t="shared" si="22"/>
        <v>MCSOPF2</v>
      </c>
      <c r="S125" s="31"/>
      <c r="T125" s="185">
        <f t="shared" si="23"/>
        <v>46054</v>
      </c>
      <c r="U125" s="181">
        <v>123</v>
      </c>
    </row>
    <row r="126" spans="2:21" s="181" customFormat="1" x14ac:dyDescent="0.25">
      <c r="B126" s="182" t="s">
        <v>25</v>
      </c>
      <c r="C126" s="183"/>
      <c r="D126" s="54" t="str">
        <f>INDEX(Cad_Natureza!$B$3:$C$52,MATCH('2026'!F126,Cad_Natureza!$C$3:$C$52,0),MATCH('2026'!D$2,Cad_Natureza!$B$3:$C$3,0))</f>
        <v>GAST1</v>
      </c>
      <c r="E126" s="52" t="str">
        <f t="shared" si="15"/>
        <v>Despesa 124</v>
      </c>
      <c r="F126" s="53" t="s">
        <v>65</v>
      </c>
      <c r="G126" s="54" t="s">
        <v>25</v>
      </c>
      <c r="H126" s="55">
        <v>46059</v>
      </c>
      <c r="I126" s="55"/>
      <c r="J126" s="50" t="str">
        <f t="shared" si="16"/>
        <v>Observação da despesa 124</v>
      </c>
      <c r="K126" s="43">
        <v>-60.5</v>
      </c>
      <c r="L126" s="43">
        <f t="shared" si="17"/>
        <v>4008.8</v>
      </c>
      <c r="M126" s="183"/>
      <c r="N126" s="37" t="str">
        <f t="shared" ref="N126:N133" si="24">B126&amp;D126&amp;F126</f>
        <v>MCSGAST1CPF - Desp. Lazer e Entretenimento - Bares</v>
      </c>
      <c r="O126" s="37" t="str">
        <f t="shared" ref="O126:O133" si="25">D126&amp;F126</f>
        <v>GAST1CPF - Desp. Lazer e Entretenimento - Bares</v>
      </c>
      <c r="P126" s="37" t="str">
        <f t="shared" ref="P126:P133" si="26">"MCS"&amp;D126&amp;F126</f>
        <v>MCSGAST1CPF - Desp. Lazer e Entretenimento - Bares</v>
      </c>
      <c r="Q126" s="37" t="str">
        <f t="shared" ref="Q126:Q133" si="27">"MCS"&amp;D126</f>
        <v>MCSGAST1</v>
      </c>
      <c r="R126" s="37" t="str">
        <f t="shared" ref="R126:R133" si="28">B126&amp;D126</f>
        <v>MCSGAST1</v>
      </c>
      <c r="S126" s="31"/>
      <c r="T126" s="185">
        <f t="shared" ref="T126:T133" si="29">(1&amp;"/"&amp;MONTH(H126)&amp;"/"&amp;YEAR(H126))*1</f>
        <v>46054</v>
      </c>
      <c r="U126" s="181">
        <v>124</v>
      </c>
    </row>
    <row r="127" spans="2:21" s="181" customFormat="1" x14ac:dyDescent="0.25">
      <c r="B127" s="182" t="s">
        <v>25</v>
      </c>
      <c r="C127" s="183"/>
      <c r="D127" s="54" t="str">
        <f>INDEX(Cad_Natureza!$B$3:$C$52,MATCH('2026'!F127,Cad_Natureza!$C$3:$C$52,0),MATCH('2026'!D$2,Cad_Natureza!$B$3:$C$3,0))</f>
        <v>DESP1</v>
      </c>
      <c r="E127" s="52" t="str">
        <f t="shared" si="15"/>
        <v>Despesa 125</v>
      </c>
      <c r="F127" s="53" t="s">
        <v>56</v>
      </c>
      <c r="G127" s="54" t="s">
        <v>25</v>
      </c>
      <c r="H127" s="55">
        <v>46059</v>
      </c>
      <c r="I127" s="55"/>
      <c r="J127" s="50" t="str">
        <f t="shared" si="16"/>
        <v>Observação da despesa 125</v>
      </c>
      <c r="K127" s="43">
        <v>-5.9</v>
      </c>
      <c r="L127" s="43">
        <f t="shared" si="17"/>
        <v>4002.9</v>
      </c>
      <c r="M127" s="183"/>
      <c r="N127" s="37" t="str">
        <f t="shared" si="24"/>
        <v>MCSDESP1CPF - Desp. Cartão de crédito</v>
      </c>
      <c r="O127" s="37" t="str">
        <f t="shared" si="25"/>
        <v>DESP1CPF - Desp. Cartão de crédito</v>
      </c>
      <c r="P127" s="37" t="str">
        <f t="shared" si="26"/>
        <v>MCSDESP1CPF - Desp. Cartão de crédito</v>
      </c>
      <c r="Q127" s="37" t="str">
        <f t="shared" si="27"/>
        <v>MCSDESP1</v>
      </c>
      <c r="R127" s="37" t="str">
        <f t="shared" si="28"/>
        <v>MCSDESP1</v>
      </c>
      <c r="S127" s="31"/>
      <c r="T127" s="185">
        <f t="shared" si="29"/>
        <v>46054</v>
      </c>
      <c r="U127" s="181">
        <v>125</v>
      </c>
    </row>
    <row r="128" spans="2:21" s="181" customFormat="1" x14ac:dyDescent="0.25">
      <c r="B128" s="182" t="s">
        <v>25</v>
      </c>
      <c r="C128" s="183"/>
      <c r="D128" s="54" t="str">
        <f>INDEX(Cad_Natureza!$B$3:$C$52,MATCH('2026'!F128,Cad_Natureza!$C$3:$C$52,0),MATCH('2026'!D$2,Cad_Natureza!$B$3:$C$3,0))</f>
        <v>PENS3</v>
      </c>
      <c r="E128" s="52" t="str">
        <f t="shared" si="15"/>
        <v>Despesa 126</v>
      </c>
      <c r="F128" s="53" t="s">
        <v>69</v>
      </c>
      <c r="G128" s="54" t="s">
        <v>25</v>
      </c>
      <c r="H128" s="55">
        <v>46059</v>
      </c>
      <c r="I128" s="55"/>
      <c r="J128" s="50" t="str">
        <f t="shared" si="16"/>
        <v>Observação da despesa 126</v>
      </c>
      <c r="K128" s="43">
        <v>-505.98</v>
      </c>
      <c r="L128" s="43">
        <f t="shared" si="17"/>
        <v>3496.92</v>
      </c>
      <c r="M128" s="183"/>
      <c r="N128" s="37" t="str">
        <f t="shared" si="24"/>
        <v>MCSPENS3CPF - Pensão - Plano de saúde</v>
      </c>
      <c r="O128" s="37" t="str">
        <f t="shared" si="25"/>
        <v>PENS3CPF - Pensão - Plano de saúde</v>
      </c>
      <c r="P128" s="37" t="str">
        <f t="shared" si="26"/>
        <v>MCSPENS3CPF - Pensão - Plano de saúde</v>
      </c>
      <c r="Q128" s="37" t="str">
        <f t="shared" si="27"/>
        <v>MCSPENS3</v>
      </c>
      <c r="R128" s="37" t="str">
        <f t="shared" si="28"/>
        <v>MCSPENS3</v>
      </c>
      <c r="S128" s="31"/>
      <c r="T128" s="185">
        <f t="shared" si="29"/>
        <v>46054</v>
      </c>
      <c r="U128" s="181">
        <v>126</v>
      </c>
    </row>
    <row r="129" spans="2:21" s="181" customFormat="1" x14ac:dyDescent="0.25">
      <c r="B129" s="182" t="s">
        <v>25</v>
      </c>
      <c r="C129" s="183"/>
      <c r="D129" s="54" t="str">
        <f>INDEX(Cad_Natureza!$B$3:$C$52,MATCH('2026'!F129,Cad_Natureza!$C$3:$C$52,0),MATCH('2026'!D$2,Cad_Natureza!$B$3:$C$3,0))</f>
        <v>GAST1</v>
      </c>
      <c r="E129" s="52" t="str">
        <f t="shared" si="15"/>
        <v>Despesa 127</v>
      </c>
      <c r="F129" s="53" t="s">
        <v>65</v>
      </c>
      <c r="G129" s="54" t="s">
        <v>25</v>
      </c>
      <c r="H129" s="55">
        <v>46059</v>
      </c>
      <c r="I129" s="55"/>
      <c r="J129" s="50" t="str">
        <f t="shared" si="16"/>
        <v>Observação da despesa 127</v>
      </c>
      <c r="K129" s="43">
        <v>-15</v>
      </c>
      <c r="L129" s="43">
        <f t="shared" si="17"/>
        <v>3481.92</v>
      </c>
      <c r="M129" s="183"/>
      <c r="N129" s="37" t="str">
        <f t="shared" si="24"/>
        <v>MCSGAST1CPF - Desp. Lazer e Entretenimento - Bares</v>
      </c>
      <c r="O129" s="37" t="str">
        <f t="shared" si="25"/>
        <v>GAST1CPF - Desp. Lazer e Entretenimento - Bares</v>
      </c>
      <c r="P129" s="37" t="str">
        <f t="shared" si="26"/>
        <v>MCSGAST1CPF - Desp. Lazer e Entretenimento - Bares</v>
      </c>
      <c r="Q129" s="37" t="str">
        <f t="shared" si="27"/>
        <v>MCSGAST1</v>
      </c>
      <c r="R129" s="37" t="str">
        <f t="shared" si="28"/>
        <v>MCSGAST1</v>
      </c>
      <c r="S129" s="31"/>
      <c r="T129" s="185">
        <f t="shared" si="29"/>
        <v>46054</v>
      </c>
      <c r="U129" s="181">
        <v>127</v>
      </c>
    </row>
    <row r="130" spans="2:21" s="181" customFormat="1" x14ac:dyDescent="0.25">
      <c r="B130" s="182" t="s">
        <v>25</v>
      </c>
      <c r="C130" s="183"/>
      <c r="D130" s="54" t="str">
        <f>INDEX(Cad_Natureza!$B$3:$C$52,MATCH('2026'!F130,Cad_Natureza!$C$3:$C$52,0),MATCH('2026'!D$2,Cad_Natureza!$B$3:$C$3,0))</f>
        <v>GAST1</v>
      </c>
      <c r="E130" s="52" t="str">
        <f t="shared" si="15"/>
        <v>Despesa 128</v>
      </c>
      <c r="F130" s="53" t="s">
        <v>65</v>
      </c>
      <c r="G130" s="54" t="s">
        <v>25</v>
      </c>
      <c r="H130" s="55">
        <v>46059</v>
      </c>
      <c r="I130" s="55"/>
      <c r="J130" s="50" t="str">
        <f t="shared" si="16"/>
        <v>Observação da despesa 128</v>
      </c>
      <c r="K130" s="43">
        <v>-10</v>
      </c>
      <c r="L130" s="43">
        <f t="shared" si="17"/>
        <v>3471.92</v>
      </c>
      <c r="M130" s="183"/>
      <c r="N130" s="37" t="str">
        <f t="shared" si="24"/>
        <v>MCSGAST1CPF - Desp. Lazer e Entretenimento - Bares</v>
      </c>
      <c r="O130" s="37" t="str">
        <f t="shared" si="25"/>
        <v>GAST1CPF - Desp. Lazer e Entretenimento - Bares</v>
      </c>
      <c r="P130" s="37" t="str">
        <f t="shared" si="26"/>
        <v>MCSGAST1CPF - Desp. Lazer e Entretenimento - Bares</v>
      </c>
      <c r="Q130" s="37" t="str">
        <f t="shared" si="27"/>
        <v>MCSGAST1</v>
      </c>
      <c r="R130" s="37" t="str">
        <f t="shared" si="28"/>
        <v>MCSGAST1</v>
      </c>
      <c r="S130" s="31"/>
      <c r="T130" s="185">
        <f t="shared" si="29"/>
        <v>46054</v>
      </c>
      <c r="U130" s="181">
        <v>128</v>
      </c>
    </row>
    <row r="131" spans="2:21" s="181" customFormat="1" x14ac:dyDescent="0.25">
      <c r="B131" s="182" t="s">
        <v>25</v>
      </c>
      <c r="C131" s="183"/>
      <c r="D131" s="54" t="str">
        <f>INDEX(Cad_Natureza!$B$3:$C$52,MATCH('2026'!F131,Cad_Natureza!$C$3:$C$52,0),MATCH('2026'!D$2,Cad_Natureza!$B$3:$C$3,0))</f>
        <v>FIN2</v>
      </c>
      <c r="E131" s="52" t="str">
        <f t="shared" si="15"/>
        <v>Despesa 129</v>
      </c>
      <c r="F131" s="53" t="s">
        <v>72</v>
      </c>
      <c r="G131" s="54" t="s">
        <v>25</v>
      </c>
      <c r="H131" s="55">
        <v>46059</v>
      </c>
      <c r="I131" s="55"/>
      <c r="J131" s="50" t="str">
        <f t="shared" si="16"/>
        <v>Observação da despesa 129</v>
      </c>
      <c r="K131" s="43">
        <v>-28</v>
      </c>
      <c r="L131" s="43">
        <f t="shared" si="17"/>
        <v>3443.92</v>
      </c>
      <c r="M131" s="183"/>
      <c r="N131" s="37" t="str">
        <f t="shared" si="24"/>
        <v>MCSFIN2CPF - Desp. Financeiras - Juros / Tarifas</v>
      </c>
      <c r="O131" s="37" t="str">
        <f t="shared" si="25"/>
        <v>FIN2CPF - Desp. Financeiras - Juros / Tarifas</v>
      </c>
      <c r="P131" s="37" t="str">
        <f t="shared" si="26"/>
        <v>MCSFIN2CPF - Desp. Financeiras - Juros / Tarifas</v>
      </c>
      <c r="Q131" s="37" t="str">
        <f t="shared" si="27"/>
        <v>MCSFIN2</v>
      </c>
      <c r="R131" s="37" t="str">
        <f t="shared" si="28"/>
        <v>MCSFIN2</v>
      </c>
      <c r="S131" s="31"/>
      <c r="T131" s="185">
        <f t="shared" si="29"/>
        <v>46054</v>
      </c>
      <c r="U131" s="181">
        <v>129</v>
      </c>
    </row>
    <row r="132" spans="2:21" s="181" customFormat="1" x14ac:dyDescent="0.25">
      <c r="B132" s="182" t="s">
        <v>25</v>
      </c>
      <c r="C132" s="183"/>
      <c r="D132" s="54" t="str">
        <f>INDEX(Cad_Natureza!$B$3:$C$52,MATCH('2026'!F132,Cad_Natureza!$C$3:$C$52,0),MATCH('2026'!D$2,Cad_Natureza!$B$3:$C$3,0))</f>
        <v>GAST1</v>
      </c>
      <c r="E132" s="52" t="str">
        <f t="shared" ref="E132:E195" si="30">IF(K132&lt;0,"Despesa "&amp;U132,"Receita "&amp;U132)</f>
        <v>Despesa 130</v>
      </c>
      <c r="F132" s="53" t="s">
        <v>65</v>
      </c>
      <c r="G132" s="54" t="s">
        <v>25</v>
      </c>
      <c r="H132" s="55">
        <v>46062</v>
      </c>
      <c r="I132" s="55"/>
      <c r="J132" s="50" t="str">
        <f t="shared" ref="J132:J195" si="31">IF(K132&lt;0,"Observação da despesa "&amp;U132,"Observação da receita "&amp;U132)</f>
        <v>Observação da despesa 130</v>
      </c>
      <c r="K132" s="43">
        <v>-10</v>
      </c>
      <c r="L132" s="43">
        <f t="shared" ref="L132:L195" si="32">L131+K132</f>
        <v>3433.92</v>
      </c>
      <c r="M132" s="183"/>
      <c r="N132" s="37" t="str">
        <f t="shared" si="24"/>
        <v>MCSGAST1CPF - Desp. Lazer e Entretenimento - Bares</v>
      </c>
      <c r="O132" s="37" t="str">
        <f t="shared" si="25"/>
        <v>GAST1CPF - Desp. Lazer e Entretenimento - Bares</v>
      </c>
      <c r="P132" s="37" t="str">
        <f t="shared" si="26"/>
        <v>MCSGAST1CPF - Desp. Lazer e Entretenimento - Bares</v>
      </c>
      <c r="Q132" s="37" t="str">
        <f t="shared" si="27"/>
        <v>MCSGAST1</v>
      </c>
      <c r="R132" s="37" t="str">
        <f t="shared" si="28"/>
        <v>MCSGAST1</v>
      </c>
      <c r="S132" s="31"/>
      <c r="T132" s="185">
        <f t="shared" si="29"/>
        <v>46054</v>
      </c>
      <c r="U132" s="181">
        <v>130</v>
      </c>
    </row>
    <row r="133" spans="2:21" s="181" customFormat="1" x14ac:dyDescent="0.25">
      <c r="B133" s="182" t="s">
        <v>25</v>
      </c>
      <c r="C133" s="183"/>
      <c r="D133" s="54" t="str">
        <f>INDEX(Cad_Natureza!$B$3:$C$52,MATCH('2026'!F133,Cad_Natureza!$C$3:$C$52,0),MATCH('2026'!D$2,Cad_Natureza!$B$3:$C$3,0))</f>
        <v>GAST1</v>
      </c>
      <c r="E133" s="52" t="str">
        <f t="shared" si="30"/>
        <v>Despesa 131</v>
      </c>
      <c r="F133" s="53" t="s">
        <v>65</v>
      </c>
      <c r="G133" s="54" t="s">
        <v>25</v>
      </c>
      <c r="H133" s="55">
        <v>46062</v>
      </c>
      <c r="I133" s="55"/>
      <c r="J133" s="50" t="str">
        <f t="shared" si="31"/>
        <v>Observação da despesa 131</v>
      </c>
      <c r="K133" s="43">
        <v>-6</v>
      </c>
      <c r="L133" s="43">
        <f t="shared" si="32"/>
        <v>3427.92</v>
      </c>
      <c r="M133" s="183"/>
      <c r="N133" s="37" t="str">
        <f t="shared" si="24"/>
        <v>MCSGAST1CPF - Desp. Lazer e Entretenimento - Bares</v>
      </c>
      <c r="O133" s="37" t="str">
        <f t="shared" si="25"/>
        <v>GAST1CPF - Desp. Lazer e Entretenimento - Bares</v>
      </c>
      <c r="P133" s="37" t="str">
        <f t="shared" si="26"/>
        <v>MCSGAST1CPF - Desp. Lazer e Entretenimento - Bares</v>
      </c>
      <c r="Q133" s="37" t="str">
        <f t="shared" si="27"/>
        <v>MCSGAST1</v>
      </c>
      <c r="R133" s="37" t="str">
        <f t="shared" si="28"/>
        <v>MCSGAST1</v>
      </c>
      <c r="S133" s="31"/>
      <c r="T133" s="185">
        <f t="shared" si="29"/>
        <v>46054</v>
      </c>
      <c r="U133" s="181">
        <v>131</v>
      </c>
    </row>
    <row r="134" spans="2:21" s="181" customFormat="1" x14ac:dyDescent="0.25">
      <c r="B134" s="182" t="s">
        <v>25</v>
      </c>
      <c r="C134" s="183"/>
      <c r="D134" s="54" t="str">
        <f>INDEX(Cad_Natureza!$B$3:$C$52,MATCH('2026'!F134,Cad_Natureza!$C$3:$C$52,0),MATCH('2026'!D$2,Cad_Natureza!$B$3:$C$3,0))</f>
        <v>DESP4</v>
      </c>
      <c r="E134" s="52" t="str">
        <f t="shared" si="30"/>
        <v>Despesa 132</v>
      </c>
      <c r="F134" s="53" t="s">
        <v>74</v>
      </c>
      <c r="G134" s="54" t="s">
        <v>25</v>
      </c>
      <c r="H134" s="55">
        <v>46062</v>
      </c>
      <c r="I134" s="55"/>
      <c r="J134" s="50" t="str">
        <f t="shared" si="31"/>
        <v>Observação da despesa 132</v>
      </c>
      <c r="K134" s="43">
        <v>-200</v>
      </c>
      <c r="L134" s="43">
        <f t="shared" si="32"/>
        <v>3227.92</v>
      </c>
      <c r="M134" s="183"/>
      <c r="N134" s="37" t="str">
        <f t="shared" si="0"/>
        <v>MCSDESP4CPF - Desp. Moradia</v>
      </c>
      <c r="O134" s="37" t="str">
        <f t="shared" si="1"/>
        <v>DESP4CPF - Desp. Moradia</v>
      </c>
      <c r="P134" s="37" t="str">
        <f t="shared" si="2"/>
        <v>MCSDESP4CPF - Desp. Moradia</v>
      </c>
      <c r="Q134" s="37" t="str">
        <f t="shared" si="3"/>
        <v>MCSDESP4</v>
      </c>
      <c r="R134" s="37" t="str">
        <f t="shared" si="4"/>
        <v>MCSDESP4</v>
      </c>
      <c r="S134" s="31"/>
      <c r="T134" s="185">
        <f t="shared" si="5"/>
        <v>46054</v>
      </c>
      <c r="U134" s="181">
        <v>132</v>
      </c>
    </row>
    <row r="135" spans="2:21" s="181" customFormat="1" x14ac:dyDescent="0.25">
      <c r="B135" s="182" t="s">
        <v>25</v>
      </c>
      <c r="C135" s="183"/>
      <c r="D135" s="54" t="str">
        <f>INDEX(Cad_Natureza!$B$3:$C$52,MATCH('2026'!F135,Cad_Natureza!$C$3:$C$52,0),MATCH('2026'!D$2,Cad_Natureza!$B$3:$C$3,0))</f>
        <v>DESP3</v>
      </c>
      <c r="E135" s="52" t="str">
        <f t="shared" si="30"/>
        <v>Despesa 133</v>
      </c>
      <c r="F135" s="53" t="s">
        <v>59</v>
      </c>
      <c r="G135" s="54" t="s">
        <v>25</v>
      </c>
      <c r="H135" s="55">
        <v>46062</v>
      </c>
      <c r="I135" s="55"/>
      <c r="J135" s="50" t="str">
        <f t="shared" si="31"/>
        <v>Observação da despesa 133</v>
      </c>
      <c r="K135" s="43">
        <v>-60</v>
      </c>
      <c r="L135" s="43">
        <f t="shared" si="32"/>
        <v>3167.92</v>
      </c>
      <c r="M135" s="183"/>
      <c r="N135" s="37" t="str">
        <f t="shared" si="0"/>
        <v xml:space="preserve">MCSDESP3CPF - Desp. com veículo - Manut. / Gastos </v>
      </c>
      <c r="O135" s="37" t="str">
        <f t="shared" si="1"/>
        <v xml:space="preserve">DESP3CPF - Desp. com veículo - Manut. / Gastos </v>
      </c>
      <c r="P135" s="37" t="str">
        <f t="shared" si="2"/>
        <v xml:space="preserve">MCSDESP3CPF - Desp. com veículo - Manut. / Gastos </v>
      </c>
      <c r="Q135" s="37" t="str">
        <f t="shared" si="3"/>
        <v>MCSDESP3</v>
      </c>
      <c r="R135" s="37" t="str">
        <f t="shared" si="4"/>
        <v>MCSDESP3</v>
      </c>
      <c r="S135" s="31"/>
      <c r="T135" s="185">
        <f t="shared" si="5"/>
        <v>46054</v>
      </c>
      <c r="U135" s="181">
        <v>133</v>
      </c>
    </row>
    <row r="136" spans="2:21" s="181" customFormat="1" x14ac:dyDescent="0.25">
      <c r="B136" s="182" t="s">
        <v>25</v>
      </c>
      <c r="C136" s="183"/>
      <c r="D136" s="54" t="str">
        <f>INDEX(Cad_Natureza!$B$3:$C$52,MATCH('2026'!F136,Cad_Natureza!$C$3:$C$52,0),MATCH('2026'!D$2,Cad_Natureza!$B$3:$C$3,0))</f>
        <v>DESP4</v>
      </c>
      <c r="E136" s="52" t="str">
        <f t="shared" si="30"/>
        <v>Despesa 134</v>
      </c>
      <c r="F136" s="53" t="s">
        <v>74</v>
      </c>
      <c r="G136" s="54" t="s">
        <v>25</v>
      </c>
      <c r="H136" s="55">
        <v>46062</v>
      </c>
      <c r="I136" s="55"/>
      <c r="J136" s="50" t="str">
        <f t="shared" si="31"/>
        <v>Observação da despesa 134</v>
      </c>
      <c r="K136" s="43">
        <v>-4.78</v>
      </c>
      <c r="L136" s="43">
        <f t="shared" si="32"/>
        <v>3163.14</v>
      </c>
      <c r="M136" s="183"/>
      <c r="N136" s="37" t="str">
        <f t="shared" si="0"/>
        <v>MCSDESP4CPF - Desp. Moradia</v>
      </c>
      <c r="O136" s="37" t="str">
        <f t="shared" si="1"/>
        <v>DESP4CPF - Desp. Moradia</v>
      </c>
      <c r="P136" s="37" t="str">
        <f t="shared" si="2"/>
        <v>MCSDESP4CPF - Desp. Moradia</v>
      </c>
      <c r="Q136" s="37" t="str">
        <f t="shared" si="3"/>
        <v>MCSDESP4</v>
      </c>
      <c r="R136" s="37" t="str">
        <f t="shared" si="4"/>
        <v>MCSDESP4</v>
      </c>
      <c r="S136" s="31"/>
      <c r="T136" s="185">
        <f t="shared" si="5"/>
        <v>46054</v>
      </c>
      <c r="U136" s="181">
        <v>134</v>
      </c>
    </row>
    <row r="137" spans="2:21" s="181" customFormat="1" x14ac:dyDescent="0.25">
      <c r="B137" s="182" t="s">
        <v>25</v>
      </c>
      <c r="C137" s="183"/>
      <c r="D137" s="54" t="str">
        <f>INDEX(Cad_Natureza!$B$3:$C$52,MATCH('2026'!F137,Cad_Natureza!$C$3:$C$52,0),MATCH('2026'!D$2,Cad_Natureza!$B$3:$C$3,0))</f>
        <v>OUG1</v>
      </c>
      <c r="E137" s="52" t="str">
        <f t="shared" si="30"/>
        <v>Despesa 135</v>
      </c>
      <c r="F137" s="53" t="s">
        <v>70</v>
      </c>
      <c r="G137" s="54" t="s">
        <v>25</v>
      </c>
      <c r="H137" s="55">
        <v>46062</v>
      </c>
      <c r="I137" s="55"/>
      <c r="J137" s="50" t="str">
        <f t="shared" si="31"/>
        <v>Observação da despesa 135</v>
      </c>
      <c r="K137" s="43">
        <v>-43.91</v>
      </c>
      <c r="L137" s="43">
        <f t="shared" si="32"/>
        <v>3119.23</v>
      </c>
      <c r="M137" s="183"/>
      <c r="N137" s="37" t="str">
        <f t="shared" si="0"/>
        <v>MCSOUG1CPF - Outros gastos</v>
      </c>
      <c r="O137" s="37" t="str">
        <f t="shared" si="1"/>
        <v>OUG1CPF - Outros gastos</v>
      </c>
      <c r="P137" s="37" t="str">
        <f t="shared" si="2"/>
        <v>MCSOUG1CPF - Outros gastos</v>
      </c>
      <c r="Q137" s="37" t="str">
        <f t="shared" si="3"/>
        <v>MCSOUG1</v>
      </c>
      <c r="R137" s="37" t="str">
        <f t="shared" si="4"/>
        <v>MCSOUG1</v>
      </c>
      <c r="S137" s="31"/>
      <c r="T137" s="185">
        <f t="shared" si="5"/>
        <v>46054</v>
      </c>
      <c r="U137" s="181">
        <v>135</v>
      </c>
    </row>
    <row r="138" spans="2:21" s="181" customFormat="1" x14ac:dyDescent="0.25">
      <c r="B138" s="182" t="s">
        <v>25</v>
      </c>
      <c r="C138" s="183"/>
      <c r="D138" s="54" t="str">
        <f>INDEX(Cad_Natureza!$B$3:$C$52,MATCH('2026'!F138,Cad_Natureza!$C$3:$C$52,0),MATCH('2026'!D$2,Cad_Natureza!$B$3:$C$3,0))</f>
        <v>GAST2</v>
      </c>
      <c r="E138" s="52" t="str">
        <f t="shared" si="30"/>
        <v>Despesa 136</v>
      </c>
      <c r="F138" s="53" t="s">
        <v>66</v>
      </c>
      <c r="G138" s="54" t="s">
        <v>25</v>
      </c>
      <c r="H138" s="55">
        <v>46062</v>
      </c>
      <c r="I138" s="55"/>
      <c r="J138" s="50" t="str">
        <f t="shared" si="31"/>
        <v>Observação da despesa 136</v>
      </c>
      <c r="K138" s="43">
        <v>-4</v>
      </c>
      <c r="L138" s="43">
        <f t="shared" si="32"/>
        <v>3115.23</v>
      </c>
      <c r="M138" s="183"/>
      <c r="N138" s="37" t="str">
        <f t="shared" si="0"/>
        <v>MCSGAST2CPF - Desp. Lazer e Entretenimento - Cigarro</v>
      </c>
      <c r="O138" s="37" t="str">
        <f t="shared" si="1"/>
        <v>GAST2CPF - Desp. Lazer e Entretenimento - Cigarro</v>
      </c>
      <c r="P138" s="37" t="str">
        <f t="shared" si="2"/>
        <v>MCSGAST2CPF - Desp. Lazer e Entretenimento - Cigarro</v>
      </c>
      <c r="Q138" s="37" t="str">
        <f t="shared" si="3"/>
        <v>MCSGAST2</v>
      </c>
      <c r="R138" s="37" t="str">
        <f t="shared" si="4"/>
        <v>MCSGAST2</v>
      </c>
      <c r="S138" s="31"/>
      <c r="T138" s="185">
        <f t="shared" si="5"/>
        <v>46054</v>
      </c>
      <c r="U138" s="181">
        <v>136</v>
      </c>
    </row>
    <row r="139" spans="2:21" s="181" customFormat="1" x14ac:dyDescent="0.25">
      <c r="B139" s="182" t="s">
        <v>25</v>
      </c>
      <c r="C139" s="183"/>
      <c r="D139" s="54" t="str">
        <f>INDEX(Cad_Natureza!$B$3:$C$52,MATCH('2026'!F139,Cad_Natureza!$C$3:$C$52,0),MATCH('2026'!D$2,Cad_Natureza!$B$3:$C$3,0))</f>
        <v>OPF2</v>
      </c>
      <c r="E139" s="52" t="str">
        <f t="shared" si="30"/>
        <v>Despesa 137</v>
      </c>
      <c r="F139" s="53" t="s">
        <v>64</v>
      </c>
      <c r="G139" s="54" t="s">
        <v>25</v>
      </c>
      <c r="H139" s="55">
        <v>46062</v>
      </c>
      <c r="I139" s="55"/>
      <c r="J139" s="50" t="str">
        <f t="shared" si="31"/>
        <v>Observação da despesa 137</v>
      </c>
      <c r="K139" s="43">
        <v>-50</v>
      </c>
      <c r="L139" s="43">
        <f t="shared" si="32"/>
        <v>3065.23</v>
      </c>
      <c r="M139" s="183"/>
      <c r="N139" s="37" t="str">
        <f t="shared" si="0"/>
        <v>MCSOPF2CPF - Desp. Transporte / Combustível</v>
      </c>
      <c r="O139" s="37" t="str">
        <f t="shared" si="1"/>
        <v>OPF2CPF - Desp. Transporte / Combustível</v>
      </c>
      <c r="P139" s="37" t="str">
        <f t="shared" si="2"/>
        <v>MCSOPF2CPF - Desp. Transporte / Combustível</v>
      </c>
      <c r="Q139" s="37" t="str">
        <f t="shared" si="3"/>
        <v>MCSOPF2</v>
      </c>
      <c r="R139" s="37" t="str">
        <f t="shared" si="4"/>
        <v>MCSOPF2</v>
      </c>
      <c r="S139" s="31"/>
      <c r="T139" s="185">
        <f t="shared" si="5"/>
        <v>46054</v>
      </c>
      <c r="U139" s="181">
        <v>137</v>
      </c>
    </row>
    <row r="140" spans="2:21" s="181" customFormat="1" x14ac:dyDescent="0.25">
      <c r="B140" s="182" t="s">
        <v>25</v>
      </c>
      <c r="C140" s="183"/>
      <c r="D140" s="54" t="str">
        <f>INDEX(Cad_Natureza!$B$3:$C$52,MATCH('2026'!F140,Cad_Natureza!$C$3:$C$52,0),MATCH('2026'!D$2,Cad_Natureza!$B$3:$C$3,0))</f>
        <v>GAST1</v>
      </c>
      <c r="E140" s="52" t="str">
        <f t="shared" si="30"/>
        <v>Despesa 138</v>
      </c>
      <c r="F140" s="53" t="s">
        <v>65</v>
      </c>
      <c r="G140" s="54" t="s">
        <v>25</v>
      </c>
      <c r="H140" s="55">
        <v>46062</v>
      </c>
      <c r="I140" s="55"/>
      <c r="J140" s="50" t="str">
        <f t="shared" si="31"/>
        <v>Observação da despesa 138</v>
      </c>
      <c r="K140" s="43">
        <v>-15</v>
      </c>
      <c r="L140" s="43">
        <f t="shared" si="32"/>
        <v>3050.23</v>
      </c>
      <c r="M140" s="183"/>
      <c r="N140" s="37" t="str">
        <f t="shared" si="0"/>
        <v>MCSGAST1CPF - Desp. Lazer e Entretenimento - Bares</v>
      </c>
      <c r="O140" s="37" t="str">
        <f t="shared" si="1"/>
        <v>GAST1CPF - Desp. Lazer e Entretenimento - Bares</v>
      </c>
      <c r="P140" s="37" t="str">
        <f t="shared" si="2"/>
        <v>MCSGAST1CPF - Desp. Lazer e Entretenimento - Bares</v>
      </c>
      <c r="Q140" s="37" t="str">
        <f t="shared" si="3"/>
        <v>MCSGAST1</v>
      </c>
      <c r="R140" s="37" t="str">
        <f t="shared" si="4"/>
        <v>MCSGAST1</v>
      </c>
      <c r="S140" s="31"/>
      <c r="T140" s="185">
        <f t="shared" si="5"/>
        <v>46054</v>
      </c>
      <c r="U140" s="181">
        <v>138</v>
      </c>
    </row>
    <row r="141" spans="2:21" s="181" customFormat="1" x14ac:dyDescent="0.25">
      <c r="B141" s="182" t="s">
        <v>25</v>
      </c>
      <c r="C141" s="183"/>
      <c r="D141" s="54" t="str">
        <f>INDEX(Cad_Natureza!$B$3:$C$52,MATCH('2026'!F141,Cad_Natureza!$C$3:$C$52,0),MATCH('2026'!D$2,Cad_Natureza!$B$3:$C$3,0))</f>
        <v>GAST1</v>
      </c>
      <c r="E141" s="52" t="str">
        <f t="shared" si="30"/>
        <v>Despesa 139</v>
      </c>
      <c r="F141" s="53" t="s">
        <v>65</v>
      </c>
      <c r="G141" s="54" t="s">
        <v>25</v>
      </c>
      <c r="H141" s="55">
        <v>46062</v>
      </c>
      <c r="I141" s="55"/>
      <c r="J141" s="50" t="str">
        <f t="shared" si="31"/>
        <v>Observação da despesa 139</v>
      </c>
      <c r="K141" s="43">
        <v>-3</v>
      </c>
      <c r="L141" s="43">
        <f t="shared" si="32"/>
        <v>3047.23</v>
      </c>
      <c r="M141" s="183"/>
      <c r="N141" s="37" t="str">
        <f t="shared" si="0"/>
        <v>MCSGAST1CPF - Desp. Lazer e Entretenimento - Bares</v>
      </c>
      <c r="O141" s="37" t="str">
        <f t="shared" si="1"/>
        <v>GAST1CPF - Desp. Lazer e Entretenimento - Bares</v>
      </c>
      <c r="P141" s="37" t="str">
        <f t="shared" si="2"/>
        <v>MCSGAST1CPF - Desp. Lazer e Entretenimento - Bares</v>
      </c>
      <c r="Q141" s="37" t="str">
        <f t="shared" si="3"/>
        <v>MCSGAST1</v>
      </c>
      <c r="R141" s="37" t="str">
        <f t="shared" si="4"/>
        <v>MCSGAST1</v>
      </c>
      <c r="S141" s="31"/>
      <c r="T141" s="185">
        <f t="shared" si="5"/>
        <v>46054</v>
      </c>
      <c r="U141" s="181">
        <v>139</v>
      </c>
    </row>
    <row r="142" spans="2:21" s="181" customFormat="1" x14ac:dyDescent="0.25">
      <c r="B142" s="182" t="s">
        <v>25</v>
      </c>
      <c r="C142" s="183"/>
      <c r="D142" s="54" t="str">
        <f>INDEX(Cad_Natureza!$B$3:$C$52,MATCH('2026'!F142,Cad_Natureza!$C$3:$C$52,0),MATCH('2026'!D$2,Cad_Natureza!$B$3:$C$3,0))</f>
        <v>GAST1</v>
      </c>
      <c r="E142" s="52" t="str">
        <f t="shared" si="30"/>
        <v>Despesa 140</v>
      </c>
      <c r="F142" s="53" t="s">
        <v>65</v>
      </c>
      <c r="G142" s="54" t="s">
        <v>25</v>
      </c>
      <c r="H142" s="55">
        <v>46062</v>
      </c>
      <c r="I142" s="55"/>
      <c r="J142" s="50" t="str">
        <f t="shared" si="31"/>
        <v>Observação da despesa 140</v>
      </c>
      <c r="K142" s="43">
        <v>-5</v>
      </c>
      <c r="L142" s="43">
        <f t="shared" si="32"/>
        <v>3042.23</v>
      </c>
      <c r="M142" s="183"/>
      <c r="N142" s="37" t="str">
        <f t="shared" ref="N142:N149" si="33">B142&amp;D142&amp;F142</f>
        <v>MCSGAST1CPF - Desp. Lazer e Entretenimento - Bares</v>
      </c>
      <c r="O142" s="37" t="str">
        <f t="shared" ref="O142:O149" si="34">D142&amp;F142</f>
        <v>GAST1CPF - Desp. Lazer e Entretenimento - Bares</v>
      </c>
      <c r="P142" s="37" t="str">
        <f t="shared" ref="P142:P149" si="35">"MCS"&amp;D142&amp;F142</f>
        <v>MCSGAST1CPF - Desp. Lazer e Entretenimento - Bares</v>
      </c>
      <c r="Q142" s="37" t="str">
        <f t="shared" ref="Q142:Q149" si="36">"MCS"&amp;D142</f>
        <v>MCSGAST1</v>
      </c>
      <c r="R142" s="37" t="str">
        <f t="shared" ref="R142:R149" si="37">B142&amp;D142</f>
        <v>MCSGAST1</v>
      </c>
      <c r="S142" s="31"/>
      <c r="T142" s="185">
        <f t="shared" ref="T142:T149" si="38">(1&amp;"/"&amp;MONTH(H142)&amp;"/"&amp;YEAR(H142))*1</f>
        <v>46054</v>
      </c>
      <c r="U142" s="181">
        <v>140</v>
      </c>
    </row>
    <row r="143" spans="2:21" s="181" customFormat="1" x14ac:dyDescent="0.25">
      <c r="B143" s="182" t="s">
        <v>25</v>
      </c>
      <c r="C143" s="183"/>
      <c r="D143" s="54" t="str">
        <f>INDEX(Cad_Natureza!$B$3:$C$52,MATCH('2026'!F143,Cad_Natureza!$C$3:$C$52,0),MATCH('2026'!D$2,Cad_Natureza!$B$3:$C$3,0))</f>
        <v>GAST1</v>
      </c>
      <c r="E143" s="52" t="str">
        <f t="shared" si="30"/>
        <v>Despesa 141</v>
      </c>
      <c r="F143" s="53" t="s">
        <v>65</v>
      </c>
      <c r="G143" s="54" t="s">
        <v>25</v>
      </c>
      <c r="H143" s="55">
        <v>46062</v>
      </c>
      <c r="I143" s="55"/>
      <c r="J143" s="50" t="str">
        <f t="shared" si="31"/>
        <v>Observação da despesa 141</v>
      </c>
      <c r="K143" s="43">
        <v>-3</v>
      </c>
      <c r="L143" s="43">
        <f t="shared" si="32"/>
        <v>3039.23</v>
      </c>
      <c r="M143" s="183"/>
      <c r="N143" s="37" t="str">
        <f t="shared" si="33"/>
        <v>MCSGAST1CPF - Desp. Lazer e Entretenimento - Bares</v>
      </c>
      <c r="O143" s="37" t="str">
        <f t="shared" si="34"/>
        <v>GAST1CPF - Desp. Lazer e Entretenimento - Bares</v>
      </c>
      <c r="P143" s="37" t="str">
        <f t="shared" si="35"/>
        <v>MCSGAST1CPF - Desp. Lazer e Entretenimento - Bares</v>
      </c>
      <c r="Q143" s="37" t="str">
        <f t="shared" si="36"/>
        <v>MCSGAST1</v>
      </c>
      <c r="R143" s="37" t="str">
        <f t="shared" si="37"/>
        <v>MCSGAST1</v>
      </c>
      <c r="S143" s="31"/>
      <c r="T143" s="185">
        <f t="shared" si="38"/>
        <v>46054</v>
      </c>
      <c r="U143" s="181">
        <v>141</v>
      </c>
    </row>
    <row r="144" spans="2:21" s="181" customFormat="1" x14ac:dyDescent="0.25">
      <c r="B144" s="182" t="s">
        <v>25</v>
      </c>
      <c r="C144" s="183"/>
      <c r="D144" s="54" t="str">
        <f>INDEX(Cad_Natureza!$B$3:$C$52,MATCH('2026'!F144,Cad_Natureza!$C$3:$C$52,0),MATCH('2026'!D$2,Cad_Natureza!$B$3:$C$3,0))</f>
        <v>GAST1</v>
      </c>
      <c r="E144" s="52" t="str">
        <f t="shared" si="30"/>
        <v>Despesa 142</v>
      </c>
      <c r="F144" s="53" t="s">
        <v>65</v>
      </c>
      <c r="G144" s="54" t="s">
        <v>25</v>
      </c>
      <c r="H144" s="55">
        <v>46062</v>
      </c>
      <c r="I144" s="55"/>
      <c r="J144" s="50" t="str">
        <f t="shared" si="31"/>
        <v>Observação da despesa 142</v>
      </c>
      <c r="K144" s="43">
        <v>-15</v>
      </c>
      <c r="L144" s="43">
        <f t="shared" si="32"/>
        <v>3024.23</v>
      </c>
      <c r="M144" s="183"/>
      <c r="N144" s="37" t="str">
        <f t="shared" si="33"/>
        <v>MCSGAST1CPF - Desp. Lazer e Entretenimento - Bares</v>
      </c>
      <c r="O144" s="37" t="str">
        <f t="shared" si="34"/>
        <v>GAST1CPF - Desp. Lazer e Entretenimento - Bares</v>
      </c>
      <c r="P144" s="37" t="str">
        <f t="shared" si="35"/>
        <v>MCSGAST1CPF - Desp. Lazer e Entretenimento - Bares</v>
      </c>
      <c r="Q144" s="37" t="str">
        <f t="shared" si="36"/>
        <v>MCSGAST1</v>
      </c>
      <c r="R144" s="37" t="str">
        <f t="shared" si="37"/>
        <v>MCSGAST1</v>
      </c>
      <c r="S144" s="31"/>
      <c r="T144" s="185">
        <f t="shared" si="38"/>
        <v>46054</v>
      </c>
      <c r="U144" s="181">
        <v>142</v>
      </c>
    </row>
    <row r="145" spans="2:21" s="181" customFormat="1" x14ac:dyDescent="0.25">
      <c r="B145" s="182" t="s">
        <v>25</v>
      </c>
      <c r="C145" s="183"/>
      <c r="D145" s="54" t="str">
        <f>INDEX(Cad_Natureza!$B$3:$C$52,MATCH('2026'!F145,Cad_Natureza!$C$3:$C$52,0),MATCH('2026'!D$2,Cad_Natureza!$B$3:$C$3,0))</f>
        <v>GAST1</v>
      </c>
      <c r="E145" s="52" t="str">
        <f t="shared" si="30"/>
        <v>Despesa 143</v>
      </c>
      <c r="F145" s="53" t="s">
        <v>65</v>
      </c>
      <c r="G145" s="54" t="s">
        <v>25</v>
      </c>
      <c r="H145" s="55">
        <v>46062</v>
      </c>
      <c r="I145" s="55"/>
      <c r="J145" s="50" t="str">
        <f t="shared" si="31"/>
        <v>Observação da despesa 143</v>
      </c>
      <c r="K145" s="43">
        <v>-10</v>
      </c>
      <c r="L145" s="43">
        <f t="shared" si="32"/>
        <v>3014.23</v>
      </c>
      <c r="M145" s="183"/>
      <c r="N145" s="37" t="str">
        <f t="shared" si="33"/>
        <v>MCSGAST1CPF - Desp. Lazer e Entretenimento - Bares</v>
      </c>
      <c r="O145" s="37" t="str">
        <f t="shared" si="34"/>
        <v>GAST1CPF - Desp. Lazer e Entretenimento - Bares</v>
      </c>
      <c r="P145" s="37" t="str">
        <f t="shared" si="35"/>
        <v>MCSGAST1CPF - Desp. Lazer e Entretenimento - Bares</v>
      </c>
      <c r="Q145" s="37" t="str">
        <f t="shared" si="36"/>
        <v>MCSGAST1</v>
      </c>
      <c r="R145" s="37" t="str">
        <f t="shared" si="37"/>
        <v>MCSGAST1</v>
      </c>
      <c r="S145" s="31"/>
      <c r="T145" s="185">
        <f t="shared" si="38"/>
        <v>46054</v>
      </c>
      <c r="U145" s="181">
        <v>143</v>
      </c>
    </row>
    <row r="146" spans="2:21" s="181" customFormat="1" x14ac:dyDescent="0.25">
      <c r="B146" s="182" t="s">
        <v>25</v>
      </c>
      <c r="C146" s="183"/>
      <c r="D146" s="54" t="str">
        <f>INDEX(Cad_Natureza!$B$3:$C$52,MATCH('2026'!F146,Cad_Natureza!$C$3:$C$52,0),MATCH('2026'!D$2,Cad_Natureza!$B$3:$C$3,0))</f>
        <v>GAST2</v>
      </c>
      <c r="E146" s="52" t="str">
        <f t="shared" si="30"/>
        <v>Despesa 144</v>
      </c>
      <c r="F146" s="53" t="s">
        <v>66</v>
      </c>
      <c r="G146" s="54" t="s">
        <v>25</v>
      </c>
      <c r="H146" s="55">
        <v>46062</v>
      </c>
      <c r="I146" s="55"/>
      <c r="J146" s="50" t="str">
        <f t="shared" si="31"/>
        <v>Observação da despesa 144</v>
      </c>
      <c r="K146" s="43">
        <v>-34</v>
      </c>
      <c r="L146" s="43">
        <f t="shared" si="32"/>
        <v>2980.23</v>
      </c>
      <c r="M146" s="183"/>
      <c r="N146" s="37" t="str">
        <f t="shared" si="33"/>
        <v>MCSGAST2CPF - Desp. Lazer e Entretenimento - Cigarro</v>
      </c>
      <c r="O146" s="37" t="str">
        <f t="shared" si="34"/>
        <v>GAST2CPF - Desp. Lazer e Entretenimento - Cigarro</v>
      </c>
      <c r="P146" s="37" t="str">
        <f t="shared" si="35"/>
        <v>MCSGAST2CPF - Desp. Lazer e Entretenimento - Cigarro</v>
      </c>
      <c r="Q146" s="37" t="str">
        <f t="shared" si="36"/>
        <v>MCSGAST2</v>
      </c>
      <c r="R146" s="37" t="str">
        <f t="shared" si="37"/>
        <v>MCSGAST2</v>
      </c>
      <c r="S146" s="31"/>
      <c r="T146" s="185">
        <f t="shared" si="38"/>
        <v>46054</v>
      </c>
      <c r="U146" s="181">
        <v>144</v>
      </c>
    </row>
    <row r="147" spans="2:21" s="181" customFormat="1" x14ac:dyDescent="0.25">
      <c r="B147" s="182" t="s">
        <v>25</v>
      </c>
      <c r="C147" s="183"/>
      <c r="D147" s="54" t="str">
        <f>INDEX(Cad_Natureza!$B$3:$C$52,MATCH('2026'!F147,Cad_Natureza!$C$3:$C$52,0),MATCH('2026'!D$2,Cad_Natureza!$B$3:$C$3,0))</f>
        <v>GAST1</v>
      </c>
      <c r="E147" s="52" t="str">
        <f t="shared" si="30"/>
        <v>Despesa 145</v>
      </c>
      <c r="F147" s="53" t="s">
        <v>65</v>
      </c>
      <c r="G147" s="54" t="s">
        <v>25</v>
      </c>
      <c r="H147" s="55">
        <v>46062</v>
      </c>
      <c r="I147" s="55"/>
      <c r="J147" s="50" t="str">
        <f t="shared" si="31"/>
        <v>Observação da despesa 145</v>
      </c>
      <c r="K147" s="43">
        <v>-20</v>
      </c>
      <c r="L147" s="43">
        <f t="shared" si="32"/>
        <v>2960.23</v>
      </c>
      <c r="M147" s="183"/>
      <c r="N147" s="37" t="str">
        <f t="shared" si="33"/>
        <v>MCSGAST1CPF - Desp. Lazer e Entretenimento - Bares</v>
      </c>
      <c r="O147" s="37" t="str">
        <f t="shared" si="34"/>
        <v>GAST1CPF - Desp. Lazer e Entretenimento - Bares</v>
      </c>
      <c r="P147" s="37" t="str">
        <f t="shared" si="35"/>
        <v>MCSGAST1CPF - Desp. Lazer e Entretenimento - Bares</v>
      </c>
      <c r="Q147" s="37" t="str">
        <f t="shared" si="36"/>
        <v>MCSGAST1</v>
      </c>
      <c r="R147" s="37" t="str">
        <f t="shared" si="37"/>
        <v>MCSGAST1</v>
      </c>
      <c r="S147" s="31"/>
      <c r="T147" s="185">
        <f t="shared" si="38"/>
        <v>46054</v>
      </c>
      <c r="U147" s="181">
        <v>145</v>
      </c>
    </row>
    <row r="148" spans="2:21" s="177" customFormat="1" x14ac:dyDescent="0.25">
      <c r="B148" s="174" t="s">
        <v>25</v>
      </c>
      <c r="C148" s="51"/>
      <c r="D148" s="44" t="str">
        <f>INDEX(Cad_Natureza!$B$3:$C$52,MATCH('2026'!F148,Cad_Natureza!$C$3:$C$52,0),MATCH('2026'!D$2,Cad_Natureza!$B$3:$C$3,0))</f>
        <v>OUG1</v>
      </c>
      <c r="E148" s="45" t="str">
        <f t="shared" si="30"/>
        <v>Receita 146</v>
      </c>
      <c r="F148" s="46" t="s">
        <v>70</v>
      </c>
      <c r="G148" s="44" t="s">
        <v>25</v>
      </c>
      <c r="H148" s="47">
        <v>46062</v>
      </c>
      <c r="I148" s="47"/>
      <c r="J148" s="48" t="str">
        <f t="shared" si="31"/>
        <v>Observação da receita 146</v>
      </c>
      <c r="K148" s="49">
        <v>43.91</v>
      </c>
      <c r="L148" s="49">
        <f t="shared" si="32"/>
        <v>3004.14</v>
      </c>
      <c r="M148" s="51"/>
      <c r="N148" s="175" t="str">
        <f t="shared" si="33"/>
        <v>MCSOUG1CPF - Outros gastos</v>
      </c>
      <c r="O148" s="175" t="str">
        <f t="shared" si="34"/>
        <v>OUG1CPF - Outros gastos</v>
      </c>
      <c r="P148" s="175" t="str">
        <f t="shared" si="35"/>
        <v>MCSOUG1CPF - Outros gastos</v>
      </c>
      <c r="Q148" s="175" t="str">
        <f t="shared" si="36"/>
        <v>MCSOUG1</v>
      </c>
      <c r="R148" s="175" t="str">
        <f t="shared" si="37"/>
        <v>MCSOUG1</v>
      </c>
      <c r="S148" s="51"/>
      <c r="T148" s="176">
        <f t="shared" si="38"/>
        <v>46054</v>
      </c>
      <c r="U148" s="181">
        <v>146</v>
      </c>
    </row>
    <row r="149" spans="2:21" s="181" customFormat="1" x14ac:dyDescent="0.25">
      <c r="B149" s="182" t="s">
        <v>25</v>
      </c>
      <c r="C149" s="183"/>
      <c r="D149" s="54" t="str">
        <f>INDEX(Cad_Natureza!$B$3:$C$52,MATCH('2026'!F149,Cad_Natureza!$C$3:$C$52,0),MATCH('2026'!D$2,Cad_Natureza!$B$3:$C$3,0))</f>
        <v>OPF1</v>
      </c>
      <c r="E149" s="52" t="str">
        <f t="shared" si="30"/>
        <v>Despesa 147</v>
      </c>
      <c r="F149" s="53" t="s">
        <v>67</v>
      </c>
      <c r="G149" s="54" t="s">
        <v>25</v>
      </c>
      <c r="H149" s="55">
        <v>46062</v>
      </c>
      <c r="I149" s="55"/>
      <c r="J149" s="50" t="str">
        <f t="shared" si="31"/>
        <v>Observação da despesa 147</v>
      </c>
      <c r="K149" s="43">
        <v>-20</v>
      </c>
      <c r="L149" s="43">
        <f t="shared" si="32"/>
        <v>2984.14</v>
      </c>
      <c r="M149" s="183"/>
      <c r="N149" s="37" t="str">
        <f t="shared" si="33"/>
        <v>MCSOPF1CPF - Desp. Alimentação / Refeição</v>
      </c>
      <c r="O149" s="37" t="str">
        <f t="shared" si="34"/>
        <v>OPF1CPF - Desp. Alimentação / Refeição</v>
      </c>
      <c r="P149" s="37" t="str">
        <f t="shared" si="35"/>
        <v>MCSOPF1CPF - Desp. Alimentação / Refeição</v>
      </c>
      <c r="Q149" s="37" t="str">
        <f t="shared" si="36"/>
        <v>MCSOPF1</v>
      </c>
      <c r="R149" s="37" t="str">
        <f t="shared" si="37"/>
        <v>MCSOPF1</v>
      </c>
      <c r="S149" s="31"/>
      <c r="T149" s="185">
        <f t="shared" si="38"/>
        <v>46054</v>
      </c>
      <c r="U149" s="181">
        <v>147</v>
      </c>
    </row>
    <row r="150" spans="2:21" s="181" customFormat="1" x14ac:dyDescent="0.25">
      <c r="B150" s="182" t="s">
        <v>25</v>
      </c>
      <c r="C150" s="183"/>
      <c r="D150" s="54" t="str">
        <f>INDEX(Cad_Natureza!$B$3:$C$52,MATCH('2026'!F150,Cad_Natureza!$C$3:$C$52,0),MATCH('2026'!D$2,Cad_Natureza!$B$3:$C$3,0))</f>
        <v>DESP2</v>
      </c>
      <c r="E150" s="52" t="str">
        <f t="shared" si="30"/>
        <v>Despesa 148</v>
      </c>
      <c r="F150" s="53" t="s">
        <v>62</v>
      </c>
      <c r="G150" s="54" t="s">
        <v>25</v>
      </c>
      <c r="H150" s="55">
        <v>46062</v>
      </c>
      <c r="I150" s="55"/>
      <c r="J150" s="50" t="str">
        <f t="shared" si="31"/>
        <v>Observação da despesa 148</v>
      </c>
      <c r="K150" s="43">
        <v>-124.97</v>
      </c>
      <c r="L150" s="43">
        <f t="shared" si="32"/>
        <v>2859.17</v>
      </c>
      <c r="M150" s="183"/>
      <c r="N150" s="37" t="str">
        <f t="shared" si="0"/>
        <v>MCSDESP2CPF - Desp. Telefone / Internet</v>
      </c>
      <c r="O150" s="37" t="str">
        <f t="shared" si="1"/>
        <v>DESP2CPF - Desp. Telefone / Internet</v>
      </c>
      <c r="P150" s="37" t="str">
        <f t="shared" si="2"/>
        <v>MCSDESP2CPF - Desp. Telefone / Internet</v>
      </c>
      <c r="Q150" s="37" t="str">
        <f t="shared" si="3"/>
        <v>MCSDESP2</v>
      </c>
      <c r="R150" s="37" t="str">
        <f t="shared" si="4"/>
        <v>MCSDESP2</v>
      </c>
      <c r="S150" s="31"/>
      <c r="T150" s="185">
        <f t="shared" si="5"/>
        <v>46054</v>
      </c>
      <c r="U150" s="181">
        <v>148</v>
      </c>
    </row>
    <row r="151" spans="2:21" s="181" customFormat="1" x14ac:dyDescent="0.25">
      <c r="B151" s="182" t="s">
        <v>25</v>
      </c>
      <c r="C151" s="183"/>
      <c r="D151" s="54" t="str">
        <f>INDEX(Cad_Natureza!$B$3:$C$52,MATCH('2026'!F151,Cad_Natureza!$C$3:$C$52,0),MATCH('2026'!D$2,Cad_Natureza!$B$3:$C$3,0))</f>
        <v>PENS2</v>
      </c>
      <c r="E151" s="52" t="str">
        <f t="shared" si="30"/>
        <v>Despesa 149</v>
      </c>
      <c r="F151" s="53" t="s">
        <v>38</v>
      </c>
      <c r="G151" s="54" t="s">
        <v>25</v>
      </c>
      <c r="H151" s="55">
        <v>46062</v>
      </c>
      <c r="I151" s="55"/>
      <c r="J151" s="50" t="str">
        <f t="shared" si="31"/>
        <v>Observação da despesa 149</v>
      </c>
      <c r="K151" s="43">
        <v>-833.3</v>
      </c>
      <c r="L151" s="43">
        <f t="shared" si="32"/>
        <v>2025.8700000000001</v>
      </c>
      <c r="M151" s="183"/>
      <c r="N151" s="37" t="str">
        <f t="shared" si="0"/>
        <v>MCSPENS2CPF - Pensão - Energia</v>
      </c>
      <c r="O151" s="37" t="str">
        <f t="shared" si="1"/>
        <v>PENS2CPF - Pensão - Energia</v>
      </c>
      <c r="P151" s="37" t="str">
        <f t="shared" si="2"/>
        <v>MCSPENS2CPF - Pensão - Energia</v>
      </c>
      <c r="Q151" s="37" t="str">
        <f t="shared" si="3"/>
        <v>MCSPENS2</v>
      </c>
      <c r="R151" s="37" t="str">
        <f t="shared" si="4"/>
        <v>MCSPENS2</v>
      </c>
      <c r="S151" s="31"/>
      <c r="T151" s="185">
        <f t="shared" si="5"/>
        <v>46054</v>
      </c>
      <c r="U151" s="181">
        <v>149</v>
      </c>
    </row>
    <row r="152" spans="2:21" s="181" customFormat="1" x14ac:dyDescent="0.25">
      <c r="B152" s="182" t="s">
        <v>25</v>
      </c>
      <c r="C152" s="183"/>
      <c r="D152" s="54" t="str">
        <f>INDEX(Cad_Natureza!$B$3:$C$52,MATCH('2026'!F152,Cad_Natureza!$C$3:$C$52,0),MATCH('2026'!D$2,Cad_Natureza!$B$3:$C$3,0))</f>
        <v>PENS1</v>
      </c>
      <c r="E152" s="52" t="str">
        <f t="shared" si="30"/>
        <v>Despesa 150</v>
      </c>
      <c r="F152" s="53" t="s">
        <v>40</v>
      </c>
      <c r="G152" s="54" t="s">
        <v>25</v>
      </c>
      <c r="H152" s="55">
        <v>46062</v>
      </c>
      <c r="I152" s="55"/>
      <c r="J152" s="50" t="str">
        <f t="shared" si="31"/>
        <v>Observação da despesa 150</v>
      </c>
      <c r="K152" s="43">
        <v>-700</v>
      </c>
      <c r="L152" s="43">
        <f t="shared" si="32"/>
        <v>1325.8700000000001</v>
      </c>
      <c r="M152" s="183"/>
      <c r="N152" s="37" t="str">
        <f t="shared" si="0"/>
        <v>MCSPENS1CPF - Pensão - Aluguel</v>
      </c>
      <c r="O152" s="37" t="str">
        <f t="shared" si="1"/>
        <v>PENS1CPF - Pensão - Aluguel</v>
      </c>
      <c r="P152" s="37" t="str">
        <f t="shared" si="2"/>
        <v>MCSPENS1CPF - Pensão - Aluguel</v>
      </c>
      <c r="Q152" s="37" t="str">
        <f t="shared" si="3"/>
        <v>MCSPENS1</v>
      </c>
      <c r="R152" s="37" t="str">
        <f t="shared" si="4"/>
        <v>MCSPENS1</v>
      </c>
      <c r="S152" s="31"/>
      <c r="T152" s="185">
        <f t="shared" si="5"/>
        <v>46054</v>
      </c>
      <c r="U152" s="181">
        <v>150</v>
      </c>
    </row>
    <row r="153" spans="2:21" s="181" customFormat="1" x14ac:dyDescent="0.25">
      <c r="B153" s="182" t="s">
        <v>25</v>
      </c>
      <c r="C153" s="183"/>
      <c r="D153" s="54" t="str">
        <f>INDEX(Cad_Natureza!$B$3:$C$52,MATCH('2026'!F153,Cad_Natureza!$C$3:$C$52,0),MATCH('2026'!D$2,Cad_Natureza!$B$3:$C$3,0))</f>
        <v>FIN3</v>
      </c>
      <c r="E153" s="52" t="str">
        <f t="shared" si="30"/>
        <v>Despesa 151</v>
      </c>
      <c r="F153" s="53" t="s">
        <v>113</v>
      </c>
      <c r="G153" s="54" t="s">
        <v>25</v>
      </c>
      <c r="H153" s="55">
        <v>46063</v>
      </c>
      <c r="I153" s="55"/>
      <c r="J153" s="50" t="str">
        <f t="shared" si="31"/>
        <v>Observação da despesa 151</v>
      </c>
      <c r="K153" s="43">
        <v>-290.26</v>
      </c>
      <c r="L153" s="43">
        <f t="shared" si="32"/>
        <v>1035.6100000000001</v>
      </c>
      <c r="M153" s="183"/>
      <c r="N153" s="37" t="str">
        <f t="shared" si="0"/>
        <v>MCSFIN3CPF - Desp. Financeiras - Empréstimos bancários</v>
      </c>
      <c r="O153" s="37" t="str">
        <f t="shared" si="1"/>
        <v>FIN3CPF - Desp. Financeiras - Empréstimos bancários</v>
      </c>
      <c r="P153" s="37" t="str">
        <f t="shared" si="2"/>
        <v>MCSFIN3CPF - Desp. Financeiras - Empréstimos bancários</v>
      </c>
      <c r="Q153" s="37" t="str">
        <f t="shared" si="3"/>
        <v>MCSFIN3</v>
      </c>
      <c r="R153" s="37" t="str">
        <f t="shared" si="4"/>
        <v>MCSFIN3</v>
      </c>
      <c r="S153" s="31"/>
      <c r="T153" s="185">
        <f t="shared" si="5"/>
        <v>46054</v>
      </c>
      <c r="U153" s="181">
        <v>151</v>
      </c>
    </row>
    <row r="154" spans="2:21" s="181" customFormat="1" x14ac:dyDescent="0.25">
      <c r="B154" s="182" t="s">
        <v>25</v>
      </c>
      <c r="C154" s="183"/>
      <c r="D154" s="54" t="str">
        <f>INDEX(Cad_Natureza!$B$3:$C$52,MATCH('2026'!F154,Cad_Natureza!$C$3:$C$52,0),MATCH('2026'!D$2,Cad_Natureza!$B$3:$C$3,0))</f>
        <v>FIN3</v>
      </c>
      <c r="E154" s="52" t="str">
        <f t="shared" si="30"/>
        <v>Despesa 152</v>
      </c>
      <c r="F154" s="53" t="s">
        <v>113</v>
      </c>
      <c r="G154" s="54" t="s">
        <v>25</v>
      </c>
      <c r="H154" s="55">
        <v>46063</v>
      </c>
      <c r="I154" s="55"/>
      <c r="J154" s="50" t="str">
        <f t="shared" si="31"/>
        <v>Observação da despesa 152</v>
      </c>
      <c r="K154" s="43">
        <v>-6.79</v>
      </c>
      <c r="L154" s="43">
        <f t="shared" si="32"/>
        <v>1028.8200000000002</v>
      </c>
      <c r="M154" s="183"/>
      <c r="N154" s="37" t="str">
        <f t="shared" si="0"/>
        <v>MCSFIN3CPF - Desp. Financeiras - Empréstimos bancários</v>
      </c>
      <c r="O154" s="37" t="str">
        <f t="shared" si="1"/>
        <v>FIN3CPF - Desp. Financeiras - Empréstimos bancários</v>
      </c>
      <c r="P154" s="37" t="str">
        <f t="shared" si="2"/>
        <v>MCSFIN3CPF - Desp. Financeiras - Empréstimos bancários</v>
      </c>
      <c r="Q154" s="37" t="str">
        <f t="shared" si="3"/>
        <v>MCSFIN3</v>
      </c>
      <c r="R154" s="37" t="str">
        <f t="shared" si="4"/>
        <v>MCSFIN3</v>
      </c>
      <c r="S154" s="31"/>
      <c r="T154" s="185">
        <f t="shared" si="5"/>
        <v>46054</v>
      </c>
      <c r="U154" s="181">
        <v>152</v>
      </c>
    </row>
    <row r="155" spans="2:21" s="181" customFormat="1" x14ac:dyDescent="0.25">
      <c r="B155" s="182" t="s">
        <v>25</v>
      </c>
      <c r="C155" s="183"/>
      <c r="D155" s="54" t="str">
        <f>INDEX(Cad_Natureza!$B$3:$C$52,MATCH('2026'!F155,Cad_Natureza!$C$3:$C$52,0),MATCH('2026'!D$2,Cad_Natureza!$B$3:$C$3,0))</f>
        <v>GAST2</v>
      </c>
      <c r="E155" s="52" t="str">
        <f t="shared" si="30"/>
        <v>Despesa 153</v>
      </c>
      <c r="F155" s="53" t="s">
        <v>66</v>
      </c>
      <c r="G155" s="54" t="s">
        <v>25</v>
      </c>
      <c r="H155" s="55">
        <v>46063</v>
      </c>
      <c r="I155" s="55"/>
      <c r="J155" s="50" t="str">
        <f t="shared" si="31"/>
        <v>Observação da despesa 153</v>
      </c>
      <c r="K155" s="43">
        <v>-32</v>
      </c>
      <c r="L155" s="43">
        <f t="shared" si="32"/>
        <v>996.82000000000016</v>
      </c>
      <c r="M155" s="183"/>
      <c r="N155" s="37" t="str">
        <f t="shared" ref="N155:N169" si="39">B155&amp;D155&amp;F155</f>
        <v>MCSGAST2CPF - Desp. Lazer e Entretenimento - Cigarro</v>
      </c>
      <c r="O155" s="37" t="str">
        <f t="shared" ref="O155:O169" si="40">D155&amp;F155</f>
        <v>GAST2CPF - Desp. Lazer e Entretenimento - Cigarro</v>
      </c>
      <c r="P155" s="37" t="str">
        <f t="shared" ref="P155:P169" si="41">"MCS"&amp;D155&amp;F155</f>
        <v>MCSGAST2CPF - Desp. Lazer e Entretenimento - Cigarro</v>
      </c>
      <c r="Q155" s="37" t="str">
        <f t="shared" ref="Q155:Q169" si="42">"MCS"&amp;D155</f>
        <v>MCSGAST2</v>
      </c>
      <c r="R155" s="37" t="str">
        <f t="shared" ref="R155:R169" si="43">B155&amp;D155</f>
        <v>MCSGAST2</v>
      </c>
      <c r="S155" s="31"/>
      <c r="T155" s="185">
        <f t="shared" ref="T155:T169" si="44">(1&amp;"/"&amp;MONTH(H155)&amp;"/"&amp;YEAR(H155))*1</f>
        <v>46054</v>
      </c>
      <c r="U155" s="181">
        <v>153</v>
      </c>
    </row>
    <row r="156" spans="2:21" s="181" customFormat="1" x14ac:dyDescent="0.25">
      <c r="B156" s="182" t="s">
        <v>25</v>
      </c>
      <c r="C156" s="183"/>
      <c r="D156" s="54" t="str">
        <f>INDEX(Cad_Natureza!$B$3:$C$52,MATCH('2026'!F156,Cad_Natureza!$C$3:$C$52,0),MATCH('2026'!D$2,Cad_Natureza!$B$3:$C$3,0))</f>
        <v>GAST1</v>
      </c>
      <c r="E156" s="52" t="str">
        <f t="shared" si="30"/>
        <v>Despesa 154</v>
      </c>
      <c r="F156" s="53" t="s">
        <v>65</v>
      </c>
      <c r="G156" s="54" t="s">
        <v>25</v>
      </c>
      <c r="H156" s="55">
        <v>46063</v>
      </c>
      <c r="I156" s="55"/>
      <c r="J156" s="50" t="str">
        <f t="shared" si="31"/>
        <v>Observação da despesa 154</v>
      </c>
      <c r="K156" s="43">
        <v>-17.91</v>
      </c>
      <c r="L156" s="43">
        <f t="shared" si="32"/>
        <v>978.9100000000002</v>
      </c>
      <c r="M156" s="183"/>
      <c r="N156" s="37" t="str">
        <f t="shared" si="39"/>
        <v>MCSGAST1CPF - Desp. Lazer e Entretenimento - Bares</v>
      </c>
      <c r="O156" s="37" t="str">
        <f t="shared" si="40"/>
        <v>GAST1CPF - Desp. Lazer e Entretenimento - Bares</v>
      </c>
      <c r="P156" s="37" t="str">
        <f t="shared" si="41"/>
        <v>MCSGAST1CPF - Desp. Lazer e Entretenimento - Bares</v>
      </c>
      <c r="Q156" s="37" t="str">
        <f t="shared" si="42"/>
        <v>MCSGAST1</v>
      </c>
      <c r="R156" s="37" t="str">
        <f t="shared" si="43"/>
        <v>MCSGAST1</v>
      </c>
      <c r="S156" s="31"/>
      <c r="T156" s="185">
        <f t="shared" si="44"/>
        <v>46054</v>
      </c>
      <c r="U156" s="181">
        <v>154</v>
      </c>
    </row>
    <row r="157" spans="2:21" s="181" customFormat="1" x14ac:dyDescent="0.25">
      <c r="B157" s="182" t="s">
        <v>25</v>
      </c>
      <c r="C157" s="183"/>
      <c r="D157" s="54" t="str">
        <f>INDEX(Cad_Natureza!$B$3:$C$52,MATCH('2026'!F157,Cad_Natureza!$C$3:$C$52,0),MATCH('2026'!D$2,Cad_Natureza!$B$3:$C$3,0))</f>
        <v>OPF1</v>
      </c>
      <c r="E157" s="52" t="str">
        <f t="shared" si="30"/>
        <v>Despesa 155</v>
      </c>
      <c r="F157" s="53" t="s">
        <v>67</v>
      </c>
      <c r="G157" s="54" t="s">
        <v>25</v>
      </c>
      <c r="H157" s="55">
        <v>46063</v>
      </c>
      <c r="I157" s="55"/>
      <c r="J157" s="50" t="str">
        <f t="shared" si="31"/>
        <v>Observação da despesa 155</v>
      </c>
      <c r="K157" s="43">
        <v>-20</v>
      </c>
      <c r="L157" s="43">
        <f t="shared" si="32"/>
        <v>958.9100000000002</v>
      </c>
      <c r="M157" s="183"/>
      <c r="N157" s="37" t="str">
        <f t="shared" si="39"/>
        <v>MCSOPF1CPF - Desp. Alimentação / Refeição</v>
      </c>
      <c r="O157" s="37" t="str">
        <f t="shared" si="40"/>
        <v>OPF1CPF - Desp. Alimentação / Refeição</v>
      </c>
      <c r="P157" s="37" t="str">
        <f t="shared" si="41"/>
        <v>MCSOPF1CPF - Desp. Alimentação / Refeição</v>
      </c>
      <c r="Q157" s="37" t="str">
        <f t="shared" si="42"/>
        <v>MCSOPF1</v>
      </c>
      <c r="R157" s="37" t="str">
        <f t="shared" si="43"/>
        <v>MCSOPF1</v>
      </c>
      <c r="S157" s="31"/>
      <c r="T157" s="185">
        <f t="shared" si="44"/>
        <v>46054</v>
      </c>
      <c r="U157" s="181">
        <v>155</v>
      </c>
    </row>
    <row r="158" spans="2:21" s="181" customFormat="1" x14ac:dyDescent="0.25">
      <c r="B158" s="182" t="s">
        <v>25</v>
      </c>
      <c r="C158" s="183"/>
      <c r="D158" s="54" t="str">
        <f>INDEX(Cad_Natureza!$B$3:$C$52,MATCH('2026'!F158,Cad_Natureza!$C$3:$C$52,0),MATCH('2026'!D$2,Cad_Natureza!$B$3:$C$3,0))</f>
        <v>OPF2</v>
      </c>
      <c r="E158" s="52" t="str">
        <f t="shared" si="30"/>
        <v>Despesa 156</v>
      </c>
      <c r="F158" s="53" t="s">
        <v>64</v>
      </c>
      <c r="G158" s="54" t="s">
        <v>25</v>
      </c>
      <c r="H158" s="55">
        <v>46063</v>
      </c>
      <c r="I158" s="55"/>
      <c r="J158" s="50" t="str">
        <f t="shared" si="31"/>
        <v>Observação da despesa 156</v>
      </c>
      <c r="K158" s="43">
        <v>-50</v>
      </c>
      <c r="L158" s="43">
        <f t="shared" si="32"/>
        <v>908.9100000000002</v>
      </c>
      <c r="M158" s="183"/>
      <c r="N158" s="37" t="str">
        <f t="shared" si="39"/>
        <v>MCSOPF2CPF - Desp. Transporte / Combustível</v>
      </c>
      <c r="O158" s="37" t="str">
        <f t="shared" si="40"/>
        <v>OPF2CPF - Desp. Transporte / Combustível</v>
      </c>
      <c r="P158" s="37" t="str">
        <f t="shared" si="41"/>
        <v>MCSOPF2CPF - Desp. Transporte / Combustível</v>
      </c>
      <c r="Q158" s="37" t="str">
        <f t="shared" si="42"/>
        <v>MCSOPF2</v>
      </c>
      <c r="R158" s="37" t="str">
        <f t="shared" si="43"/>
        <v>MCSOPF2</v>
      </c>
      <c r="S158" s="31"/>
      <c r="T158" s="185">
        <f t="shared" si="44"/>
        <v>46054</v>
      </c>
      <c r="U158" s="181">
        <v>156</v>
      </c>
    </row>
    <row r="159" spans="2:21" s="181" customFormat="1" x14ac:dyDescent="0.25">
      <c r="B159" s="182" t="s">
        <v>25</v>
      </c>
      <c r="C159" s="183"/>
      <c r="D159" s="54" t="str">
        <f>INDEX(Cad_Natureza!$B$3:$C$52,MATCH('2026'!F159,Cad_Natureza!$C$3:$C$52,0),MATCH('2026'!D$2,Cad_Natureza!$B$3:$C$3,0))</f>
        <v>OUG1</v>
      </c>
      <c r="E159" s="52" t="str">
        <f t="shared" si="30"/>
        <v>Despesa 157</v>
      </c>
      <c r="F159" s="53" t="s">
        <v>70</v>
      </c>
      <c r="G159" s="54" t="s">
        <v>25</v>
      </c>
      <c r="H159" s="55">
        <v>46063</v>
      </c>
      <c r="I159" s="55"/>
      <c r="J159" s="50" t="str">
        <f t="shared" si="31"/>
        <v>Observação da despesa 157</v>
      </c>
      <c r="K159" s="43">
        <v>-44.2</v>
      </c>
      <c r="L159" s="43">
        <f t="shared" si="32"/>
        <v>864.71000000000015</v>
      </c>
      <c r="M159" s="183"/>
      <c r="N159" s="37" t="str">
        <f t="shared" si="39"/>
        <v>MCSOUG1CPF - Outros gastos</v>
      </c>
      <c r="O159" s="37" t="str">
        <f t="shared" si="40"/>
        <v>OUG1CPF - Outros gastos</v>
      </c>
      <c r="P159" s="37" t="str">
        <f t="shared" si="41"/>
        <v>MCSOUG1CPF - Outros gastos</v>
      </c>
      <c r="Q159" s="37" t="str">
        <f t="shared" si="42"/>
        <v>MCSOUG1</v>
      </c>
      <c r="R159" s="37" t="str">
        <f t="shared" si="43"/>
        <v>MCSOUG1</v>
      </c>
      <c r="S159" s="31"/>
      <c r="T159" s="185">
        <f t="shared" si="44"/>
        <v>46054</v>
      </c>
      <c r="U159" s="181">
        <v>157</v>
      </c>
    </row>
    <row r="160" spans="2:21" s="181" customFormat="1" x14ac:dyDescent="0.25">
      <c r="B160" s="182" t="s">
        <v>25</v>
      </c>
      <c r="C160" s="183"/>
      <c r="D160" s="54" t="str">
        <f>INDEX(Cad_Natureza!$B$3:$C$52,MATCH('2026'!F160,Cad_Natureza!$C$3:$C$52,0),MATCH('2026'!D$2,Cad_Natureza!$B$3:$C$3,0))</f>
        <v>GAST1</v>
      </c>
      <c r="E160" s="52" t="str">
        <f t="shared" si="30"/>
        <v>Despesa 158</v>
      </c>
      <c r="F160" s="53" t="s">
        <v>65</v>
      </c>
      <c r="G160" s="54" t="s">
        <v>25</v>
      </c>
      <c r="H160" s="55">
        <v>46063</v>
      </c>
      <c r="I160" s="55"/>
      <c r="J160" s="50" t="str">
        <f t="shared" si="31"/>
        <v>Observação da despesa 158</v>
      </c>
      <c r="K160" s="43">
        <v>-3</v>
      </c>
      <c r="L160" s="43">
        <f t="shared" si="32"/>
        <v>861.71000000000015</v>
      </c>
      <c r="M160" s="183"/>
      <c r="N160" s="37" t="str">
        <f t="shared" si="39"/>
        <v>MCSGAST1CPF - Desp. Lazer e Entretenimento - Bares</v>
      </c>
      <c r="O160" s="37" t="str">
        <f t="shared" si="40"/>
        <v>GAST1CPF - Desp. Lazer e Entretenimento - Bares</v>
      </c>
      <c r="P160" s="37" t="str">
        <f t="shared" si="41"/>
        <v>MCSGAST1CPF - Desp. Lazer e Entretenimento - Bares</v>
      </c>
      <c r="Q160" s="37" t="str">
        <f t="shared" si="42"/>
        <v>MCSGAST1</v>
      </c>
      <c r="R160" s="37" t="str">
        <f t="shared" si="43"/>
        <v>MCSGAST1</v>
      </c>
      <c r="S160" s="31"/>
      <c r="T160" s="185">
        <f t="shared" si="44"/>
        <v>46054</v>
      </c>
      <c r="U160" s="181">
        <v>158</v>
      </c>
    </row>
    <row r="161" spans="2:21" s="181" customFormat="1" x14ac:dyDescent="0.25">
      <c r="B161" s="182" t="s">
        <v>25</v>
      </c>
      <c r="C161" s="183"/>
      <c r="D161" s="54" t="str">
        <f>INDEX(Cad_Natureza!$B$3:$C$52,MATCH('2026'!F161,Cad_Natureza!$C$3:$C$52,0),MATCH('2026'!D$2,Cad_Natureza!$B$3:$C$3,0))</f>
        <v>OUG1</v>
      </c>
      <c r="E161" s="52" t="str">
        <f t="shared" si="30"/>
        <v>Despesa 159</v>
      </c>
      <c r="F161" s="53" t="s">
        <v>70</v>
      </c>
      <c r="G161" s="54" t="s">
        <v>25</v>
      </c>
      <c r="H161" s="55">
        <v>46064</v>
      </c>
      <c r="I161" s="55"/>
      <c r="J161" s="50" t="str">
        <f t="shared" si="31"/>
        <v>Observação da despesa 159</v>
      </c>
      <c r="K161" s="43">
        <v>-42</v>
      </c>
      <c r="L161" s="43">
        <f t="shared" si="32"/>
        <v>819.71000000000015</v>
      </c>
      <c r="M161" s="183"/>
      <c r="N161" s="37" t="str">
        <f t="shared" si="39"/>
        <v>MCSOUG1CPF - Outros gastos</v>
      </c>
      <c r="O161" s="37" t="str">
        <f t="shared" si="40"/>
        <v>OUG1CPF - Outros gastos</v>
      </c>
      <c r="P161" s="37" t="str">
        <f t="shared" si="41"/>
        <v>MCSOUG1CPF - Outros gastos</v>
      </c>
      <c r="Q161" s="37" t="str">
        <f t="shared" si="42"/>
        <v>MCSOUG1</v>
      </c>
      <c r="R161" s="37" t="str">
        <f t="shared" si="43"/>
        <v>MCSOUG1</v>
      </c>
      <c r="S161" s="31"/>
      <c r="T161" s="185">
        <f t="shared" si="44"/>
        <v>46054</v>
      </c>
      <c r="U161" s="181">
        <v>159</v>
      </c>
    </row>
    <row r="162" spans="2:21" s="181" customFormat="1" x14ac:dyDescent="0.25">
      <c r="B162" s="182" t="s">
        <v>25</v>
      </c>
      <c r="C162" s="183"/>
      <c r="D162" s="54" t="str">
        <f>INDEX(Cad_Natureza!$B$3:$C$52,MATCH('2026'!F162,Cad_Natureza!$C$3:$C$52,0),MATCH('2026'!D$2,Cad_Natureza!$B$3:$C$3,0))</f>
        <v>GAST1</v>
      </c>
      <c r="E162" s="52" t="str">
        <f t="shared" si="30"/>
        <v>Despesa 160</v>
      </c>
      <c r="F162" s="53" t="s">
        <v>65</v>
      </c>
      <c r="G162" s="54" t="s">
        <v>25</v>
      </c>
      <c r="H162" s="55">
        <v>46064</v>
      </c>
      <c r="I162" s="55"/>
      <c r="J162" s="50" t="str">
        <f t="shared" si="31"/>
        <v>Observação da despesa 160</v>
      </c>
      <c r="K162" s="43">
        <v>-35.5</v>
      </c>
      <c r="L162" s="43">
        <f t="shared" si="32"/>
        <v>784.21000000000015</v>
      </c>
      <c r="M162" s="183"/>
      <c r="N162" s="37" t="str">
        <f t="shared" si="39"/>
        <v>MCSGAST1CPF - Desp. Lazer e Entretenimento - Bares</v>
      </c>
      <c r="O162" s="37" t="str">
        <f t="shared" si="40"/>
        <v>GAST1CPF - Desp. Lazer e Entretenimento - Bares</v>
      </c>
      <c r="P162" s="37" t="str">
        <f t="shared" si="41"/>
        <v>MCSGAST1CPF - Desp. Lazer e Entretenimento - Bares</v>
      </c>
      <c r="Q162" s="37" t="str">
        <f t="shared" si="42"/>
        <v>MCSGAST1</v>
      </c>
      <c r="R162" s="37" t="str">
        <f t="shared" si="43"/>
        <v>MCSGAST1</v>
      </c>
      <c r="S162" s="31"/>
      <c r="T162" s="185">
        <f t="shared" si="44"/>
        <v>46054</v>
      </c>
      <c r="U162" s="181">
        <v>160</v>
      </c>
    </row>
    <row r="163" spans="2:21" s="181" customFormat="1" x14ac:dyDescent="0.25">
      <c r="B163" s="182" t="s">
        <v>25</v>
      </c>
      <c r="C163" s="183"/>
      <c r="D163" s="54" t="str">
        <f>INDEX(Cad_Natureza!$B$3:$C$52,MATCH('2026'!F163,Cad_Natureza!$C$3:$C$52,0),MATCH('2026'!D$2,Cad_Natureza!$B$3:$C$3,0))</f>
        <v>GAST1</v>
      </c>
      <c r="E163" s="52" t="str">
        <f t="shared" si="30"/>
        <v>Despesa 161</v>
      </c>
      <c r="F163" s="53" t="s">
        <v>65</v>
      </c>
      <c r="G163" s="54" t="s">
        <v>25</v>
      </c>
      <c r="H163" s="55">
        <v>46064</v>
      </c>
      <c r="I163" s="55"/>
      <c r="J163" s="50" t="str">
        <f t="shared" si="31"/>
        <v>Observação da despesa 161</v>
      </c>
      <c r="K163" s="43">
        <v>-39</v>
      </c>
      <c r="L163" s="43">
        <f t="shared" si="32"/>
        <v>745.21000000000015</v>
      </c>
      <c r="M163" s="183"/>
      <c r="N163" s="37" t="str">
        <f t="shared" si="39"/>
        <v>MCSGAST1CPF - Desp. Lazer e Entretenimento - Bares</v>
      </c>
      <c r="O163" s="37" t="str">
        <f t="shared" si="40"/>
        <v>GAST1CPF - Desp. Lazer e Entretenimento - Bares</v>
      </c>
      <c r="P163" s="37" t="str">
        <f t="shared" si="41"/>
        <v>MCSGAST1CPF - Desp. Lazer e Entretenimento - Bares</v>
      </c>
      <c r="Q163" s="37" t="str">
        <f t="shared" si="42"/>
        <v>MCSGAST1</v>
      </c>
      <c r="R163" s="37" t="str">
        <f t="shared" si="43"/>
        <v>MCSGAST1</v>
      </c>
      <c r="S163" s="31"/>
      <c r="T163" s="185">
        <f t="shared" si="44"/>
        <v>46054</v>
      </c>
      <c r="U163" s="181">
        <v>161</v>
      </c>
    </row>
    <row r="164" spans="2:21" s="181" customFormat="1" x14ac:dyDescent="0.25">
      <c r="B164" s="182" t="s">
        <v>25</v>
      </c>
      <c r="C164" s="183"/>
      <c r="D164" s="54" t="str">
        <f>INDEX(Cad_Natureza!$B$3:$C$52,MATCH('2026'!F164,Cad_Natureza!$C$3:$C$52,0),MATCH('2026'!D$2,Cad_Natureza!$B$3:$C$3,0))</f>
        <v>OPF1</v>
      </c>
      <c r="E164" s="52" t="str">
        <f t="shared" si="30"/>
        <v>Despesa 162</v>
      </c>
      <c r="F164" s="53" t="s">
        <v>67</v>
      </c>
      <c r="G164" s="54" t="s">
        <v>25</v>
      </c>
      <c r="H164" s="55">
        <v>46065</v>
      </c>
      <c r="I164" s="55"/>
      <c r="J164" s="50" t="str">
        <f t="shared" si="31"/>
        <v>Observação da despesa 162</v>
      </c>
      <c r="K164" s="43">
        <v>-19</v>
      </c>
      <c r="L164" s="43">
        <f t="shared" si="32"/>
        <v>726.21000000000015</v>
      </c>
      <c r="M164" s="183"/>
      <c r="N164" s="37" t="str">
        <f t="shared" si="39"/>
        <v>MCSOPF1CPF - Desp. Alimentação / Refeição</v>
      </c>
      <c r="O164" s="37" t="str">
        <f t="shared" si="40"/>
        <v>OPF1CPF - Desp. Alimentação / Refeição</v>
      </c>
      <c r="P164" s="37" t="str">
        <f t="shared" si="41"/>
        <v>MCSOPF1CPF - Desp. Alimentação / Refeição</v>
      </c>
      <c r="Q164" s="37" t="str">
        <f t="shared" si="42"/>
        <v>MCSOPF1</v>
      </c>
      <c r="R164" s="37" t="str">
        <f t="shared" si="43"/>
        <v>MCSOPF1</v>
      </c>
      <c r="S164" s="31"/>
      <c r="T164" s="185">
        <f t="shared" si="44"/>
        <v>46054</v>
      </c>
      <c r="U164" s="181">
        <v>162</v>
      </c>
    </row>
    <row r="165" spans="2:21" s="181" customFormat="1" x14ac:dyDescent="0.25">
      <c r="B165" s="182" t="s">
        <v>25</v>
      </c>
      <c r="C165" s="183"/>
      <c r="D165" s="54" t="str">
        <f>INDEX(Cad_Natureza!$B$3:$C$52,MATCH('2026'!F165,Cad_Natureza!$C$3:$C$52,0),MATCH('2026'!D$2,Cad_Natureza!$B$3:$C$3,0))</f>
        <v>OPF2</v>
      </c>
      <c r="E165" s="52" t="str">
        <f t="shared" si="30"/>
        <v>Despesa 163</v>
      </c>
      <c r="F165" s="53" t="s">
        <v>64</v>
      </c>
      <c r="G165" s="54" t="s">
        <v>25</v>
      </c>
      <c r="H165" s="55">
        <v>46065</v>
      </c>
      <c r="I165" s="55"/>
      <c r="J165" s="50" t="str">
        <f t="shared" si="31"/>
        <v>Observação da despesa 163</v>
      </c>
      <c r="K165" s="43">
        <v>-100</v>
      </c>
      <c r="L165" s="43">
        <f t="shared" si="32"/>
        <v>626.21000000000015</v>
      </c>
      <c r="M165" s="183"/>
      <c r="N165" s="37" t="str">
        <f t="shared" si="39"/>
        <v>MCSOPF2CPF - Desp. Transporte / Combustível</v>
      </c>
      <c r="O165" s="37" t="str">
        <f t="shared" si="40"/>
        <v>OPF2CPF - Desp. Transporte / Combustível</v>
      </c>
      <c r="P165" s="37" t="str">
        <f t="shared" si="41"/>
        <v>MCSOPF2CPF - Desp. Transporte / Combustível</v>
      </c>
      <c r="Q165" s="37" t="str">
        <f t="shared" si="42"/>
        <v>MCSOPF2</v>
      </c>
      <c r="R165" s="37" t="str">
        <f t="shared" si="43"/>
        <v>MCSOPF2</v>
      </c>
      <c r="S165" s="31"/>
      <c r="T165" s="185">
        <f t="shared" si="44"/>
        <v>46054</v>
      </c>
      <c r="U165" s="181">
        <v>163</v>
      </c>
    </row>
    <row r="166" spans="2:21" s="181" customFormat="1" x14ac:dyDescent="0.25">
      <c r="B166" s="182" t="s">
        <v>25</v>
      </c>
      <c r="C166" s="183"/>
      <c r="D166" s="54" t="str">
        <f>INDEX(Cad_Natureza!$B$3:$C$52,MATCH('2026'!F166,Cad_Natureza!$C$3:$C$52,0),MATCH('2026'!D$2,Cad_Natureza!$B$3:$C$3,0))</f>
        <v>GAST1</v>
      </c>
      <c r="E166" s="52" t="str">
        <f t="shared" si="30"/>
        <v>Despesa 164</v>
      </c>
      <c r="F166" s="53" t="s">
        <v>65</v>
      </c>
      <c r="G166" s="54" t="s">
        <v>25</v>
      </c>
      <c r="H166" s="55">
        <v>46065</v>
      </c>
      <c r="I166" s="55"/>
      <c r="J166" s="50" t="str">
        <f t="shared" si="31"/>
        <v>Observação da despesa 164</v>
      </c>
      <c r="K166" s="43">
        <v>-29</v>
      </c>
      <c r="L166" s="43">
        <f t="shared" si="32"/>
        <v>597.21000000000015</v>
      </c>
      <c r="M166" s="183"/>
      <c r="N166" s="37" t="str">
        <f t="shared" si="39"/>
        <v>MCSGAST1CPF - Desp. Lazer e Entretenimento - Bares</v>
      </c>
      <c r="O166" s="37" t="str">
        <f t="shared" si="40"/>
        <v>GAST1CPF - Desp. Lazer e Entretenimento - Bares</v>
      </c>
      <c r="P166" s="37" t="str">
        <f t="shared" si="41"/>
        <v>MCSGAST1CPF - Desp. Lazer e Entretenimento - Bares</v>
      </c>
      <c r="Q166" s="37" t="str">
        <f t="shared" si="42"/>
        <v>MCSGAST1</v>
      </c>
      <c r="R166" s="37" t="str">
        <f t="shared" si="43"/>
        <v>MCSGAST1</v>
      </c>
      <c r="S166" s="31"/>
      <c r="T166" s="185">
        <f t="shared" si="44"/>
        <v>46054</v>
      </c>
      <c r="U166" s="181">
        <v>164</v>
      </c>
    </row>
    <row r="167" spans="2:21" s="181" customFormat="1" x14ac:dyDescent="0.25">
      <c r="B167" s="182" t="s">
        <v>25</v>
      </c>
      <c r="C167" s="183"/>
      <c r="D167" s="54" t="str">
        <f>INDEX(Cad_Natureza!$B$3:$C$52,MATCH('2026'!F167,Cad_Natureza!$C$3:$C$52,0),MATCH('2026'!D$2,Cad_Natureza!$B$3:$C$3,0))</f>
        <v>GAST1</v>
      </c>
      <c r="E167" s="52" t="str">
        <f t="shared" si="30"/>
        <v>Despesa 165</v>
      </c>
      <c r="F167" s="53" t="s">
        <v>65</v>
      </c>
      <c r="G167" s="54" t="s">
        <v>25</v>
      </c>
      <c r="H167" s="55">
        <v>46065</v>
      </c>
      <c r="I167" s="55"/>
      <c r="J167" s="50" t="str">
        <f t="shared" si="31"/>
        <v>Observação da despesa 165</v>
      </c>
      <c r="K167" s="43">
        <v>-15</v>
      </c>
      <c r="L167" s="43">
        <f t="shared" si="32"/>
        <v>582.21000000000015</v>
      </c>
      <c r="M167" s="183"/>
      <c r="N167" s="37" t="str">
        <f t="shared" si="39"/>
        <v>MCSGAST1CPF - Desp. Lazer e Entretenimento - Bares</v>
      </c>
      <c r="O167" s="37" t="str">
        <f t="shared" si="40"/>
        <v>GAST1CPF - Desp. Lazer e Entretenimento - Bares</v>
      </c>
      <c r="P167" s="37" t="str">
        <f t="shared" si="41"/>
        <v>MCSGAST1CPF - Desp. Lazer e Entretenimento - Bares</v>
      </c>
      <c r="Q167" s="37" t="str">
        <f t="shared" si="42"/>
        <v>MCSGAST1</v>
      </c>
      <c r="R167" s="37" t="str">
        <f t="shared" si="43"/>
        <v>MCSGAST1</v>
      </c>
      <c r="S167" s="31"/>
      <c r="T167" s="185">
        <f t="shared" si="44"/>
        <v>46054</v>
      </c>
      <c r="U167" s="181">
        <v>165</v>
      </c>
    </row>
    <row r="168" spans="2:21" s="181" customFormat="1" x14ac:dyDescent="0.25">
      <c r="B168" s="182" t="s">
        <v>25</v>
      </c>
      <c r="C168" s="183"/>
      <c r="D168" s="54" t="str">
        <f>INDEX(Cad_Natureza!$B$3:$C$52,MATCH('2026'!F168,Cad_Natureza!$C$3:$C$52,0),MATCH('2026'!D$2,Cad_Natureza!$B$3:$C$3,0))</f>
        <v>OPF1</v>
      </c>
      <c r="E168" s="52" t="str">
        <f t="shared" si="30"/>
        <v>Despesa 166</v>
      </c>
      <c r="F168" s="53" t="s">
        <v>67</v>
      </c>
      <c r="G168" s="54" t="s">
        <v>25</v>
      </c>
      <c r="H168" s="55">
        <v>46066</v>
      </c>
      <c r="I168" s="55"/>
      <c r="J168" s="50" t="str">
        <f t="shared" si="31"/>
        <v>Observação da despesa 166</v>
      </c>
      <c r="K168" s="43">
        <v>-20</v>
      </c>
      <c r="L168" s="43">
        <f t="shared" si="32"/>
        <v>562.21000000000015</v>
      </c>
      <c r="M168" s="183"/>
      <c r="N168" s="37" t="str">
        <f t="shared" si="39"/>
        <v>MCSOPF1CPF - Desp. Alimentação / Refeição</v>
      </c>
      <c r="O168" s="37" t="str">
        <f t="shared" si="40"/>
        <v>OPF1CPF - Desp. Alimentação / Refeição</v>
      </c>
      <c r="P168" s="37" t="str">
        <f t="shared" si="41"/>
        <v>MCSOPF1CPF - Desp. Alimentação / Refeição</v>
      </c>
      <c r="Q168" s="37" t="str">
        <f t="shared" si="42"/>
        <v>MCSOPF1</v>
      </c>
      <c r="R168" s="37" t="str">
        <f t="shared" si="43"/>
        <v>MCSOPF1</v>
      </c>
      <c r="S168" s="31"/>
      <c r="T168" s="185">
        <f t="shared" si="44"/>
        <v>46054</v>
      </c>
      <c r="U168" s="181">
        <v>166</v>
      </c>
    </row>
    <row r="169" spans="2:21" s="181" customFormat="1" x14ac:dyDescent="0.25">
      <c r="B169" s="182" t="s">
        <v>25</v>
      </c>
      <c r="C169" s="183"/>
      <c r="D169" s="54" t="str">
        <f>INDEX(Cad_Natureza!$B$3:$C$52,MATCH('2026'!F169,Cad_Natureza!$C$3:$C$52,0),MATCH('2026'!D$2,Cad_Natureza!$B$3:$C$3,0))</f>
        <v>OPF2</v>
      </c>
      <c r="E169" s="52" t="str">
        <f t="shared" si="30"/>
        <v>Despesa 167</v>
      </c>
      <c r="F169" s="53" t="s">
        <v>64</v>
      </c>
      <c r="G169" s="54" t="s">
        <v>25</v>
      </c>
      <c r="H169" s="55">
        <v>46066</v>
      </c>
      <c r="I169" s="55"/>
      <c r="J169" s="50" t="str">
        <f t="shared" si="31"/>
        <v>Observação da despesa 167</v>
      </c>
      <c r="K169" s="43">
        <v>-481.67</v>
      </c>
      <c r="L169" s="43">
        <f t="shared" si="32"/>
        <v>80.540000000000134</v>
      </c>
      <c r="M169" s="183"/>
      <c r="N169" s="37" t="str">
        <f t="shared" si="39"/>
        <v>MCSOPF2CPF - Desp. Transporte / Combustível</v>
      </c>
      <c r="O169" s="37" t="str">
        <f t="shared" si="40"/>
        <v>OPF2CPF - Desp. Transporte / Combustível</v>
      </c>
      <c r="P169" s="37" t="str">
        <f t="shared" si="41"/>
        <v>MCSOPF2CPF - Desp. Transporte / Combustível</v>
      </c>
      <c r="Q169" s="37" t="str">
        <f t="shared" si="42"/>
        <v>MCSOPF2</v>
      </c>
      <c r="R169" s="37" t="str">
        <f t="shared" si="43"/>
        <v>MCSOPF2</v>
      </c>
      <c r="S169" s="31"/>
      <c r="T169" s="185">
        <f t="shared" si="44"/>
        <v>46054</v>
      </c>
      <c r="U169" s="181">
        <v>167</v>
      </c>
    </row>
    <row r="170" spans="2:21" s="177" customFormat="1" x14ac:dyDescent="0.25">
      <c r="B170" s="174" t="s">
        <v>25</v>
      </c>
      <c r="C170" s="51"/>
      <c r="D170" s="44" t="str">
        <f>INDEX(Cad_Natureza!$B$3:$C$52,MATCH('2026'!F170,Cad_Natureza!$C$3:$C$52,0),MATCH('2026'!D$2,Cad_Natureza!$B$3:$C$3,0))</f>
        <v>REC4</v>
      </c>
      <c r="E170" s="45" t="str">
        <f t="shared" si="30"/>
        <v>Receita 168</v>
      </c>
      <c r="F170" s="46" t="s">
        <v>57</v>
      </c>
      <c r="G170" s="44" t="s">
        <v>25</v>
      </c>
      <c r="H170" s="47">
        <v>46066</v>
      </c>
      <c r="I170" s="47"/>
      <c r="J170" s="48" t="str">
        <f t="shared" si="31"/>
        <v>Observação da receita 168</v>
      </c>
      <c r="K170" s="49">
        <v>1400</v>
      </c>
      <c r="L170" s="49">
        <f t="shared" si="32"/>
        <v>1480.5400000000002</v>
      </c>
      <c r="M170" s="51"/>
      <c r="N170" s="37" t="str">
        <f t="shared" si="0"/>
        <v>MCSREC4CPF - Transf. Da conta PJ para a conta PF</v>
      </c>
      <c r="O170" s="37" t="str">
        <f t="shared" si="1"/>
        <v>REC4CPF - Transf. Da conta PJ para a conta PF</v>
      </c>
      <c r="P170" s="37" t="str">
        <f t="shared" si="2"/>
        <v>MCSREC4CPF - Transf. Da conta PJ para a conta PF</v>
      </c>
      <c r="Q170" s="37" t="str">
        <f t="shared" si="3"/>
        <v>MCSREC4</v>
      </c>
      <c r="R170" s="37" t="str">
        <f t="shared" si="4"/>
        <v>MCSREC4</v>
      </c>
      <c r="S170" s="31"/>
      <c r="T170" s="176">
        <f t="shared" si="5"/>
        <v>46054</v>
      </c>
      <c r="U170" s="181">
        <v>168</v>
      </c>
    </row>
    <row r="171" spans="2:21" s="181" customFormat="1" x14ac:dyDescent="0.25">
      <c r="B171" s="182" t="s">
        <v>25</v>
      </c>
      <c r="C171" s="183"/>
      <c r="D171" s="54" t="str">
        <f>INDEX(Cad_Natureza!$B$3:$C$52,MATCH('2026'!F171,Cad_Natureza!$C$3:$C$52,0),MATCH('2026'!D$2,Cad_Natureza!$B$3:$C$3,0))</f>
        <v>GAST1</v>
      </c>
      <c r="E171" s="52" t="str">
        <f t="shared" si="30"/>
        <v>Despesa 169</v>
      </c>
      <c r="F171" s="53" t="s">
        <v>65</v>
      </c>
      <c r="G171" s="54" t="s">
        <v>25</v>
      </c>
      <c r="H171" s="55">
        <v>46066</v>
      </c>
      <c r="I171" s="55"/>
      <c r="J171" s="50" t="str">
        <f t="shared" si="31"/>
        <v>Observação da despesa 169</v>
      </c>
      <c r="K171" s="43">
        <v>-45</v>
      </c>
      <c r="L171" s="43">
        <f t="shared" si="32"/>
        <v>1435.5400000000002</v>
      </c>
      <c r="M171" s="183"/>
      <c r="N171" s="37" t="str">
        <f t="shared" si="0"/>
        <v>MCSGAST1CPF - Desp. Lazer e Entretenimento - Bares</v>
      </c>
      <c r="O171" s="37" t="str">
        <f t="shared" si="1"/>
        <v>GAST1CPF - Desp. Lazer e Entretenimento - Bares</v>
      </c>
      <c r="P171" s="37" t="str">
        <f t="shared" si="2"/>
        <v>MCSGAST1CPF - Desp. Lazer e Entretenimento - Bares</v>
      </c>
      <c r="Q171" s="37" t="str">
        <f t="shared" si="3"/>
        <v>MCSGAST1</v>
      </c>
      <c r="R171" s="37" t="str">
        <f t="shared" si="4"/>
        <v>MCSGAST1</v>
      </c>
      <c r="S171" s="31"/>
      <c r="T171" s="185">
        <f t="shared" si="5"/>
        <v>46054</v>
      </c>
      <c r="U171" s="181">
        <v>169</v>
      </c>
    </row>
    <row r="172" spans="2:21" s="181" customFormat="1" x14ac:dyDescent="0.25">
      <c r="B172" s="182" t="s">
        <v>25</v>
      </c>
      <c r="C172" s="183"/>
      <c r="D172" s="54" t="str">
        <f>INDEX(Cad_Natureza!$B$3:$C$52,MATCH('2026'!F172,Cad_Natureza!$C$3:$C$52,0),MATCH('2026'!D$2,Cad_Natureza!$B$3:$C$3,0))</f>
        <v>PENS6</v>
      </c>
      <c r="E172" s="52" t="str">
        <f t="shared" si="30"/>
        <v>Despesa 170</v>
      </c>
      <c r="F172" s="53" t="s">
        <v>34</v>
      </c>
      <c r="G172" s="54" t="s">
        <v>25</v>
      </c>
      <c r="H172" s="55">
        <v>46071</v>
      </c>
      <c r="I172" s="55"/>
      <c r="J172" s="50" t="str">
        <f t="shared" si="31"/>
        <v>Observação da despesa 170</v>
      </c>
      <c r="K172" s="43">
        <v>-45.98</v>
      </c>
      <c r="L172" s="43">
        <f t="shared" si="32"/>
        <v>1389.5600000000002</v>
      </c>
      <c r="M172" s="183"/>
      <c r="N172" s="37" t="str">
        <f t="shared" si="0"/>
        <v>MCSPENS6CPF - Pensão - Farmácia e Saúde</v>
      </c>
      <c r="O172" s="37" t="str">
        <f t="shared" si="1"/>
        <v>PENS6CPF - Pensão - Farmácia e Saúde</v>
      </c>
      <c r="P172" s="37" t="str">
        <f t="shared" si="2"/>
        <v>MCSPENS6CPF - Pensão - Farmácia e Saúde</v>
      </c>
      <c r="Q172" s="37" t="str">
        <f t="shared" si="3"/>
        <v>MCSPENS6</v>
      </c>
      <c r="R172" s="37" t="str">
        <f t="shared" si="4"/>
        <v>MCSPENS6</v>
      </c>
      <c r="S172" s="31"/>
      <c r="T172" s="185">
        <f t="shared" si="5"/>
        <v>46054</v>
      </c>
      <c r="U172" s="181">
        <v>170</v>
      </c>
    </row>
    <row r="173" spans="2:21" s="181" customFormat="1" x14ac:dyDescent="0.25">
      <c r="B173" s="182" t="s">
        <v>25</v>
      </c>
      <c r="C173" s="183"/>
      <c r="D173" s="54" t="str">
        <f>INDEX(Cad_Natureza!$B$3:$C$52,MATCH('2026'!F173,Cad_Natureza!$C$3:$C$52,0),MATCH('2026'!D$2,Cad_Natureza!$B$3:$C$3,0))</f>
        <v>DESP1</v>
      </c>
      <c r="E173" s="52" t="str">
        <f t="shared" si="30"/>
        <v>Despesa 171</v>
      </c>
      <c r="F173" s="53" t="s">
        <v>56</v>
      </c>
      <c r="G173" s="54" t="s">
        <v>25</v>
      </c>
      <c r="H173" s="55">
        <v>46071</v>
      </c>
      <c r="I173" s="55"/>
      <c r="J173" s="50" t="str">
        <f t="shared" si="31"/>
        <v>Observação da despesa 171</v>
      </c>
      <c r="K173" s="43">
        <v>-197.59</v>
      </c>
      <c r="L173" s="43">
        <f t="shared" si="32"/>
        <v>1191.9700000000003</v>
      </c>
      <c r="M173" s="183"/>
      <c r="N173" s="37" t="str">
        <f t="shared" si="0"/>
        <v>MCSDESP1CPF - Desp. Cartão de crédito</v>
      </c>
      <c r="O173" s="37" t="str">
        <f t="shared" si="1"/>
        <v>DESP1CPF - Desp. Cartão de crédito</v>
      </c>
      <c r="P173" s="37" t="str">
        <f t="shared" si="2"/>
        <v>MCSDESP1CPF - Desp. Cartão de crédito</v>
      </c>
      <c r="Q173" s="37" t="str">
        <f t="shared" si="3"/>
        <v>MCSDESP1</v>
      </c>
      <c r="R173" s="37" t="str">
        <f t="shared" si="4"/>
        <v>MCSDESP1</v>
      </c>
      <c r="S173" s="31"/>
      <c r="T173" s="185">
        <f t="shared" si="5"/>
        <v>46054</v>
      </c>
      <c r="U173" s="181">
        <v>171</v>
      </c>
    </row>
    <row r="174" spans="2:21" s="181" customFormat="1" x14ac:dyDescent="0.25">
      <c r="B174" s="182" t="s">
        <v>25</v>
      </c>
      <c r="C174" s="183"/>
      <c r="D174" s="54" t="str">
        <f>INDEX(Cad_Natureza!$B$3:$C$52,MATCH('2026'!F174,Cad_Natureza!$C$3:$C$52,0),MATCH('2026'!D$2,Cad_Natureza!$B$3:$C$3,0))</f>
        <v>GAST1</v>
      </c>
      <c r="E174" s="52" t="str">
        <f t="shared" si="30"/>
        <v>Despesa 172</v>
      </c>
      <c r="F174" s="53" t="s">
        <v>65</v>
      </c>
      <c r="G174" s="54" t="s">
        <v>25</v>
      </c>
      <c r="H174" s="55">
        <v>46071</v>
      </c>
      <c r="I174" s="55"/>
      <c r="J174" s="50" t="str">
        <f t="shared" si="31"/>
        <v>Observação da despesa 172</v>
      </c>
      <c r="K174" s="43">
        <v>-15</v>
      </c>
      <c r="L174" s="43">
        <f t="shared" si="32"/>
        <v>1176.9700000000003</v>
      </c>
      <c r="M174" s="183"/>
      <c r="N174" s="37" t="str">
        <f t="shared" si="0"/>
        <v>MCSGAST1CPF - Desp. Lazer e Entretenimento - Bares</v>
      </c>
      <c r="O174" s="37" t="str">
        <f t="shared" si="1"/>
        <v>GAST1CPF - Desp. Lazer e Entretenimento - Bares</v>
      </c>
      <c r="P174" s="37" t="str">
        <f t="shared" si="2"/>
        <v>MCSGAST1CPF - Desp. Lazer e Entretenimento - Bares</v>
      </c>
      <c r="Q174" s="37" t="str">
        <f t="shared" si="3"/>
        <v>MCSGAST1</v>
      </c>
      <c r="R174" s="37" t="str">
        <f t="shared" si="4"/>
        <v>MCSGAST1</v>
      </c>
      <c r="S174" s="31"/>
      <c r="T174" s="185">
        <f t="shared" si="5"/>
        <v>46054</v>
      </c>
      <c r="U174" s="181">
        <v>172</v>
      </c>
    </row>
    <row r="175" spans="2:21" s="181" customFormat="1" x14ac:dyDescent="0.25">
      <c r="B175" s="182" t="s">
        <v>25</v>
      </c>
      <c r="C175" s="183"/>
      <c r="D175" s="54" t="str">
        <f>INDEX(Cad_Natureza!$B$3:$C$52,MATCH('2026'!F175,Cad_Natureza!$C$3:$C$52,0),MATCH('2026'!D$2,Cad_Natureza!$B$3:$C$3,0))</f>
        <v>GAST1</v>
      </c>
      <c r="E175" s="52" t="str">
        <f t="shared" si="30"/>
        <v>Despesa 173</v>
      </c>
      <c r="F175" s="53" t="s">
        <v>65</v>
      </c>
      <c r="G175" s="54" t="s">
        <v>25</v>
      </c>
      <c r="H175" s="55">
        <v>46071</v>
      </c>
      <c r="I175" s="55"/>
      <c r="J175" s="50" t="str">
        <f t="shared" si="31"/>
        <v>Observação da despesa 173</v>
      </c>
      <c r="K175" s="43">
        <v>-10</v>
      </c>
      <c r="L175" s="43">
        <f t="shared" si="32"/>
        <v>1166.9700000000003</v>
      </c>
      <c r="M175" s="183"/>
      <c r="N175" s="37" t="str">
        <f t="shared" si="0"/>
        <v>MCSGAST1CPF - Desp. Lazer e Entretenimento - Bares</v>
      </c>
      <c r="O175" s="37" t="str">
        <f t="shared" si="1"/>
        <v>GAST1CPF - Desp. Lazer e Entretenimento - Bares</v>
      </c>
      <c r="P175" s="37" t="str">
        <f t="shared" si="2"/>
        <v>MCSGAST1CPF - Desp. Lazer e Entretenimento - Bares</v>
      </c>
      <c r="Q175" s="37" t="str">
        <f t="shared" si="3"/>
        <v>MCSGAST1</v>
      </c>
      <c r="R175" s="37" t="str">
        <f t="shared" si="4"/>
        <v>MCSGAST1</v>
      </c>
      <c r="S175" s="31"/>
      <c r="T175" s="185">
        <f t="shared" si="5"/>
        <v>46054</v>
      </c>
      <c r="U175" s="181">
        <v>173</v>
      </c>
    </row>
    <row r="176" spans="2:21" s="181" customFormat="1" x14ac:dyDescent="0.25">
      <c r="B176" s="182" t="s">
        <v>25</v>
      </c>
      <c r="C176" s="183"/>
      <c r="D176" s="54" t="str">
        <f>INDEX(Cad_Natureza!$B$3:$C$52,MATCH('2026'!F176,Cad_Natureza!$C$3:$C$52,0),MATCH('2026'!D$2,Cad_Natureza!$B$3:$C$3,0))</f>
        <v>GAST1</v>
      </c>
      <c r="E176" s="52" t="str">
        <f t="shared" si="30"/>
        <v>Despesa 174</v>
      </c>
      <c r="F176" s="53" t="s">
        <v>65</v>
      </c>
      <c r="G176" s="54" t="s">
        <v>25</v>
      </c>
      <c r="H176" s="55">
        <v>46071</v>
      </c>
      <c r="I176" s="55"/>
      <c r="J176" s="50" t="str">
        <f t="shared" si="31"/>
        <v>Observação da despesa 174</v>
      </c>
      <c r="K176" s="43">
        <v>-10</v>
      </c>
      <c r="L176" s="43">
        <f t="shared" si="32"/>
        <v>1156.9700000000003</v>
      </c>
      <c r="M176" s="183"/>
      <c r="N176" s="37" t="str">
        <f t="shared" si="0"/>
        <v>MCSGAST1CPF - Desp. Lazer e Entretenimento - Bares</v>
      </c>
      <c r="O176" s="37" t="str">
        <f t="shared" si="1"/>
        <v>GAST1CPF - Desp. Lazer e Entretenimento - Bares</v>
      </c>
      <c r="P176" s="37" t="str">
        <f t="shared" si="2"/>
        <v>MCSGAST1CPF - Desp. Lazer e Entretenimento - Bares</v>
      </c>
      <c r="Q176" s="37" t="str">
        <f t="shared" si="3"/>
        <v>MCSGAST1</v>
      </c>
      <c r="R176" s="37" t="str">
        <f t="shared" si="4"/>
        <v>MCSGAST1</v>
      </c>
      <c r="S176" s="31"/>
      <c r="T176" s="185">
        <f t="shared" si="5"/>
        <v>46054</v>
      </c>
      <c r="U176" s="181">
        <v>174</v>
      </c>
    </row>
    <row r="177" spans="2:21" s="181" customFormat="1" x14ac:dyDescent="0.25">
      <c r="B177" s="182" t="s">
        <v>25</v>
      </c>
      <c r="C177" s="183"/>
      <c r="D177" s="54" t="str">
        <f>INDEX(Cad_Natureza!$B$3:$C$52,MATCH('2026'!F177,Cad_Natureza!$C$3:$C$52,0),MATCH('2026'!D$2,Cad_Natureza!$B$3:$C$3,0))</f>
        <v>GAST1</v>
      </c>
      <c r="E177" s="52" t="str">
        <f t="shared" si="30"/>
        <v>Despesa 175</v>
      </c>
      <c r="F177" s="53" t="s">
        <v>65</v>
      </c>
      <c r="G177" s="54" t="s">
        <v>25</v>
      </c>
      <c r="H177" s="55">
        <v>46071</v>
      </c>
      <c r="I177" s="55"/>
      <c r="J177" s="50" t="str">
        <f t="shared" si="31"/>
        <v>Observação da despesa 175</v>
      </c>
      <c r="K177" s="43">
        <v>-10</v>
      </c>
      <c r="L177" s="43">
        <f t="shared" si="32"/>
        <v>1146.9700000000003</v>
      </c>
      <c r="M177" s="183"/>
      <c r="N177" s="37" t="str">
        <f t="shared" si="0"/>
        <v>MCSGAST1CPF - Desp. Lazer e Entretenimento - Bares</v>
      </c>
      <c r="O177" s="37" t="str">
        <f t="shared" si="1"/>
        <v>GAST1CPF - Desp. Lazer e Entretenimento - Bares</v>
      </c>
      <c r="P177" s="37" t="str">
        <f t="shared" si="2"/>
        <v>MCSGAST1CPF - Desp. Lazer e Entretenimento - Bares</v>
      </c>
      <c r="Q177" s="37" t="str">
        <f t="shared" si="3"/>
        <v>MCSGAST1</v>
      </c>
      <c r="R177" s="37" t="str">
        <f t="shared" si="4"/>
        <v>MCSGAST1</v>
      </c>
      <c r="S177" s="31"/>
      <c r="T177" s="185">
        <f t="shared" si="5"/>
        <v>46054</v>
      </c>
      <c r="U177" s="181">
        <v>175</v>
      </c>
    </row>
    <row r="178" spans="2:21" s="181" customFormat="1" x14ac:dyDescent="0.25">
      <c r="B178" s="182" t="s">
        <v>25</v>
      </c>
      <c r="C178" s="183"/>
      <c r="D178" s="54" t="str">
        <f>INDEX(Cad_Natureza!$B$3:$C$52,MATCH('2026'!F178,Cad_Natureza!$C$3:$C$52,0),MATCH('2026'!D$2,Cad_Natureza!$B$3:$C$3,0))</f>
        <v>OUG1</v>
      </c>
      <c r="E178" s="52" t="str">
        <f t="shared" si="30"/>
        <v>Despesa 176</v>
      </c>
      <c r="F178" s="53" t="s">
        <v>70</v>
      </c>
      <c r="G178" s="54" t="s">
        <v>25</v>
      </c>
      <c r="H178" s="55">
        <v>46071</v>
      </c>
      <c r="I178" s="55"/>
      <c r="J178" s="50" t="str">
        <f t="shared" si="31"/>
        <v>Observação da despesa 176</v>
      </c>
      <c r="K178" s="43">
        <v>-8.49</v>
      </c>
      <c r="L178" s="43">
        <f t="shared" si="32"/>
        <v>1138.4800000000002</v>
      </c>
      <c r="M178" s="183"/>
      <c r="N178" s="37" t="str">
        <f t="shared" si="0"/>
        <v>MCSOUG1CPF - Outros gastos</v>
      </c>
      <c r="O178" s="37" t="str">
        <f t="shared" si="1"/>
        <v>OUG1CPF - Outros gastos</v>
      </c>
      <c r="P178" s="37" t="str">
        <f t="shared" si="2"/>
        <v>MCSOUG1CPF - Outros gastos</v>
      </c>
      <c r="Q178" s="37" t="str">
        <f t="shared" si="3"/>
        <v>MCSOUG1</v>
      </c>
      <c r="R178" s="37" t="str">
        <f t="shared" si="4"/>
        <v>MCSOUG1</v>
      </c>
      <c r="S178" s="31"/>
      <c r="T178" s="185">
        <f t="shared" si="5"/>
        <v>46054</v>
      </c>
      <c r="U178" s="181">
        <v>176</v>
      </c>
    </row>
    <row r="179" spans="2:21" s="181" customFormat="1" x14ac:dyDescent="0.25">
      <c r="B179" s="182" t="s">
        <v>25</v>
      </c>
      <c r="C179" s="183"/>
      <c r="D179" s="54" t="str">
        <f>INDEX(Cad_Natureza!$B$3:$C$52,MATCH('2026'!F179,Cad_Natureza!$C$3:$C$52,0),MATCH('2026'!D$2,Cad_Natureza!$B$3:$C$3,0))</f>
        <v>PENS1</v>
      </c>
      <c r="E179" s="52" t="str">
        <f t="shared" si="30"/>
        <v>Despesa 177</v>
      </c>
      <c r="F179" s="53" t="s">
        <v>40</v>
      </c>
      <c r="G179" s="54" t="s">
        <v>25</v>
      </c>
      <c r="H179" s="55">
        <v>46071</v>
      </c>
      <c r="I179" s="55"/>
      <c r="J179" s="50" t="str">
        <f t="shared" si="31"/>
        <v>Observação da despesa 177</v>
      </c>
      <c r="K179" s="43">
        <v>-20</v>
      </c>
      <c r="L179" s="43">
        <f t="shared" si="32"/>
        <v>1118.4800000000002</v>
      </c>
      <c r="M179" s="183"/>
      <c r="N179" s="37" t="str">
        <f t="shared" si="0"/>
        <v>MCSPENS1CPF - Pensão - Aluguel</v>
      </c>
      <c r="O179" s="37" t="str">
        <f t="shared" si="1"/>
        <v>PENS1CPF - Pensão - Aluguel</v>
      </c>
      <c r="P179" s="37" t="str">
        <f t="shared" si="2"/>
        <v>MCSPENS1CPF - Pensão - Aluguel</v>
      </c>
      <c r="Q179" s="37" t="str">
        <f t="shared" si="3"/>
        <v>MCSPENS1</v>
      </c>
      <c r="R179" s="37" t="str">
        <f t="shared" si="4"/>
        <v>MCSPENS1</v>
      </c>
      <c r="S179" s="31"/>
      <c r="T179" s="185">
        <f t="shared" si="5"/>
        <v>46054</v>
      </c>
      <c r="U179" s="181">
        <v>177</v>
      </c>
    </row>
    <row r="180" spans="2:21" s="181" customFormat="1" x14ac:dyDescent="0.25">
      <c r="B180" s="182" t="s">
        <v>25</v>
      </c>
      <c r="C180" s="183"/>
      <c r="D180" s="54" t="str">
        <f>INDEX(Cad_Natureza!$B$3:$C$52,MATCH('2026'!F180,Cad_Natureza!$C$3:$C$52,0),MATCH('2026'!D$2,Cad_Natureza!$B$3:$C$3,0))</f>
        <v>GAST1</v>
      </c>
      <c r="E180" s="52" t="str">
        <f t="shared" si="30"/>
        <v>Despesa 178</v>
      </c>
      <c r="F180" s="53" t="s">
        <v>65</v>
      </c>
      <c r="G180" s="54" t="s">
        <v>25</v>
      </c>
      <c r="H180" s="55">
        <v>46071</v>
      </c>
      <c r="I180" s="55"/>
      <c r="J180" s="50" t="str">
        <f t="shared" si="31"/>
        <v>Observação da despesa 178</v>
      </c>
      <c r="K180" s="43">
        <v>-10</v>
      </c>
      <c r="L180" s="43">
        <f t="shared" si="32"/>
        <v>1108.4800000000002</v>
      </c>
      <c r="M180" s="183"/>
      <c r="N180" s="37" t="str">
        <f t="shared" si="0"/>
        <v>MCSGAST1CPF - Desp. Lazer e Entretenimento - Bares</v>
      </c>
      <c r="O180" s="37" t="str">
        <f t="shared" si="1"/>
        <v>GAST1CPF - Desp. Lazer e Entretenimento - Bares</v>
      </c>
      <c r="P180" s="37" t="str">
        <f t="shared" si="2"/>
        <v>MCSGAST1CPF - Desp. Lazer e Entretenimento - Bares</v>
      </c>
      <c r="Q180" s="37" t="str">
        <f t="shared" si="3"/>
        <v>MCSGAST1</v>
      </c>
      <c r="R180" s="37" t="str">
        <f t="shared" si="4"/>
        <v>MCSGAST1</v>
      </c>
      <c r="S180" s="31"/>
      <c r="T180" s="185">
        <f t="shared" si="5"/>
        <v>46054</v>
      </c>
      <c r="U180" s="181">
        <v>178</v>
      </c>
    </row>
    <row r="181" spans="2:21" s="181" customFormat="1" x14ac:dyDescent="0.25">
      <c r="B181" s="182" t="s">
        <v>25</v>
      </c>
      <c r="C181" s="183"/>
      <c r="D181" s="54" t="str">
        <f>INDEX(Cad_Natureza!$B$3:$C$52,MATCH('2026'!F181,Cad_Natureza!$C$3:$C$52,0),MATCH('2026'!D$2,Cad_Natureza!$B$3:$C$3,0))</f>
        <v>GAST1</v>
      </c>
      <c r="E181" s="52" t="str">
        <f t="shared" si="30"/>
        <v>Despesa 179</v>
      </c>
      <c r="F181" s="53" t="s">
        <v>65</v>
      </c>
      <c r="G181" s="54" t="s">
        <v>25</v>
      </c>
      <c r="H181" s="55">
        <v>46071</v>
      </c>
      <c r="I181" s="55"/>
      <c r="J181" s="50" t="str">
        <f t="shared" si="31"/>
        <v>Observação da despesa 179</v>
      </c>
      <c r="K181" s="43">
        <v>-8</v>
      </c>
      <c r="L181" s="43">
        <f t="shared" si="32"/>
        <v>1100.4800000000002</v>
      </c>
      <c r="M181" s="183"/>
      <c r="N181" s="37" t="str">
        <f t="shared" si="0"/>
        <v>MCSGAST1CPF - Desp. Lazer e Entretenimento - Bares</v>
      </c>
      <c r="O181" s="37" t="str">
        <f t="shared" si="1"/>
        <v>GAST1CPF - Desp. Lazer e Entretenimento - Bares</v>
      </c>
      <c r="P181" s="37" t="str">
        <f t="shared" si="2"/>
        <v>MCSGAST1CPF - Desp. Lazer e Entretenimento - Bares</v>
      </c>
      <c r="Q181" s="37" t="str">
        <f t="shared" si="3"/>
        <v>MCSGAST1</v>
      </c>
      <c r="R181" s="37" t="str">
        <f t="shared" si="4"/>
        <v>MCSGAST1</v>
      </c>
      <c r="S181" s="31"/>
      <c r="T181" s="185">
        <f t="shared" si="5"/>
        <v>46054</v>
      </c>
      <c r="U181" s="181">
        <v>179</v>
      </c>
    </row>
    <row r="182" spans="2:21" s="181" customFormat="1" x14ac:dyDescent="0.25">
      <c r="B182" s="182" t="s">
        <v>25</v>
      </c>
      <c r="C182" s="183"/>
      <c r="D182" s="54" t="str">
        <f>INDEX(Cad_Natureza!$B$3:$C$52,MATCH('2026'!F182,Cad_Natureza!$C$3:$C$52,0),MATCH('2026'!D$2,Cad_Natureza!$B$3:$C$3,0))</f>
        <v>OPF2</v>
      </c>
      <c r="E182" s="52" t="str">
        <f t="shared" si="30"/>
        <v>Despesa 180</v>
      </c>
      <c r="F182" s="53" t="s">
        <v>64</v>
      </c>
      <c r="G182" s="54" t="s">
        <v>25</v>
      </c>
      <c r="H182" s="55">
        <v>46071</v>
      </c>
      <c r="I182" s="55"/>
      <c r="J182" s="50" t="str">
        <f t="shared" si="31"/>
        <v>Observação da despesa 180</v>
      </c>
      <c r="K182" s="43">
        <v>-50</v>
      </c>
      <c r="L182" s="43">
        <f t="shared" si="32"/>
        <v>1050.4800000000002</v>
      </c>
      <c r="M182" s="183"/>
      <c r="N182" s="37" t="str">
        <f t="shared" si="0"/>
        <v>MCSOPF2CPF - Desp. Transporte / Combustível</v>
      </c>
      <c r="O182" s="37" t="str">
        <f t="shared" si="1"/>
        <v>OPF2CPF - Desp. Transporte / Combustível</v>
      </c>
      <c r="P182" s="37" t="str">
        <f t="shared" si="2"/>
        <v>MCSOPF2CPF - Desp. Transporte / Combustível</v>
      </c>
      <c r="Q182" s="37" t="str">
        <f t="shared" si="3"/>
        <v>MCSOPF2</v>
      </c>
      <c r="R182" s="37" t="str">
        <f t="shared" si="4"/>
        <v>MCSOPF2</v>
      </c>
      <c r="S182" s="31"/>
      <c r="T182" s="185">
        <f t="shared" si="5"/>
        <v>46054</v>
      </c>
      <c r="U182" s="181">
        <v>180</v>
      </c>
    </row>
    <row r="183" spans="2:21" s="181" customFormat="1" x14ac:dyDescent="0.25">
      <c r="B183" s="182" t="s">
        <v>25</v>
      </c>
      <c r="C183" s="183"/>
      <c r="D183" s="54" t="str">
        <f>INDEX(Cad_Natureza!$B$3:$C$52,MATCH('2026'!F183,Cad_Natureza!$C$3:$C$52,0),MATCH('2026'!D$2,Cad_Natureza!$B$3:$C$3,0))</f>
        <v>OPF1</v>
      </c>
      <c r="E183" s="52" t="str">
        <f t="shared" si="30"/>
        <v>Despesa 181</v>
      </c>
      <c r="F183" s="53" t="s">
        <v>67</v>
      </c>
      <c r="G183" s="54" t="s">
        <v>25</v>
      </c>
      <c r="H183" s="55">
        <v>46071</v>
      </c>
      <c r="I183" s="55"/>
      <c r="J183" s="50" t="str">
        <f t="shared" si="31"/>
        <v>Observação da despesa 181</v>
      </c>
      <c r="K183" s="43">
        <v>-20</v>
      </c>
      <c r="L183" s="43">
        <f t="shared" si="32"/>
        <v>1030.4800000000002</v>
      </c>
      <c r="M183" s="183"/>
      <c r="N183" s="37" t="str">
        <f t="shared" si="0"/>
        <v>MCSOPF1CPF - Desp. Alimentação / Refeição</v>
      </c>
      <c r="O183" s="37" t="str">
        <f t="shared" si="1"/>
        <v>OPF1CPF - Desp. Alimentação / Refeição</v>
      </c>
      <c r="P183" s="37" t="str">
        <f t="shared" si="2"/>
        <v>MCSOPF1CPF - Desp. Alimentação / Refeição</v>
      </c>
      <c r="Q183" s="37" t="str">
        <f t="shared" si="3"/>
        <v>MCSOPF1</v>
      </c>
      <c r="R183" s="37" t="str">
        <f t="shared" si="4"/>
        <v>MCSOPF1</v>
      </c>
      <c r="S183" s="31"/>
      <c r="T183" s="185">
        <f t="shared" si="5"/>
        <v>46054</v>
      </c>
      <c r="U183" s="181">
        <v>181</v>
      </c>
    </row>
    <row r="184" spans="2:21" s="181" customFormat="1" x14ac:dyDescent="0.25">
      <c r="B184" s="182" t="s">
        <v>25</v>
      </c>
      <c r="C184" s="183"/>
      <c r="D184" s="54" t="str">
        <f>INDEX(Cad_Natureza!$B$3:$C$52,MATCH('2026'!F184,Cad_Natureza!$C$3:$C$52,0),MATCH('2026'!D$2,Cad_Natureza!$B$3:$C$3,0))</f>
        <v>GAST1</v>
      </c>
      <c r="E184" s="52" t="str">
        <f t="shared" si="30"/>
        <v>Despesa 182</v>
      </c>
      <c r="F184" s="53" t="s">
        <v>65</v>
      </c>
      <c r="G184" s="54" t="s">
        <v>25</v>
      </c>
      <c r="H184" s="55">
        <v>46071</v>
      </c>
      <c r="I184" s="55"/>
      <c r="J184" s="50" t="str">
        <f t="shared" si="31"/>
        <v>Observação da despesa 182</v>
      </c>
      <c r="K184" s="43">
        <v>-6</v>
      </c>
      <c r="L184" s="43">
        <f t="shared" si="32"/>
        <v>1024.4800000000002</v>
      </c>
      <c r="M184" s="183"/>
      <c r="N184" s="37" t="str">
        <f t="shared" si="0"/>
        <v>MCSGAST1CPF - Desp. Lazer e Entretenimento - Bares</v>
      </c>
      <c r="O184" s="37" t="str">
        <f t="shared" si="1"/>
        <v>GAST1CPF - Desp. Lazer e Entretenimento - Bares</v>
      </c>
      <c r="P184" s="37" t="str">
        <f t="shared" si="2"/>
        <v>MCSGAST1CPF - Desp. Lazer e Entretenimento - Bares</v>
      </c>
      <c r="Q184" s="37" t="str">
        <f t="shared" si="3"/>
        <v>MCSGAST1</v>
      </c>
      <c r="R184" s="37" t="str">
        <f t="shared" si="4"/>
        <v>MCSGAST1</v>
      </c>
      <c r="S184" s="31"/>
      <c r="T184" s="185">
        <f t="shared" si="5"/>
        <v>46054</v>
      </c>
      <c r="U184" s="181">
        <v>182</v>
      </c>
    </row>
    <row r="185" spans="2:21" s="181" customFormat="1" x14ac:dyDescent="0.25">
      <c r="B185" s="182" t="s">
        <v>25</v>
      </c>
      <c r="C185" s="183"/>
      <c r="D185" s="54" t="str">
        <f>INDEX(Cad_Natureza!$B$3:$C$52,MATCH('2026'!F185,Cad_Natureza!$C$3:$C$52,0),MATCH('2026'!D$2,Cad_Natureza!$B$3:$C$3,0))</f>
        <v>GAST1</v>
      </c>
      <c r="E185" s="52" t="str">
        <f t="shared" si="30"/>
        <v>Despesa 183</v>
      </c>
      <c r="F185" s="53" t="s">
        <v>65</v>
      </c>
      <c r="G185" s="54" t="s">
        <v>25</v>
      </c>
      <c r="H185" s="55">
        <v>46071</v>
      </c>
      <c r="I185" s="55"/>
      <c r="J185" s="50" t="str">
        <f t="shared" si="31"/>
        <v>Observação da despesa 183</v>
      </c>
      <c r="K185" s="43">
        <v>-9</v>
      </c>
      <c r="L185" s="43">
        <f t="shared" si="32"/>
        <v>1015.4800000000002</v>
      </c>
      <c r="M185" s="183"/>
      <c r="N185" s="37" t="str">
        <f t="shared" ref="N185:N199" si="45">B185&amp;D185&amp;F185</f>
        <v>MCSGAST1CPF - Desp. Lazer e Entretenimento - Bares</v>
      </c>
      <c r="O185" s="37" t="str">
        <f t="shared" ref="O185:O199" si="46">D185&amp;F185</f>
        <v>GAST1CPF - Desp. Lazer e Entretenimento - Bares</v>
      </c>
      <c r="P185" s="37" t="str">
        <f t="shared" ref="P185:P199" si="47">"MCS"&amp;D185&amp;F185</f>
        <v>MCSGAST1CPF - Desp. Lazer e Entretenimento - Bares</v>
      </c>
      <c r="Q185" s="37" t="str">
        <f t="shared" ref="Q185:Q199" si="48">"MCS"&amp;D185</f>
        <v>MCSGAST1</v>
      </c>
      <c r="R185" s="37" t="str">
        <f t="shared" ref="R185:R199" si="49">B185&amp;D185</f>
        <v>MCSGAST1</v>
      </c>
      <c r="S185" s="31"/>
      <c r="T185" s="185">
        <f t="shared" ref="T185:T199" si="50">(1&amp;"/"&amp;MONTH(H185)&amp;"/"&amp;YEAR(H185))*1</f>
        <v>46054</v>
      </c>
      <c r="U185" s="181">
        <v>183</v>
      </c>
    </row>
    <row r="186" spans="2:21" s="181" customFormat="1" x14ac:dyDescent="0.25">
      <c r="B186" s="182" t="s">
        <v>25</v>
      </c>
      <c r="C186" s="183"/>
      <c r="D186" s="54" t="str">
        <f>INDEX(Cad_Natureza!$B$3:$C$52,MATCH('2026'!F186,Cad_Natureza!$C$3:$C$52,0),MATCH('2026'!D$2,Cad_Natureza!$B$3:$C$3,0))</f>
        <v>GAST1</v>
      </c>
      <c r="E186" s="52" t="str">
        <f t="shared" si="30"/>
        <v>Despesa 184</v>
      </c>
      <c r="F186" s="53" t="s">
        <v>65</v>
      </c>
      <c r="G186" s="54" t="s">
        <v>25</v>
      </c>
      <c r="H186" s="55">
        <v>46071</v>
      </c>
      <c r="I186" s="55"/>
      <c r="J186" s="50" t="str">
        <f t="shared" si="31"/>
        <v>Observação da despesa 184</v>
      </c>
      <c r="K186" s="43">
        <v>-7.5</v>
      </c>
      <c r="L186" s="43">
        <f t="shared" si="32"/>
        <v>1007.9800000000002</v>
      </c>
      <c r="M186" s="183"/>
      <c r="N186" s="37" t="str">
        <f t="shared" si="45"/>
        <v>MCSGAST1CPF - Desp. Lazer e Entretenimento - Bares</v>
      </c>
      <c r="O186" s="37" t="str">
        <f t="shared" si="46"/>
        <v>GAST1CPF - Desp. Lazer e Entretenimento - Bares</v>
      </c>
      <c r="P186" s="37" t="str">
        <f t="shared" si="47"/>
        <v>MCSGAST1CPF - Desp. Lazer e Entretenimento - Bares</v>
      </c>
      <c r="Q186" s="37" t="str">
        <f t="shared" si="48"/>
        <v>MCSGAST1</v>
      </c>
      <c r="R186" s="37" t="str">
        <f t="shared" si="49"/>
        <v>MCSGAST1</v>
      </c>
      <c r="S186" s="31"/>
      <c r="T186" s="185">
        <f t="shared" si="50"/>
        <v>46054</v>
      </c>
      <c r="U186" s="181">
        <v>184</v>
      </c>
    </row>
    <row r="187" spans="2:21" s="181" customFormat="1" x14ac:dyDescent="0.25">
      <c r="B187" s="182" t="s">
        <v>25</v>
      </c>
      <c r="C187" s="183"/>
      <c r="D187" s="54" t="str">
        <f>INDEX(Cad_Natureza!$B$3:$C$52,MATCH('2026'!F187,Cad_Natureza!$C$3:$C$52,0),MATCH('2026'!D$2,Cad_Natureza!$B$3:$C$3,0))</f>
        <v>OPF1</v>
      </c>
      <c r="E187" s="52" t="str">
        <f t="shared" si="30"/>
        <v>Despesa 185</v>
      </c>
      <c r="F187" s="53" t="s">
        <v>67</v>
      </c>
      <c r="G187" s="54" t="s">
        <v>25</v>
      </c>
      <c r="H187" s="55">
        <v>46072</v>
      </c>
      <c r="I187" s="55"/>
      <c r="J187" s="50" t="str">
        <f t="shared" si="31"/>
        <v>Observação da despesa 185</v>
      </c>
      <c r="K187" s="43">
        <v>-20</v>
      </c>
      <c r="L187" s="43">
        <f t="shared" si="32"/>
        <v>987.98000000000025</v>
      </c>
      <c r="M187" s="183"/>
      <c r="N187" s="37" t="str">
        <f t="shared" si="45"/>
        <v>MCSOPF1CPF - Desp. Alimentação / Refeição</v>
      </c>
      <c r="O187" s="37" t="str">
        <f t="shared" si="46"/>
        <v>OPF1CPF - Desp. Alimentação / Refeição</v>
      </c>
      <c r="P187" s="37" t="str">
        <f t="shared" si="47"/>
        <v>MCSOPF1CPF - Desp. Alimentação / Refeição</v>
      </c>
      <c r="Q187" s="37" t="str">
        <f t="shared" si="48"/>
        <v>MCSOPF1</v>
      </c>
      <c r="R187" s="37" t="str">
        <f t="shared" si="49"/>
        <v>MCSOPF1</v>
      </c>
      <c r="S187" s="31"/>
      <c r="T187" s="185">
        <f t="shared" si="50"/>
        <v>46054</v>
      </c>
      <c r="U187" s="181">
        <v>185</v>
      </c>
    </row>
    <row r="188" spans="2:21" s="181" customFormat="1" x14ac:dyDescent="0.25">
      <c r="B188" s="182" t="s">
        <v>25</v>
      </c>
      <c r="C188" s="183"/>
      <c r="D188" s="54" t="str">
        <f>INDEX(Cad_Natureza!$B$3:$C$52,MATCH('2026'!F188,Cad_Natureza!$C$3:$C$52,0),MATCH('2026'!D$2,Cad_Natureza!$B$3:$C$3,0))</f>
        <v>GAST1</v>
      </c>
      <c r="E188" s="52" t="str">
        <f t="shared" si="30"/>
        <v>Despesa 186</v>
      </c>
      <c r="F188" s="53" t="s">
        <v>65</v>
      </c>
      <c r="G188" s="54" t="s">
        <v>25</v>
      </c>
      <c r="H188" s="55">
        <v>46072</v>
      </c>
      <c r="I188" s="55"/>
      <c r="J188" s="50" t="str">
        <f t="shared" si="31"/>
        <v>Observação da despesa 186</v>
      </c>
      <c r="K188" s="43">
        <v>-40</v>
      </c>
      <c r="L188" s="43">
        <f t="shared" si="32"/>
        <v>947.98000000000025</v>
      </c>
      <c r="M188" s="183"/>
      <c r="N188" s="37" t="str">
        <f t="shared" si="45"/>
        <v>MCSGAST1CPF - Desp. Lazer e Entretenimento - Bares</v>
      </c>
      <c r="O188" s="37" t="str">
        <f t="shared" si="46"/>
        <v>GAST1CPF - Desp. Lazer e Entretenimento - Bares</v>
      </c>
      <c r="P188" s="37" t="str">
        <f t="shared" si="47"/>
        <v>MCSGAST1CPF - Desp. Lazer e Entretenimento - Bares</v>
      </c>
      <c r="Q188" s="37" t="str">
        <f t="shared" si="48"/>
        <v>MCSGAST1</v>
      </c>
      <c r="R188" s="37" t="str">
        <f t="shared" si="49"/>
        <v>MCSGAST1</v>
      </c>
      <c r="S188" s="31"/>
      <c r="T188" s="185">
        <f t="shared" si="50"/>
        <v>46054</v>
      </c>
      <c r="U188" s="181">
        <v>186</v>
      </c>
    </row>
    <row r="189" spans="2:21" s="181" customFormat="1" x14ac:dyDescent="0.25">
      <c r="B189" s="182" t="s">
        <v>25</v>
      </c>
      <c r="C189" s="183"/>
      <c r="D189" s="54" t="str">
        <f>INDEX(Cad_Natureza!$B$3:$C$52,MATCH('2026'!F189,Cad_Natureza!$C$3:$C$52,0),MATCH('2026'!D$2,Cad_Natureza!$B$3:$C$3,0))</f>
        <v>GAST1</v>
      </c>
      <c r="E189" s="52" t="str">
        <f t="shared" si="30"/>
        <v>Despesa 187</v>
      </c>
      <c r="F189" s="53" t="s">
        <v>65</v>
      </c>
      <c r="G189" s="54" t="s">
        <v>25</v>
      </c>
      <c r="H189" s="55">
        <v>46072</v>
      </c>
      <c r="I189" s="55"/>
      <c r="J189" s="50" t="str">
        <f t="shared" si="31"/>
        <v>Observação da despesa 187</v>
      </c>
      <c r="K189" s="43">
        <v>-6</v>
      </c>
      <c r="L189" s="43">
        <f t="shared" si="32"/>
        <v>941.98000000000025</v>
      </c>
      <c r="M189" s="183"/>
      <c r="N189" s="37" t="str">
        <f t="shared" si="45"/>
        <v>MCSGAST1CPF - Desp. Lazer e Entretenimento - Bares</v>
      </c>
      <c r="O189" s="37" t="str">
        <f t="shared" si="46"/>
        <v>GAST1CPF - Desp. Lazer e Entretenimento - Bares</v>
      </c>
      <c r="P189" s="37" t="str">
        <f t="shared" si="47"/>
        <v>MCSGAST1CPF - Desp. Lazer e Entretenimento - Bares</v>
      </c>
      <c r="Q189" s="37" t="str">
        <f t="shared" si="48"/>
        <v>MCSGAST1</v>
      </c>
      <c r="R189" s="37" t="str">
        <f t="shared" si="49"/>
        <v>MCSGAST1</v>
      </c>
      <c r="S189" s="31"/>
      <c r="T189" s="185">
        <f t="shared" si="50"/>
        <v>46054</v>
      </c>
      <c r="U189" s="181">
        <v>187</v>
      </c>
    </row>
    <row r="190" spans="2:21" s="181" customFormat="1" x14ac:dyDescent="0.25">
      <c r="B190" s="182" t="s">
        <v>25</v>
      </c>
      <c r="C190" s="183"/>
      <c r="D190" s="54" t="str">
        <f>INDEX(Cad_Natureza!$B$3:$C$52,MATCH('2026'!F190,Cad_Natureza!$C$3:$C$52,0),MATCH('2026'!D$2,Cad_Natureza!$B$3:$C$3,0))</f>
        <v>OUG1</v>
      </c>
      <c r="E190" s="52" t="str">
        <f t="shared" si="30"/>
        <v>Despesa 188</v>
      </c>
      <c r="F190" s="53" t="s">
        <v>70</v>
      </c>
      <c r="G190" s="54" t="s">
        <v>25</v>
      </c>
      <c r="H190" s="55">
        <v>46072</v>
      </c>
      <c r="I190" s="55"/>
      <c r="J190" s="50" t="str">
        <f t="shared" si="31"/>
        <v>Observação da despesa 188</v>
      </c>
      <c r="K190" s="43">
        <v>-10</v>
      </c>
      <c r="L190" s="43">
        <f t="shared" si="32"/>
        <v>931.98000000000025</v>
      </c>
      <c r="M190" s="183"/>
      <c r="N190" s="37" t="str">
        <f t="shared" si="45"/>
        <v>MCSOUG1CPF - Outros gastos</v>
      </c>
      <c r="O190" s="37" t="str">
        <f t="shared" si="46"/>
        <v>OUG1CPF - Outros gastos</v>
      </c>
      <c r="P190" s="37" t="str">
        <f t="shared" si="47"/>
        <v>MCSOUG1CPF - Outros gastos</v>
      </c>
      <c r="Q190" s="37" t="str">
        <f t="shared" si="48"/>
        <v>MCSOUG1</v>
      </c>
      <c r="R190" s="37" t="str">
        <f t="shared" si="49"/>
        <v>MCSOUG1</v>
      </c>
      <c r="S190" s="31"/>
      <c r="T190" s="185">
        <f t="shared" si="50"/>
        <v>46054</v>
      </c>
      <c r="U190" s="181">
        <v>188</v>
      </c>
    </row>
    <row r="191" spans="2:21" s="181" customFormat="1" x14ac:dyDescent="0.25">
      <c r="B191" s="182" t="s">
        <v>25</v>
      </c>
      <c r="C191" s="183"/>
      <c r="D191" s="54" t="str">
        <f>INDEX(Cad_Natureza!$B$3:$C$52,MATCH('2026'!F191,Cad_Natureza!$C$3:$C$52,0),MATCH('2026'!D$2,Cad_Natureza!$B$3:$C$3,0))</f>
        <v>OPF2</v>
      </c>
      <c r="E191" s="52" t="str">
        <f t="shared" si="30"/>
        <v>Despesa 189</v>
      </c>
      <c r="F191" s="53" t="s">
        <v>64</v>
      </c>
      <c r="G191" s="54" t="s">
        <v>25</v>
      </c>
      <c r="H191" s="55">
        <v>46072</v>
      </c>
      <c r="I191" s="55"/>
      <c r="J191" s="50" t="str">
        <f t="shared" si="31"/>
        <v>Observação da despesa 189</v>
      </c>
      <c r="K191" s="43">
        <v>-50</v>
      </c>
      <c r="L191" s="43">
        <f t="shared" si="32"/>
        <v>881.98000000000025</v>
      </c>
      <c r="M191" s="183"/>
      <c r="N191" s="37" t="str">
        <f t="shared" si="45"/>
        <v>MCSOPF2CPF - Desp. Transporte / Combustível</v>
      </c>
      <c r="O191" s="37" t="str">
        <f t="shared" si="46"/>
        <v>OPF2CPF - Desp. Transporte / Combustível</v>
      </c>
      <c r="P191" s="37" t="str">
        <f t="shared" si="47"/>
        <v>MCSOPF2CPF - Desp. Transporte / Combustível</v>
      </c>
      <c r="Q191" s="37" t="str">
        <f t="shared" si="48"/>
        <v>MCSOPF2</v>
      </c>
      <c r="R191" s="37" t="str">
        <f t="shared" si="49"/>
        <v>MCSOPF2</v>
      </c>
      <c r="S191" s="31"/>
      <c r="T191" s="185">
        <f t="shared" si="50"/>
        <v>46054</v>
      </c>
      <c r="U191" s="181">
        <v>189</v>
      </c>
    </row>
    <row r="192" spans="2:21" s="181" customFormat="1" x14ac:dyDescent="0.25">
      <c r="B192" s="182" t="s">
        <v>25</v>
      </c>
      <c r="C192" s="183"/>
      <c r="D192" s="54" t="str">
        <f>INDEX(Cad_Natureza!$B$3:$C$52,MATCH('2026'!F192,Cad_Natureza!$C$3:$C$52,0),MATCH('2026'!D$2,Cad_Natureza!$B$3:$C$3,0))</f>
        <v>OPF1</v>
      </c>
      <c r="E192" s="52" t="str">
        <f t="shared" si="30"/>
        <v>Despesa 190</v>
      </c>
      <c r="F192" s="53" t="s">
        <v>67</v>
      </c>
      <c r="G192" s="54" t="s">
        <v>25</v>
      </c>
      <c r="H192" s="55">
        <v>46072</v>
      </c>
      <c r="I192" s="55"/>
      <c r="J192" s="50" t="str">
        <f t="shared" si="31"/>
        <v>Observação da despesa 190</v>
      </c>
      <c r="K192" s="43">
        <v>-8</v>
      </c>
      <c r="L192" s="43">
        <f t="shared" si="32"/>
        <v>873.98000000000025</v>
      </c>
      <c r="M192" s="183"/>
      <c r="N192" s="37" t="str">
        <f t="shared" si="45"/>
        <v>MCSOPF1CPF - Desp. Alimentação / Refeição</v>
      </c>
      <c r="O192" s="37" t="str">
        <f t="shared" si="46"/>
        <v>OPF1CPF - Desp. Alimentação / Refeição</v>
      </c>
      <c r="P192" s="37" t="str">
        <f t="shared" si="47"/>
        <v>MCSOPF1CPF - Desp. Alimentação / Refeição</v>
      </c>
      <c r="Q192" s="37" t="str">
        <f t="shared" si="48"/>
        <v>MCSOPF1</v>
      </c>
      <c r="R192" s="37" t="str">
        <f t="shared" si="49"/>
        <v>MCSOPF1</v>
      </c>
      <c r="S192" s="31"/>
      <c r="T192" s="185">
        <f t="shared" si="50"/>
        <v>46054</v>
      </c>
      <c r="U192" s="181">
        <v>190</v>
      </c>
    </row>
    <row r="193" spans="2:21" s="181" customFormat="1" x14ac:dyDescent="0.25">
      <c r="B193" s="182" t="s">
        <v>25</v>
      </c>
      <c r="C193" s="183"/>
      <c r="D193" s="54" t="str">
        <f>INDEX(Cad_Natureza!$B$3:$C$52,MATCH('2026'!F193,Cad_Natureza!$C$3:$C$52,0),MATCH('2026'!D$2,Cad_Natureza!$B$3:$C$3,0))</f>
        <v>PENS6</v>
      </c>
      <c r="E193" s="52" t="str">
        <f t="shared" si="30"/>
        <v>Despesa 191</v>
      </c>
      <c r="F193" s="53" t="s">
        <v>34</v>
      </c>
      <c r="G193" s="54" t="s">
        <v>25</v>
      </c>
      <c r="H193" s="55">
        <v>46073</v>
      </c>
      <c r="I193" s="55"/>
      <c r="J193" s="50" t="str">
        <f t="shared" si="31"/>
        <v>Observação da despesa 191</v>
      </c>
      <c r="K193" s="43">
        <v>-8.9</v>
      </c>
      <c r="L193" s="43">
        <f t="shared" si="32"/>
        <v>865.08000000000027</v>
      </c>
      <c r="M193" s="183"/>
      <c r="N193" s="37" t="str">
        <f t="shared" si="45"/>
        <v>MCSPENS6CPF - Pensão - Farmácia e Saúde</v>
      </c>
      <c r="O193" s="37" t="str">
        <f t="shared" si="46"/>
        <v>PENS6CPF - Pensão - Farmácia e Saúde</v>
      </c>
      <c r="P193" s="37" t="str">
        <f t="shared" si="47"/>
        <v>MCSPENS6CPF - Pensão - Farmácia e Saúde</v>
      </c>
      <c r="Q193" s="37" t="str">
        <f t="shared" si="48"/>
        <v>MCSPENS6</v>
      </c>
      <c r="R193" s="37" t="str">
        <f t="shared" si="49"/>
        <v>MCSPENS6</v>
      </c>
      <c r="S193" s="31"/>
      <c r="T193" s="185">
        <f t="shared" si="50"/>
        <v>46054</v>
      </c>
      <c r="U193" s="181">
        <v>191</v>
      </c>
    </row>
    <row r="194" spans="2:21" s="181" customFormat="1" x14ac:dyDescent="0.25">
      <c r="B194" s="182" t="s">
        <v>25</v>
      </c>
      <c r="C194" s="183"/>
      <c r="D194" s="54" t="str">
        <f>INDEX(Cad_Natureza!$B$3:$C$52,MATCH('2026'!F194,Cad_Natureza!$C$3:$C$52,0),MATCH('2026'!D$2,Cad_Natureza!$B$3:$C$3,0))</f>
        <v>OPF1</v>
      </c>
      <c r="E194" s="52" t="str">
        <f t="shared" si="30"/>
        <v>Despesa 192</v>
      </c>
      <c r="F194" s="53" t="s">
        <v>67</v>
      </c>
      <c r="G194" s="54" t="s">
        <v>25</v>
      </c>
      <c r="H194" s="55">
        <v>46073</v>
      </c>
      <c r="I194" s="55"/>
      <c r="J194" s="50" t="str">
        <f t="shared" si="31"/>
        <v>Observação da despesa 192</v>
      </c>
      <c r="K194" s="43">
        <v>-20</v>
      </c>
      <c r="L194" s="43">
        <f t="shared" si="32"/>
        <v>845.08000000000027</v>
      </c>
      <c r="M194" s="183"/>
      <c r="N194" s="37" t="str">
        <f t="shared" si="45"/>
        <v>MCSOPF1CPF - Desp. Alimentação / Refeição</v>
      </c>
      <c r="O194" s="37" t="str">
        <f t="shared" si="46"/>
        <v>OPF1CPF - Desp. Alimentação / Refeição</v>
      </c>
      <c r="P194" s="37" t="str">
        <f t="shared" si="47"/>
        <v>MCSOPF1CPF - Desp. Alimentação / Refeição</v>
      </c>
      <c r="Q194" s="37" t="str">
        <f t="shared" si="48"/>
        <v>MCSOPF1</v>
      </c>
      <c r="R194" s="37" t="str">
        <f t="shared" si="49"/>
        <v>MCSOPF1</v>
      </c>
      <c r="S194" s="31"/>
      <c r="T194" s="185">
        <f t="shared" si="50"/>
        <v>46054</v>
      </c>
      <c r="U194" s="181">
        <v>192</v>
      </c>
    </row>
    <row r="195" spans="2:21" s="181" customFormat="1" x14ac:dyDescent="0.25">
      <c r="B195" s="182" t="s">
        <v>25</v>
      </c>
      <c r="C195" s="183"/>
      <c r="D195" s="54" t="str">
        <f>INDEX(Cad_Natureza!$B$3:$C$52,MATCH('2026'!F195,Cad_Natureza!$C$3:$C$52,0),MATCH('2026'!D$2,Cad_Natureza!$B$3:$C$3,0))</f>
        <v>GAST1</v>
      </c>
      <c r="E195" s="52" t="str">
        <f t="shared" si="30"/>
        <v>Despesa 193</v>
      </c>
      <c r="F195" s="53" t="s">
        <v>65</v>
      </c>
      <c r="G195" s="54" t="s">
        <v>25</v>
      </c>
      <c r="H195" s="55">
        <v>46073</v>
      </c>
      <c r="I195" s="55"/>
      <c r="J195" s="50" t="str">
        <f t="shared" si="31"/>
        <v>Observação da despesa 193</v>
      </c>
      <c r="K195" s="43">
        <v>-17.600000000000001</v>
      </c>
      <c r="L195" s="43">
        <f t="shared" si="32"/>
        <v>827.48000000000025</v>
      </c>
      <c r="M195" s="183"/>
      <c r="N195" s="37" t="str">
        <f t="shared" si="45"/>
        <v>MCSGAST1CPF - Desp. Lazer e Entretenimento - Bares</v>
      </c>
      <c r="O195" s="37" t="str">
        <f t="shared" si="46"/>
        <v>GAST1CPF - Desp. Lazer e Entretenimento - Bares</v>
      </c>
      <c r="P195" s="37" t="str">
        <f t="shared" si="47"/>
        <v>MCSGAST1CPF - Desp. Lazer e Entretenimento - Bares</v>
      </c>
      <c r="Q195" s="37" t="str">
        <f t="shared" si="48"/>
        <v>MCSGAST1</v>
      </c>
      <c r="R195" s="37" t="str">
        <f t="shared" si="49"/>
        <v>MCSGAST1</v>
      </c>
      <c r="S195" s="31"/>
      <c r="T195" s="185">
        <f t="shared" si="50"/>
        <v>46054</v>
      </c>
      <c r="U195" s="181">
        <v>193</v>
      </c>
    </row>
    <row r="196" spans="2:21" s="181" customFormat="1" x14ac:dyDescent="0.25">
      <c r="B196" s="182" t="s">
        <v>25</v>
      </c>
      <c r="C196" s="183"/>
      <c r="D196" s="54" t="str">
        <f>INDEX(Cad_Natureza!$B$3:$C$52,MATCH('2026'!F196,Cad_Natureza!$C$3:$C$52,0),MATCH('2026'!D$2,Cad_Natureza!$B$3:$C$3,0))</f>
        <v>GAST2</v>
      </c>
      <c r="E196" s="52" t="str">
        <f t="shared" ref="E196:E259" si="51">IF(K196&lt;0,"Despesa "&amp;U196,"Receita "&amp;U196)</f>
        <v>Despesa 194</v>
      </c>
      <c r="F196" s="53" t="s">
        <v>66</v>
      </c>
      <c r="G196" s="54" t="s">
        <v>25</v>
      </c>
      <c r="H196" s="55">
        <v>46073</v>
      </c>
      <c r="I196" s="55"/>
      <c r="J196" s="50" t="str">
        <f t="shared" ref="J196:J259" si="52">IF(K196&lt;0,"Observação da despesa "&amp;U196,"Observação da receita "&amp;U196)</f>
        <v>Observação da despesa 194</v>
      </c>
      <c r="K196" s="43">
        <v>-8.5</v>
      </c>
      <c r="L196" s="43">
        <f t="shared" ref="L196:L259" si="53">L195+K196</f>
        <v>818.98000000000025</v>
      </c>
      <c r="M196" s="183"/>
      <c r="N196" s="37" t="str">
        <f t="shared" si="45"/>
        <v>MCSGAST2CPF - Desp. Lazer e Entretenimento - Cigarro</v>
      </c>
      <c r="O196" s="37" t="str">
        <f t="shared" si="46"/>
        <v>GAST2CPF - Desp. Lazer e Entretenimento - Cigarro</v>
      </c>
      <c r="P196" s="37" t="str">
        <f t="shared" si="47"/>
        <v>MCSGAST2CPF - Desp. Lazer e Entretenimento - Cigarro</v>
      </c>
      <c r="Q196" s="37" t="str">
        <f t="shared" si="48"/>
        <v>MCSGAST2</v>
      </c>
      <c r="R196" s="37" t="str">
        <f t="shared" si="49"/>
        <v>MCSGAST2</v>
      </c>
      <c r="S196" s="31"/>
      <c r="T196" s="185">
        <f t="shared" si="50"/>
        <v>46054</v>
      </c>
      <c r="U196" s="181">
        <v>194</v>
      </c>
    </row>
    <row r="197" spans="2:21" s="181" customFormat="1" x14ac:dyDescent="0.25">
      <c r="B197" s="182" t="s">
        <v>25</v>
      </c>
      <c r="C197" s="183"/>
      <c r="D197" s="54" t="str">
        <f>INDEX(Cad_Natureza!$B$3:$C$52,MATCH('2026'!F197,Cad_Natureza!$C$3:$C$52,0),MATCH('2026'!D$2,Cad_Natureza!$B$3:$C$3,0))</f>
        <v>GAST2</v>
      </c>
      <c r="E197" s="52" t="str">
        <f t="shared" si="51"/>
        <v>Despesa 195</v>
      </c>
      <c r="F197" s="53" t="s">
        <v>66</v>
      </c>
      <c r="G197" s="54" t="s">
        <v>25</v>
      </c>
      <c r="H197" s="55">
        <v>46073</v>
      </c>
      <c r="I197" s="55"/>
      <c r="J197" s="50" t="str">
        <f t="shared" si="52"/>
        <v>Observação da despesa 195</v>
      </c>
      <c r="K197" s="43">
        <v>-4</v>
      </c>
      <c r="L197" s="43">
        <f t="shared" si="53"/>
        <v>814.98000000000025</v>
      </c>
      <c r="M197" s="183"/>
      <c r="N197" s="37" t="str">
        <f t="shared" si="45"/>
        <v>MCSGAST2CPF - Desp. Lazer e Entretenimento - Cigarro</v>
      </c>
      <c r="O197" s="37" t="str">
        <f t="shared" si="46"/>
        <v>GAST2CPF - Desp. Lazer e Entretenimento - Cigarro</v>
      </c>
      <c r="P197" s="37" t="str">
        <f t="shared" si="47"/>
        <v>MCSGAST2CPF - Desp. Lazer e Entretenimento - Cigarro</v>
      </c>
      <c r="Q197" s="37" t="str">
        <f t="shared" si="48"/>
        <v>MCSGAST2</v>
      </c>
      <c r="R197" s="37" t="str">
        <f t="shared" si="49"/>
        <v>MCSGAST2</v>
      </c>
      <c r="S197" s="31"/>
      <c r="T197" s="185">
        <f t="shared" si="50"/>
        <v>46054</v>
      </c>
      <c r="U197" s="181">
        <v>195</v>
      </c>
    </row>
    <row r="198" spans="2:21" s="181" customFormat="1" x14ac:dyDescent="0.25">
      <c r="B198" s="182" t="s">
        <v>25</v>
      </c>
      <c r="C198" s="183"/>
      <c r="D198" s="54" t="str">
        <f>INDEX(Cad_Natureza!$B$3:$C$52,MATCH('2026'!F198,Cad_Natureza!$C$3:$C$52,0),MATCH('2026'!D$2,Cad_Natureza!$B$3:$C$3,0))</f>
        <v>GAST1</v>
      </c>
      <c r="E198" s="52" t="str">
        <f t="shared" si="51"/>
        <v>Despesa 196</v>
      </c>
      <c r="F198" s="53" t="s">
        <v>65</v>
      </c>
      <c r="G198" s="54" t="s">
        <v>25</v>
      </c>
      <c r="H198" s="55">
        <v>46073</v>
      </c>
      <c r="I198" s="55"/>
      <c r="J198" s="50" t="str">
        <f t="shared" si="52"/>
        <v>Observação da despesa 196</v>
      </c>
      <c r="K198" s="43">
        <v>-6.5</v>
      </c>
      <c r="L198" s="43">
        <f t="shared" si="53"/>
        <v>808.48000000000025</v>
      </c>
      <c r="M198" s="183"/>
      <c r="N198" s="37" t="str">
        <f t="shared" si="45"/>
        <v>MCSGAST1CPF - Desp. Lazer e Entretenimento - Bares</v>
      </c>
      <c r="O198" s="37" t="str">
        <f t="shared" si="46"/>
        <v>GAST1CPF - Desp. Lazer e Entretenimento - Bares</v>
      </c>
      <c r="P198" s="37" t="str">
        <f t="shared" si="47"/>
        <v>MCSGAST1CPF - Desp. Lazer e Entretenimento - Bares</v>
      </c>
      <c r="Q198" s="37" t="str">
        <f t="shared" si="48"/>
        <v>MCSGAST1</v>
      </c>
      <c r="R198" s="37" t="str">
        <f t="shared" si="49"/>
        <v>MCSGAST1</v>
      </c>
      <c r="S198" s="31"/>
      <c r="T198" s="185">
        <f t="shared" si="50"/>
        <v>46054</v>
      </c>
      <c r="U198" s="181">
        <v>196</v>
      </c>
    </row>
    <row r="199" spans="2:21" s="181" customFormat="1" x14ac:dyDescent="0.25">
      <c r="B199" s="182" t="s">
        <v>25</v>
      </c>
      <c r="C199" s="183"/>
      <c r="D199" s="54" t="str">
        <f>INDEX(Cad_Natureza!$B$3:$C$52,MATCH('2026'!F199,Cad_Natureza!$C$3:$C$52,0),MATCH('2026'!D$2,Cad_Natureza!$B$3:$C$3,0))</f>
        <v>GAST1</v>
      </c>
      <c r="E199" s="52" t="str">
        <f t="shared" si="51"/>
        <v>Despesa 197</v>
      </c>
      <c r="F199" s="53" t="s">
        <v>65</v>
      </c>
      <c r="G199" s="54" t="s">
        <v>25</v>
      </c>
      <c r="H199" s="55">
        <v>46076</v>
      </c>
      <c r="I199" s="55"/>
      <c r="J199" s="50" t="str">
        <f t="shared" si="52"/>
        <v>Observação da despesa 197</v>
      </c>
      <c r="K199" s="43">
        <v>-15</v>
      </c>
      <c r="L199" s="43">
        <f t="shared" si="53"/>
        <v>793.48000000000025</v>
      </c>
      <c r="M199" s="183"/>
      <c r="N199" s="37" t="str">
        <f t="shared" si="45"/>
        <v>MCSGAST1CPF - Desp. Lazer e Entretenimento - Bares</v>
      </c>
      <c r="O199" s="37" t="str">
        <f t="shared" si="46"/>
        <v>GAST1CPF - Desp. Lazer e Entretenimento - Bares</v>
      </c>
      <c r="P199" s="37" t="str">
        <f t="shared" si="47"/>
        <v>MCSGAST1CPF - Desp. Lazer e Entretenimento - Bares</v>
      </c>
      <c r="Q199" s="37" t="str">
        <f t="shared" si="48"/>
        <v>MCSGAST1</v>
      </c>
      <c r="R199" s="37" t="str">
        <f t="shared" si="49"/>
        <v>MCSGAST1</v>
      </c>
      <c r="S199" s="31"/>
      <c r="T199" s="185">
        <f t="shared" si="50"/>
        <v>46054</v>
      </c>
      <c r="U199" s="181">
        <v>197</v>
      </c>
    </row>
    <row r="200" spans="2:21" s="181" customFormat="1" x14ac:dyDescent="0.25">
      <c r="B200" s="182" t="s">
        <v>25</v>
      </c>
      <c r="C200" s="183"/>
      <c r="D200" s="54" t="str">
        <f>INDEX(Cad_Natureza!$B$3:$C$52,MATCH('2026'!F200,Cad_Natureza!$C$3:$C$52,0),MATCH('2026'!D$2,Cad_Natureza!$B$3:$C$3,0))</f>
        <v>GAST1</v>
      </c>
      <c r="E200" s="52" t="str">
        <f t="shared" si="51"/>
        <v>Despesa 198</v>
      </c>
      <c r="F200" s="53" t="s">
        <v>65</v>
      </c>
      <c r="G200" s="54" t="s">
        <v>25</v>
      </c>
      <c r="H200" s="55">
        <v>46076</v>
      </c>
      <c r="I200" s="55"/>
      <c r="J200" s="50" t="str">
        <f t="shared" si="52"/>
        <v>Observação da despesa 198</v>
      </c>
      <c r="K200" s="43">
        <v>-6</v>
      </c>
      <c r="L200" s="43">
        <f t="shared" si="53"/>
        <v>787.48000000000025</v>
      </c>
      <c r="M200" s="183"/>
      <c r="N200" s="37" t="str">
        <f t="shared" si="0"/>
        <v>MCSGAST1CPF - Desp. Lazer e Entretenimento - Bares</v>
      </c>
      <c r="O200" s="37" t="str">
        <f t="shared" si="1"/>
        <v>GAST1CPF - Desp. Lazer e Entretenimento - Bares</v>
      </c>
      <c r="P200" s="37" t="str">
        <f t="shared" si="2"/>
        <v>MCSGAST1CPF - Desp. Lazer e Entretenimento - Bares</v>
      </c>
      <c r="Q200" s="37" t="str">
        <f t="shared" si="3"/>
        <v>MCSGAST1</v>
      </c>
      <c r="R200" s="37" t="str">
        <f t="shared" si="4"/>
        <v>MCSGAST1</v>
      </c>
      <c r="S200" s="31"/>
      <c r="T200" s="185">
        <f t="shared" si="5"/>
        <v>46054</v>
      </c>
      <c r="U200" s="181">
        <v>198</v>
      </c>
    </row>
    <row r="201" spans="2:21" s="181" customFormat="1" x14ac:dyDescent="0.25">
      <c r="B201" s="182" t="s">
        <v>25</v>
      </c>
      <c r="C201" s="183"/>
      <c r="D201" s="54" t="str">
        <f>INDEX(Cad_Natureza!$B$3:$C$52,MATCH('2026'!F201,Cad_Natureza!$C$3:$C$52,0),MATCH('2026'!D$2,Cad_Natureza!$B$3:$C$3,0))</f>
        <v>GAST2</v>
      </c>
      <c r="E201" s="52" t="str">
        <f t="shared" si="51"/>
        <v>Despesa 199</v>
      </c>
      <c r="F201" s="53" t="s">
        <v>66</v>
      </c>
      <c r="G201" s="54" t="s">
        <v>25</v>
      </c>
      <c r="H201" s="55">
        <v>46076</v>
      </c>
      <c r="I201" s="55"/>
      <c r="J201" s="50" t="str">
        <f t="shared" si="52"/>
        <v>Observação da despesa 199</v>
      </c>
      <c r="K201" s="43">
        <v>-8</v>
      </c>
      <c r="L201" s="43">
        <f t="shared" si="53"/>
        <v>779.48000000000025</v>
      </c>
      <c r="M201" s="183"/>
      <c r="N201" s="37" t="str">
        <f t="shared" si="0"/>
        <v>MCSGAST2CPF - Desp. Lazer e Entretenimento - Cigarro</v>
      </c>
      <c r="O201" s="37" t="str">
        <f t="shared" si="1"/>
        <v>GAST2CPF - Desp. Lazer e Entretenimento - Cigarro</v>
      </c>
      <c r="P201" s="37" t="str">
        <f t="shared" si="2"/>
        <v>MCSGAST2CPF - Desp. Lazer e Entretenimento - Cigarro</v>
      </c>
      <c r="Q201" s="37" t="str">
        <f t="shared" si="3"/>
        <v>MCSGAST2</v>
      </c>
      <c r="R201" s="37" t="str">
        <f t="shared" si="4"/>
        <v>MCSGAST2</v>
      </c>
      <c r="S201" s="31"/>
      <c r="T201" s="185">
        <f t="shared" si="5"/>
        <v>46054</v>
      </c>
      <c r="U201" s="181">
        <v>199</v>
      </c>
    </row>
    <row r="202" spans="2:21" s="181" customFormat="1" x14ac:dyDescent="0.25">
      <c r="B202" s="182" t="s">
        <v>25</v>
      </c>
      <c r="C202" s="183"/>
      <c r="D202" s="54" t="str">
        <f>INDEX(Cad_Natureza!$B$3:$C$52,MATCH('2026'!F202,Cad_Natureza!$C$3:$C$52,0),MATCH('2026'!D$2,Cad_Natureza!$B$3:$C$3,0))</f>
        <v>OPF2</v>
      </c>
      <c r="E202" s="52" t="str">
        <f t="shared" si="51"/>
        <v>Despesa 200</v>
      </c>
      <c r="F202" s="53" t="s">
        <v>64</v>
      </c>
      <c r="G202" s="54" t="s">
        <v>25</v>
      </c>
      <c r="H202" s="55">
        <v>46076</v>
      </c>
      <c r="I202" s="55"/>
      <c r="J202" s="50" t="str">
        <f t="shared" si="52"/>
        <v>Observação da despesa 200</v>
      </c>
      <c r="K202" s="43">
        <v>-50</v>
      </c>
      <c r="L202" s="43">
        <f t="shared" si="53"/>
        <v>729.48000000000025</v>
      </c>
      <c r="M202" s="183"/>
      <c r="N202" s="37" t="str">
        <f t="shared" si="0"/>
        <v>MCSOPF2CPF - Desp. Transporte / Combustível</v>
      </c>
      <c r="O202" s="37" t="str">
        <f t="shared" si="1"/>
        <v>OPF2CPF - Desp. Transporte / Combustível</v>
      </c>
      <c r="P202" s="37" t="str">
        <f t="shared" si="2"/>
        <v>MCSOPF2CPF - Desp. Transporte / Combustível</v>
      </c>
      <c r="Q202" s="37" t="str">
        <f t="shared" si="3"/>
        <v>MCSOPF2</v>
      </c>
      <c r="R202" s="37" t="str">
        <f t="shared" si="4"/>
        <v>MCSOPF2</v>
      </c>
      <c r="S202" s="31"/>
      <c r="T202" s="185">
        <f t="shared" si="5"/>
        <v>46054</v>
      </c>
      <c r="U202" s="181">
        <v>200</v>
      </c>
    </row>
    <row r="203" spans="2:21" s="181" customFormat="1" x14ac:dyDescent="0.25">
      <c r="B203" s="182" t="s">
        <v>25</v>
      </c>
      <c r="C203" s="183"/>
      <c r="D203" s="54" t="str">
        <f>INDEX(Cad_Natureza!$B$3:$C$52,MATCH('2026'!F203,Cad_Natureza!$C$3:$C$52,0),MATCH('2026'!D$2,Cad_Natureza!$B$3:$C$3,0))</f>
        <v>GAST1</v>
      </c>
      <c r="E203" s="52" t="str">
        <f t="shared" si="51"/>
        <v>Despesa 201</v>
      </c>
      <c r="F203" s="53" t="s">
        <v>65</v>
      </c>
      <c r="G203" s="54" t="s">
        <v>25</v>
      </c>
      <c r="H203" s="55">
        <v>46076</v>
      </c>
      <c r="I203" s="55"/>
      <c r="J203" s="50" t="str">
        <f t="shared" si="52"/>
        <v>Observação da despesa 201</v>
      </c>
      <c r="K203" s="43">
        <v>-12</v>
      </c>
      <c r="L203" s="43">
        <f t="shared" si="53"/>
        <v>717.48000000000025</v>
      </c>
      <c r="M203" s="183"/>
      <c r="N203" s="37" t="str">
        <f t="shared" si="0"/>
        <v>MCSGAST1CPF - Desp. Lazer e Entretenimento - Bares</v>
      </c>
      <c r="O203" s="37" t="str">
        <f t="shared" si="1"/>
        <v>GAST1CPF - Desp. Lazer e Entretenimento - Bares</v>
      </c>
      <c r="P203" s="37" t="str">
        <f t="shared" si="2"/>
        <v>MCSGAST1CPF - Desp. Lazer e Entretenimento - Bares</v>
      </c>
      <c r="Q203" s="37" t="str">
        <f t="shared" si="3"/>
        <v>MCSGAST1</v>
      </c>
      <c r="R203" s="37" t="str">
        <f t="shared" si="4"/>
        <v>MCSGAST1</v>
      </c>
      <c r="S203" s="31"/>
      <c r="T203" s="185">
        <f t="shared" si="5"/>
        <v>46054</v>
      </c>
      <c r="U203" s="181">
        <v>201</v>
      </c>
    </row>
    <row r="204" spans="2:21" s="181" customFormat="1" x14ac:dyDescent="0.25">
      <c r="B204" s="182" t="s">
        <v>25</v>
      </c>
      <c r="C204" s="183"/>
      <c r="D204" s="54" t="str">
        <f>INDEX(Cad_Natureza!$B$3:$C$52,MATCH('2026'!F204,Cad_Natureza!$C$3:$C$52,0),MATCH('2026'!D$2,Cad_Natureza!$B$3:$C$3,0))</f>
        <v>GAST1</v>
      </c>
      <c r="E204" s="52" t="str">
        <f t="shared" si="51"/>
        <v>Despesa 202</v>
      </c>
      <c r="F204" s="53" t="s">
        <v>65</v>
      </c>
      <c r="G204" s="54" t="s">
        <v>25</v>
      </c>
      <c r="H204" s="55">
        <v>46076</v>
      </c>
      <c r="I204" s="55"/>
      <c r="J204" s="50" t="str">
        <f t="shared" si="52"/>
        <v>Observação da despesa 202</v>
      </c>
      <c r="K204" s="43">
        <v>-15</v>
      </c>
      <c r="L204" s="43">
        <f t="shared" si="53"/>
        <v>702.48000000000025</v>
      </c>
      <c r="M204" s="183"/>
      <c r="N204" s="37" t="str">
        <f t="shared" si="0"/>
        <v>MCSGAST1CPF - Desp. Lazer e Entretenimento - Bares</v>
      </c>
      <c r="O204" s="37" t="str">
        <f t="shared" si="1"/>
        <v>GAST1CPF - Desp. Lazer e Entretenimento - Bares</v>
      </c>
      <c r="P204" s="37" t="str">
        <f t="shared" si="2"/>
        <v>MCSGAST1CPF - Desp. Lazer e Entretenimento - Bares</v>
      </c>
      <c r="Q204" s="37" t="str">
        <f t="shared" si="3"/>
        <v>MCSGAST1</v>
      </c>
      <c r="R204" s="37" t="str">
        <f t="shared" si="4"/>
        <v>MCSGAST1</v>
      </c>
      <c r="S204" s="31"/>
      <c r="T204" s="185">
        <f t="shared" si="5"/>
        <v>46054</v>
      </c>
      <c r="U204" s="181">
        <v>202</v>
      </c>
    </row>
    <row r="205" spans="2:21" s="181" customFormat="1" x14ac:dyDescent="0.25">
      <c r="B205" s="182" t="s">
        <v>25</v>
      </c>
      <c r="C205" s="183"/>
      <c r="D205" s="54" t="str">
        <f>INDEX(Cad_Natureza!$B$3:$C$52,MATCH('2026'!F205,Cad_Natureza!$C$3:$C$52,0),MATCH('2026'!D$2,Cad_Natureza!$B$3:$C$3,0))</f>
        <v>GAST1</v>
      </c>
      <c r="E205" s="52" t="str">
        <f t="shared" si="51"/>
        <v>Despesa 203</v>
      </c>
      <c r="F205" s="53" t="s">
        <v>65</v>
      </c>
      <c r="G205" s="54" t="s">
        <v>25</v>
      </c>
      <c r="H205" s="55">
        <v>46076</v>
      </c>
      <c r="I205" s="55"/>
      <c r="J205" s="50" t="str">
        <f t="shared" si="52"/>
        <v>Observação da despesa 203</v>
      </c>
      <c r="K205" s="43">
        <v>-5.5</v>
      </c>
      <c r="L205" s="43">
        <f t="shared" si="53"/>
        <v>696.98000000000025</v>
      </c>
      <c r="M205" s="183"/>
      <c r="N205" s="37" t="str">
        <f t="shared" si="0"/>
        <v>MCSGAST1CPF - Desp. Lazer e Entretenimento - Bares</v>
      </c>
      <c r="O205" s="37" t="str">
        <f t="shared" si="1"/>
        <v>GAST1CPF - Desp. Lazer e Entretenimento - Bares</v>
      </c>
      <c r="P205" s="37" t="str">
        <f t="shared" si="2"/>
        <v>MCSGAST1CPF - Desp. Lazer e Entretenimento - Bares</v>
      </c>
      <c r="Q205" s="37" t="str">
        <f t="shared" si="3"/>
        <v>MCSGAST1</v>
      </c>
      <c r="R205" s="37" t="str">
        <f t="shared" si="4"/>
        <v>MCSGAST1</v>
      </c>
      <c r="S205" s="31"/>
      <c r="T205" s="185">
        <f t="shared" si="5"/>
        <v>46054</v>
      </c>
      <c r="U205" s="181">
        <v>203</v>
      </c>
    </row>
    <row r="206" spans="2:21" s="181" customFormat="1" x14ac:dyDescent="0.25">
      <c r="B206" s="182" t="s">
        <v>25</v>
      </c>
      <c r="C206" s="183"/>
      <c r="D206" s="54" t="str">
        <f>INDEX(Cad_Natureza!$B$3:$C$52,MATCH('2026'!F206,Cad_Natureza!$C$3:$C$52,0),MATCH('2026'!D$2,Cad_Natureza!$B$3:$C$3,0))</f>
        <v>GAST1</v>
      </c>
      <c r="E206" s="52" t="str">
        <f t="shared" si="51"/>
        <v>Despesa 204</v>
      </c>
      <c r="F206" s="53" t="s">
        <v>65</v>
      </c>
      <c r="G206" s="54" t="s">
        <v>25</v>
      </c>
      <c r="H206" s="55">
        <v>46076</v>
      </c>
      <c r="I206" s="55"/>
      <c r="J206" s="50" t="str">
        <f t="shared" si="52"/>
        <v>Observação da despesa 204</v>
      </c>
      <c r="K206" s="43">
        <v>-9</v>
      </c>
      <c r="L206" s="43">
        <f t="shared" si="53"/>
        <v>687.98000000000025</v>
      </c>
      <c r="M206" s="183"/>
      <c r="N206" s="37" t="str">
        <f t="shared" si="0"/>
        <v>MCSGAST1CPF - Desp. Lazer e Entretenimento - Bares</v>
      </c>
      <c r="O206" s="37" t="str">
        <f t="shared" si="1"/>
        <v>GAST1CPF - Desp. Lazer e Entretenimento - Bares</v>
      </c>
      <c r="P206" s="37" t="str">
        <f t="shared" si="2"/>
        <v>MCSGAST1CPF - Desp. Lazer e Entretenimento - Bares</v>
      </c>
      <c r="Q206" s="37" t="str">
        <f t="shared" si="3"/>
        <v>MCSGAST1</v>
      </c>
      <c r="R206" s="37" t="str">
        <f t="shared" si="4"/>
        <v>MCSGAST1</v>
      </c>
      <c r="S206" s="31"/>
      <c r="T206" s="185">
        <f t="shared" si="5"/>
        <v>46054</v>
      </c>
      <c r="U206" s="181">
        <v>204</v>
      </c>
    </row>
    <row r="207" spans="2:21" s="181" customFormat="1" x14ac:dyDescent="0.25">
      <c r="B207" s="182" t="s">
        <v>25</v>
      </c>
      <c r="C207" s="183"/>
      <c r="D207" s="54" t="str">
        <f>INDEX(Cad_Natureza!$B$3:$C$52,MATCH('2026'!F207,Cad_Natureza!$C$3:$C$52,0),MATCH('2026'!D$2,Cad_Natureza!$B$3:$C$3,0))</f>
        <v>GAST1</v>
      </c>
      <c r="E207" s="52" t="str">
        <f t="shared" si="51"/>
        <v>Despesa 205</v>
      </c>
      <c r="F207" s="53" t="s">
        <v>65</v>
      </c>
      <c r="G207" s="54" t="s">
        <v>25</v>
      </c>
      <c r="H207" s="55">
        <v>46076</v>
      </c>
      <c r="I207" s="55"/>
      <c r="J207" s="50" t="str">
        <f t="shared" si="52"/>
        <v>Observação da despesa 205</v>
      </c>
      <c r="K207" s="43">
        <v>-9</v>
      </c>
      <c r="L207" s="43">
        <f t="shared" si="53"/>
        <v>678.98000000000025</v>
      </c>
      <c r="M207" s="183"/>
      <c r="N207" s="37" t="str">
        <f t="shared" si="0"/>
        <v>MCSGAST1CPF - Desp. Lazer e Entretenimento - Bares</v>
      </c>
      <c r="O207" s="37" t="str">
        <f t="shared" si="1"/>
        <v>GAST1CPF - Desp. Lazer e Entretenimento - Bares</v>
      </c>
      <c r="P207" s="37" t="str">
        <f t="shared" si="2"/>
        <v>MCSGAST1CPF - Desp. Lazer e Entretenimento - Bares</v>
      </c>
      <c r="Q207" s="37" t="str">
        <f t="shared" si="3"/>
        <v>MCSGAST1</v>
      </c>
      <c r="R207" s="37" t="str">
        <f t="shared" si="4"/>
        <v>MCSGAST1</v>
      </c>
      <c r="S207" s="31"/>
      <c r="T207" s="185">
        <f t="shared" si="5"/>
        <v>46054</v>
      </c>
      <c r="U207" s="181">
        <v>205</v>
      </c>
    </row>
    <row r="208" spans="2:21" s="181" customFormat="1" x14ac:dyDescent="0.25">
      <c r="B208" s="182" t="s">
        <v>25</v>
      </c>
      <c r="C208" s="183"/>
      <c r="D208" s="54" t="str">
        <f>INDEX(Cad_Natureza!$B$3:$C$52,MATCH('2026'!F208,Cad_Natureza!$C$3:$C$52,0),MATCH('2026'!D$2,Cad_Natureza!$B$3:$C$3,0))</f>
        <v>GAST1</v>
      </c>
      <c r="E208" s="52" t="str">
        <f t="shared" si="51"/>
        <v>Despesa 206</v>
      </c>
      <c r="F208" s="53" t="s">
        <v>65</v>
      </c>
      <c r="G208" s="54" t="s">
        <v>25</v>
      </c>
      <c r="H208" s="55">
        <v>46076</v>
      </c>
      <c r="I208" s="55"/>
      <c r="J208" s="50" t="str">
        <f t="shared" si="52"/>
        <v>Observação da despesa 206</v>
      </c>
      <c r="K208" s="43">
        <v>-5</v>
      </c>
      <c r="L208" s="43">
        <f t="shared" si="53"/>
        <v>673.98000000000025</v>
      </c>
      <c r="M208" s="183"/>
      <c r="N208" s="37" t="str">
        <f t="shared" si="0"/>
        <v>MCSGAST1CPF - Desp. Lazer e Entretenimento - Bares</v>
      </c>
      <c r="O208" s="37" t="str">
        <f t="shared" si="1"/>
        <v>GAST1CPF - Desp. Lazer e Entretenimento - Bares</v>
      </c>
      <c r="P208" s="37" t="str">
        <f t="shared" si="2"/>
        <v>MCSGAST1CPF - Desp. Lazer e Entretenimento - Bares</v>
      </c>
      <c r="Q208" s="37" t="str">
        <f t="shared" si="3"/>
        <v>MCSGAST1</v>
      </c>
      <c r="R208" s="37" t="str">
        <f t="shared" si="4"/>
        <v>MCSGAST1</v>
      </c>
      <c r="S208" s="31"/>
      <c r="T208" s="185">
        <f t="shared" si="5"/>
        <v>46054</v>
      </c>
      <c r="U208" s="181">
        <v>206</v>
      </c>
    </row>
    <row r="209" spans="2:21" s="181" customFormat="1" x14ac:dyDescent="0.25">
      <c r="B209" s="182" t="s">
        <v>25</v>
      </c>
      <c r="C209" s="183"/>
      <c r="D209" s="54" t="str">
        <f>INDEX(Cad_Natureza!$B$3:$C$52,MATCH('2026'!F209,Cad_Natureza!$C$3:$C$52,0),MATCH('2026'!D$2,Cad_Natureza!$B$3:$C$3,0))</f>
        <v>GAST1</v>
      </c>
      <c r="E209" s="52" t="str">
        <f t="shared" si="51"/>
        <v>Despesa 207</v>
      </c>
      <c r="F209" s="53" t="s">
        <v>65</v>
      </c>
      <c r="G209" s="54" t="s">
        <v>25</v>
      </c>
      <c r="H209" s="55">
        <v>46076</v>
      </c>
      <c r="I209" s="55"/>
      <c r="J209" s="50" t="str">
        <f t="shared" si="52"/>
        <v>Observação da despesa 207</v>
      </c>
      <c r="K209" s="43">
        <v>-24</v>
      </c>
      <c r="L209" s="43">
        <f t="shared" si="53"/>
        <v>649.98000000000025</v>
      </c>
      <c r="M209" s="183"/>
      <c r="N209" s="37" t="str">
        <f t="shared" si="0"/>
        <v>MCSGAST1CPF - Desp. Lazer e Entretenimento - Bares</v>
      </c>
      <c r="O209" s="37" t="str">
        <f t="shared" si="1"/>
        <v>GAST1CPF - Desp. Lazer e Entretenimento - Bares</v>
      </c>
      <c r="P209" s="37" t="str">
        <f t="shared" si="2"/>
        <v>MCSGAST1CPF - Desp. Lazer e Entretenimento - Bares</v>
      </c>
      <c r="Q209" s="37" t="str">
        <f t="shared" si="3"/>
        <v>MCSGAST1</v>
      </c>
      <c r="R209" s="37" t="str">
        <f t="shared" si="4"/>
        <v>MCSGAST1</v>
      </c>
      <c r="S209" s="31"/>
      <c r="T209" s="185">
        <f t="shared" si="5"/>
        <v>46054</v>
      </c>
      <c r="U209" s="181">
        <v>207</v>
      </c>
    </row>
    <row r="210" spans="2:21" s="181" customFormat="1" x14ac:dyDescent="0.25">
      <c r="B210" s="182" t="s">
        <v>25</v>
      </c>
      <c r="C210" s="183"/>
      <c r="D210" s="54" t="str">
        <f>INDEX(Cad_Natureza!$B$3:$C$52,MATCH('2026'!F210,Cad_Natureza!$C$3:$C$52,0),MATCH('2026'!D$2,Cad_Natureza!$B$3:$C$3,0))</f>
        <v>GAST2</v>
      </c>
      <c r="E210" s="52" t="str">
        <f t="shared" si="51"/>
        <v>Despesa 208</v>
      </c>
      <c r="F210" s="53" t="s">
        <v>66</v>
      </c>
      <c r="G210" s="54" t="s">
        <v>25</v>
      </c>
      <c r="H210" s="55">
        <v>46076</v>
      </c>
      <c r="I210" s="55"/>
      <c r="J210" s="50" t="str">
        <f t="shared" si="52"/>
        <v>Observação da despesa 208</v>
      </c>
      <c r="K210" s="43">
        <v>-38</v>
      </c>
      <c r="L210" s="43">
        <f t="shared" si="53"/>
        <v>611.98000000000025</v>
      </c>
      <c r="M210" s="183"/>
      <c r="N210" s="37" t="str">
        <f t="shared" si="0"/>
        <v>MCSGAST2CPF - Desp. Lazer e Entretenimento - Cigarro</v>
      </c>
      <c r="O210" s="37" t="str">
        <f t="shared" si="1"/>
        <v>GAST2CPF - Desp. Lazer e Entretenimento - Cigarro</v>
      </c>
      <c r="P210" s="37" t="str">
        <f t="shared" si="2"/>
        <v>MCSGAST2CPF - Desp. Lazer e Entretenimento - Cigarro</v>
      </c>
      <c r="Q210" s="37" t="str">
        <f t="shared" si="3"/>
        <v>MCSGAST2</v>
      </c>
      <c r="R210" s="37" t="str">
        <f t="shared" si="4"/>
        <v>MCSGAST2</v>
      </c>
      <c r="S210" s="31"/>
      <c r="T210" s="185">
        <f t="shared" si="5"/>
        <v>46054</v>
      </c>
      <c r="U210" s="181">
        <v>208</v>
      </c>
    </row>
    <row r="211" spans="2:21" s="181" customFormat="1" x14ac:dyDescent="0.25">
      <c r="B211" s="182" t="s">
        <v>25</v>
      </c>
      <c r="C211" s="183"/>
      <c r="D211" s="54" t="str">
        <f>INDEX(Cad_Natureza!$B$3:$C$52,MATCH('2026'!F211,Cad_Natureza!$C$3:$C$52,0),MATCH('2026'!D$2,Cad_Natureza!$B$3:$C$3,0))</f>
        <v>OPF1</v>
      </c>
      <c r="E211" s="52" t="str">
        <f t="shared" si="51"/>
        <v>Despesa 209</v>
      </c>
      <c r="F211" s="53" t="s">
        <v>67</v>
      </c>
      <c r="G211" s="54" t="s">
        <v>25</v>
      </c>
      <c r="H211" s="55">
        <v>46076</v>
      </c>
      <c r="I211" s="55"/>
      <c r="J211" s="50" t="str">
        <f t="shared" si="52"/>
        <v>Observação da despesa 209</v>
      </c>
      <c r="K211" s="43">
        <v>-20</v>
      </c>
      <c r="L211" s="43">
        <f t="shared" si="53"/>
        <v>591.98000000000025</v>
      </c>
      <c r="M211" s="183"/>
      <c r="N211" s="37" t="str">
        <f t="shared" si="0"/>
        <v>MCSOPF1CPF - Desp. Alimentação / Refeição</v>
      </c>
      <c r="O211" s="37" t="str">
        <f t="shared" si="1"/>
        <v>OPF1CPF - Desp. Alimentação / Refeição</v>
      </c>
      <c r="P211" s="37" t="str">
        <f t="shared" si="2"/>
        <v>MCSOPF1CPF - Desp. Alimentação / Refeição</v>
      </c>
      <c r="Q211" s="37" t="str">
        <f t="shared" si="3"/>
        <v>MCSOPF1</v>
      </c>
      <c r="R211" s="37" t="str">
        <f t="shared" si="4"/>
        <v>MCSOPF1</v>
      </c>
      <c r="S211" s="31"/>
      <c r="T211" s="185">
        <f t="shared" si="5"/>
        <v>46054</v>
      </c>
      <c r="U211" s="181">
        <v>209</v>
      </c>
    </row>
    <row r="212" spans="2:21" s="181" customFormat="1" x14ac:dyDescent="0.25">
      <c r="B212" s="182" t="s">
        <v>25</v>
      </c>
      <c r="C212" s="183"/>
      <c r="D212" s="54" t="str">
        <f>INDEX(Cad_Natureza!$B$3:$C$52,MATCH('2026'!F212,Cad_Natureza!$C$3:$C$52,0),MATCH('2026'!D$2,Cad_Natureza!$B$3:$C$3,0))</f>
        <v>OPF2</v>
      </c>
      <c r="E212" s="52" t="str">
        <f t="shared" si="51"/>
        <v>Despesa 210</v>
      </c>
      <c r="F212" s="53" t="s">
        <v>64</v>
      </c>
      <c r="G212" s="54" t="s">
        <v>25</v>
      </c>
      <c r="H212" s="55">
        <v>46076</v>
      </c>
      <c r="I212" s="55"/>
      <c r="J212" s="50" t="str">
        <f t="shared" si="52"/>
        <v>Observação da despesa 210</v>
      </c>
      <c r="K212" s="43">
        <v>-85</v>
      </c>
      <c r="L212" s="43">
        <f t="shared" si="53"/>
        <v>506.98000000000025</v>
      </c>
      <c r="M212" s="183"/>
      <c r="N212" s="37" t="str">
        <f t="shared" si="0"/>
        <v>MCSOPF2CPF - Desp. Transporte / Combustível</v>
      </c>
      <c r="O212" s="37" t="str">
        <f t="shared" si="1"/>
        <v>OPF2CPF - Desp. Transporte / Combustível</v>
      </c>
      <c r="P212" s="37" t="str">
        <f t="shared" si="2"/>
        <v>MCSOPF2CPF - Desp. Transporte / Combustível</v>
      </c>
      <c r="Q212" s="37" t="str">
        <f t="shared" si="3"/>
        <v>MCSOPF2</v>
      </c>
      <c r="R212" s="37" t="str">
        <f t="shared" si="4"/>
        <v>MCSOPF2</v>
      </c>
      <c r="S212" s="31"/>
      <c r="T212" s="185">
        <f t="shared" si="5"/>
        <v>46054</v>
      </c>
      <c r="U212" s="181">
        <v>210</v>
      </c>
    </row>
    <row r="213" spans="2:21" s="181" customFormat="1" x14ac:dyDescent="0.25">
      <c r="B213" s="182" t="s">
        <v>25</v>
      </c>
      <c r="C213" s="183"/>
      <c r="D213" s="54" t="str">
        <f>INDEX(Cad_Natureza!$B$3:$C$52,MATCH('2026'!F213,Cad_Natureza!$C$3:$C$52,0),MATCH('2026'!D$2,Cad_Natureza!$B$3:$C$3,0))</f>
        <v>GAST2</v>
      </c>
      <c r="E213" s="52" t="str">
        <f t="shared" si="51"/>
        <v>Despesa 211</v>
      </c>
      <c r="F213" s="53" t="s">
        <v>66</v>
      </c>
      <c r="G213" s="54" t="s">
        <v>25</v>
      </c>
      <c r="H213" s="55">
        <v>46076</v>
      </c>
      <c r="I213" s="55"/>
      <c r="J213" s="50" t="str">
        <f t="shared" si="52"/>
        <v>Observação da despesa 211</v>
      </c>
      <c r="K213" s="43">
        <v>-4</v>
      </c>
      <c r="L213" s="43">
        <f t="shared" si="53"/>
        <v>502.98000000000025</v>
      </c>
      <c r="M213" s="183"/>
      <c r="N213" s="37" t="str">
        <f t="shared" si="0"/>
        <v>MCSGAST2CPF - Desp. Lazer e Entretenimento - Cigarro</v>
      </c>
      <c r="O213" s="37" t="str">
        <f t="shared" si="1"/>
        <v>GAST2CPF - Desp. Lazer e Entretenimento - Cigarro</v>
      </c>
      <c r="P213" s="37" t="str">
        <f t="shared" si="2"/>
        <v>MCSGAST2CPF - Desp. Lazer e Entretenimento - Cigarro</v>
      </c>
      <c r="Q213" s="37" t="str">
        <f t="shared" si="3"/>
        <v>MCSGAST2</v>
      </c>
      <c r="R213" s="37" t="str">
        <f t="shared" si="4"/>
        <v>MCSGAST2</v>
      </c>
      <c r="S213" s="31"/>
      <c r="T213" s="185">
        <f t="shared" si="5"/>
        <v>46054</v>
      </c>
      <c r="U213" s="181">
        <v>211</v>
      </c>
    </row>
    <row r="214" spans="2:21" s="181" customFormat="1" x14ac:dyDescent="0.25">
      <c r="B214" s="182" t="s">
        <v>25</v>
      </c>
      <c r="C214" s="183"/>
      <c r="D214" s="54" t="str">
        <f>INDEX(Cad_Natureza!$B$3:$C$52,MATCH('2026'!F214,Cad_Natureza!$C$3:$C$52,0),MATCH('2026'!D$2,Cad_Natureza!$B$3:$C$3,0))</f>
        <v>GAST2</v>
      </c>
      <c r="E214" s="52" t="str">
        <f t="shared" si="51"/>
        <v>Despesa 212</v>
      </c>
      <c r="F214" s="53" t="s">
        <v>66</v>
      </c>
      <c r="G214" s="54" t="s">
        <v>25</v>
      </c>
      <c r="H214" s="55">
        <v>46076</v>
      </c>
      <c r="I214" s="55"/>
      <c r="J214" s="50" t="str">
        <f t="shared" si="52"/>
        <v>Observação da despesa 212</v>
      </c>
      <c r="K214" s="43">
        <v>-8</v>
      </c>
      <c r="L214" s="43">
        <f t="shared" si="53"/>
        <v>494.98000000000025</v>
      </c>
      <c r="M214" s="183"/>
      <c r="N214" s="37" t="str">
        <f t="shared" si="0"/>
        <v>MCSGAST2CPF - Desp. Lazer e Entretenimento - Cigarro</v>
      </c>
      <c r="O214" s="37" t="str">
        <f t="shared" si="1"/>
        <v>GAST2CPF - Desp. Lazer e Entretenimento - Cigarro</v>
      </c>
      <c r="P214" s="37" t="str">
        <f t="shared" si="2"/>
        <v>MCSGAST2CPF - Desp. Lazer e Entretenimento - Cigarro</v>
      </c>
      <c r="Q214" s="37" t="str">
        <f t="shared" si="3"/>
        <v>MCSGAST2</v>
      </c>
      <c r="R214" s="37" t="str">
        <f t="shared" si="4"/>
        <v>MCSGAST2</v>
      </c>
      <c r="S214" s="31"/>
      <c r="T214" s="185">
        <f t="shared" si="5"/>
        <v>46054</v>
      </c>
      <c r="U214" s="181">
        <v>212</v>
      </c>
    </row>
    <row r="215" spans="2:21" s="181" customFormat="1" x14ac:dyDescent="0.25">
      <c r="B215" s="182" t="s">
        <v>25</v>
      </c>
      <c r="C215" s="183"/>
      <c r="D215" s="54" t="str">
        <f>INDEX(Cad_Natureza!$B$3:$C$52,MATCH('2026'!F215,Cad_Natureza!$C$3:$C$52,0),MATCH('2026'!D$2,Cad_Natureza!$B$3:$C$3,0))</f>
        <v>GAST2</v>
      </c>
      <c r="E215" s="52" t="str">
        <f t="shared" si="51"/>
        <v>Despesa 213</v>
      </c>
      <c r="F215" s="53" t="s">
        <v>66</v>
      </c>
      <c r="G215" s="54" t="s">
        <v>25</v>
      </c>
      <c r="H215" s="55">
        <v>46076</v>
      </c>
      <c r="I215" s="55"/>
      <c r="J215" s="50" t="str">
        <f t="shared" si="52"/>
        <v>Observação da despesa 213</v>
      </c>
      <c r="K215" s="43">
        <v>-35</v>
      </c>
      <c r="L215" s="43">
        <f t="shared" si="53"/>
        <v>459.98000000000025</v>
      </c>
      <c r="M215" s="183"/>
      <c r="N215" s="37" t="str">
        <f t="shared" ref="N215:N229" si="54">B215&amp;D215&amp;F215</f>
        <v>MCSGAST2CPF - Desp. Lazer e Entretenimento - Cigarro</v>
      </c>
      <c r="O215" s="37" t="str">
        <f t="shared" ref="O215:O229" si="55">D215&amp;F215</f>
        <v>GAST2CPF - Desp. Lazer e Entretenimento - Cigarro</v>
      </c>
      <c r="P215" s="37" t="str">
        <f t="shared" ref="P215:P229" si="56">"MCS"&amp;D215&amp;F215</f>
        <v>MCSGAST2CPF - Desp. Lazer e Entretenimento - Cigarro</v>
      </c>
      <c r="Q215" s="37" t="str">
        <f t="shared" ref="Q215:Q229" si="57">"MCS"&amp;D215</f>
        <v>MCSGAST2</v>
      </c>
      <c r="R215" s="37" t="str">
        <f t="shared" ref="R215:R229" si="58">B215&amp;D215</f>
        <v>MCSGAST2</v>
      </c>
      <c r="S215" s="31"/>
      <c r="T215" s="185">
        <f t="shared" ref="T215:T229" si="59">(1&amp;"/"&amp;MONTH(H215)&amp;"/"&amp;YEAR(H215))*1</f>
        <v>46054</v>
      </c>
      <c r="U215" s="181">
        <v>213</v>
      </c>
    </row>
    <row r="216" spans="2:21" s="181" customFormat="1" x14ac:dyDescent="0.25">
      <c r="B216" s="182" t="s">
        <v>25</v>
      </c>
      <c r="C216" s="183"/>
      <c r="D216" s="54" t="str">
        <f>INDEX(Cad_Natureza!$B$3:$C$52,MATCH('2026'!F216,Cad_Natureza!$C$3:$C$52,0),MATCH('2026'!D$2,Cad_Natureza!$B$3:$C$3,0))</f>
        <v>OPF1</v>
      </c>
      <c r="E216" s="52" t="str">
        <f t="shared" si="51"/>
        <v>Despesa 214</v>
      </c>
      <c r="F216" s="53" t="s">
        <v>67</v>
      </c>
      <c r="G216" s="54" t="s">
        <v>25</v>
      </c>
      <c r="H216" s="55">
        <v>46077</v>
      </c>
      <c r="I216" s="55"/>
      <c r="J216" s="50" t="str">
        <f t="shared" si="52"/>
        <v>Observação da despesa 214</v>
      </c>
      <c r="K216" s="43">
        <v>-19</v>
      </c>
      <c r="L216" s="43">
        <f t="shared" si="53"/>
        <v>440.98000000000025</v>
      </c>
      <c r="M216" s="183"/>
      <c r="N216" s="37" t="str">
        <f t="shared" si="54"/>
        <v>MCSOPF1CPF - Desp. Alimentação / Refeição</v>
      </c>
      <c r="O216" s="37" t="str">
        <f t="shared" si="55"/>
        <v>OPF1CPF - Desp. Alimentação / Refeição</v>
      </c>
      <c r="P216" s="37" t="str">
        <f t="shared" si="56"/>
        <v>MCSOPF1CPF - Desp. Alimentação / Refeição</v>
      </c>
      <c r="Q216" s="37" t="str">
        <f t="shared" si="57"/>
        <v>MCSOPF1</v>
      </c>
      <c r="R216" s="37" t="str">
        <f t="shared" si="58"/>
        <v>MCSOPF1</v>
      </c>
      <c r="S216" s="31"/>
      <c r="T216" s="185">
        <f t="shared" si="59"/>
        <v>46054</v>
      </c>
      <c r="U216" s="181">
        <v>214</v>
      </c>
    </row>
    <row r="217" spans="2:21" s="181" customFormat="1" x14ac:dyDescent="0.25">
      <c r="B217" s="182" t="s">
        <v>25</v>
      </c>
      <c r="C217" s="183"/>
      <c r="D217" s="54" t="str">
        <f>INDEX(Cad_Natureza!$B$3:$C$52,MATCH('2026'!F217,Cad_Natureza!$C$3:$C$52,0),MATCH('2026'!D$2,Cad_Natureza!$B$3:$C$3,0))</f>
        <v>GAST1</v>
      </c>
      <c r="E217" s="52" t="str">
        <f t="shared" si="51"/>
        <v>Despesa 215</v>
      </c>
      <c r="F217" s="53" t="s">
        <v>65</v>
      </c>
      <c r="G217" s="54" t="s">
        <v>25</v>
      </c>
      <c r="H217" s="55">
        <v>46077</v>
      </c>
      <c r="I217" s="55"/>
      <c r="J217" s="50" t="str">
        <f t="shared" si="52"/>
        <v>Observação da despesa 215</v>
      </c>
      <c r="K217" s="43">
        <v>-22</v>
      </c>
      <c r="L217" s="43">
        <f t="shared" si="53"/>
        <v>418.98000000000025</v>
      </c>
      <c r="M217" s="183"/>
      <c r="N217" s="37" t="str">
        <f t="shared" si="54"/>
        <v>MCSGAST1CPF - Desp. Lazer e Entretenimento - Bares</v>
      </c>
      <c r="O217" s="37" t="str">
        <f t="shared" si="55"/>
        <v>GAST1CPF - Desp. Lazer e Entretenimento - Bares</v>
      </c>
      <c r="P217" s="37" t="str">
        <f t="shared" si="56"/>
        <v>MCSGAST1CPF - Desp. Lazer e Entretenimento - Bares</v>
      </c>
      <c r="Q217" s="37" t="str">
        <f t="shared" si="57"/>
        <v>MCSGAST1</v>
      </c>
      <c r="R217" s="37" t="str">
        <f t="shared" si="58"/>
        <v>MCSGAST1</v>
      </c>
      <c r="S217" s="31"/>
      <c r="T217" s="185">
        <f t="shared" si="59"/>
        <v>46054</v>
      </c>
      <c r="U217" s="181">
        <v>215</v>
      </c>
    </row>
    <row r="218" spans="2:21" s="181" customFormat="1" x14ac:dyDescent="0.25">
      <c r="B218" s="182" t="s">
        <v>25</v>
      </c>
      <c r="C218" s="183"/>
      <c r="D218" s="54" t="str">
        <f>INDEX(Cad_Natureza!$B$3:$C$52,MATCH('2026'!F218,Cad_Natureza!$C$3:$C$52,0),MATCH('2026'!D$2,Cad_Natureza!$B$3:$C$3,0))</f>
        <v>GAST2</v>
      </c>
      <c r="E218" s="52" t="str">
        <f t="shared" si="51"/>
        <v>Despesa 216</v>
      </c>
      <c r="F218" s="53" t="s">
        <v>66</v>
      </c>
      <c r="G218" s="54" t="s">
        <v>25</v>
      </c>
      <c r="H218" s="55">
        <v>46077</v>
      </c>
      <c r="I218" s="55"/>
      <c r="J218" s="50" t="str">
        <f t="shared" si="52"/>
        <v>Observação da despesa 216</v>
      </c>
      <c r="K218" s="43">
        <v>-8</v>
      </c>
      <c r="L218" s="43">
        <f t="shared" si="53"/>
        <v>410.98000000000025</v>
      </c>
      <c r="M218" s="183"/>
      <c r="N218" s="37" t="str">
        <f t="shared" si="54"/>
        <v>MCSGAST2CPF - Desp. Lazer e Entretenimento - Cigarro</v>
      </c>
      <c r="O218" s="37" t="str">
        <f t="shared" si="55"/>
        <v>GAST2CPF - Desp. Lazer e Entretenimento - Cigarro</v>
      </c>
      <c r="P218" s="37" t="str">
        <f t="shared" si="56"/>
        <v>MCSGAST2CPF - Desp. Lazer e Entretenimento - Cigarro</v>
      </c>
      <c r="Q218" s="37" t="str">
        <f t="shared" si="57"/>
        <v>MCSGAST2</v>
      </c>
      <c r="R218" s="37" t="str">
        <f t="shared" si="58"/>
        <v>MCSGAST2</v>
      </c>
      <c r="S218" s="31"/>
      <c r="T218" s="185">
        <f t="shared" si="59"/>
        <v>46054</v>
      </c>
      <c r="U218" s="181">
        <v>216</v>
      </c>
    </row>
    <row r="219" spans="2:21" s="181" customFormat="1" x14ac:dyDescent="0.25">
      <c r="B219" s="182" t="s">
        <v>25</v>
      </c>
      <c r="C219" s="183"/>
      <c r="D219" s="54" t="str">
        <f>INDEX(Cad_Natureza!$B$3:$C$52,MATCH('2026'!F219,Cad_Natureza!$C$3:$C$52,0),MATCH('2026'!D$2,Cad_Natureza!$B$3:$C$3,0))</f>
        <v>OPF1</v>
      </c>
      <c r="E219" s="52" t="str">
        <f t="shared" si="51"/>
        <v>Despesa 217</v>
      </c>
      <c r="F219" s="53" t="s">
        <v>67</v>
      </c>
      <c r="G219" s="54" t="s">
        <v>25</v>
      </c>
      <c r="H219" s="55">
        <v>46078</v>
      </c>
      <c r="I219" s="55"/>
      <c r="J219" s="50" t="str">
        <f t="shared" si="52"/>
        <v>Observação da despesa 217</v>
      </c>
      <c r="K219" s="43">
        <v>-22</v>
      </c>
      <c r="L219" s="43">
        <f t="shared" si="53"/>
        <v>388.98000000000025</v>
      </c>
      <c r="M219" s="183"/>
      <c r="N219" s="37" t="str">
        <f t="shared" si="54"/>
        <v>MCSOPF1CPF - Desp. Alimentação / Refeição</v>
      </c>
      <c r="O219" s="37" t="str">
        <f t="shared" si="55"/>
        <v>OPF1CPF - Desp. Alimentação / Refeição</v>
      </c>
      <c r="P219" s="37" t="str">
        <f t="shared" si="56"/>
        <v>MCSOPF1CPF - Desp. Alimentação / Refeição</v>
      </c>
      <c r="Q219" s="37" t="str">
        <f t="shared" si="57"/>
        <v>MCSOPF1</v>
      </c>
      <c r="R219" s="37" t="str">
        <f t="shared" si="58"/>
        <v>MCSOPF1</v>
      </c>
      <c r="S219" s="31"/>
      <c r="T219" s="185">
        <f t="shared" si="59"/>
        <v>46054</v>
      </c>
      <c r="U219" s="181">
        <v>217</v>
      </c>
    </row>
    <row r="220" spans="2:21" s="181" customFormat="1" x14ac:dyDescent="0.25">
      <c r="B220" s="182" t="s">
        <v>25</v>
      </c>
      <c r="C220" s="183"/>
      <c r="D220" s="54" t="str">
        <f>INDEX(Cad_Natureza!$B$3:$C$52,MATCH('2026'!F220,Cad_Natureza!$C$3:$C$52,0),MATCH('2026'!D$2,Cad_Natureza!$B$3:$C$3,0))</f>
        <v>OPF1</v>
      </c>
      <c r="E220" s="52" t="str">
        <f t="shared" si="51"/>
        <v>Despesa 218</v>
      </c>
      <c r="F220" s="53" t="s">
        <v>67</v>
      </c>
      <c r="G220" s="54" t="s">
        <v>25</v>
      </c>
      <c r="H220" s="55">
        <v>46079</v>
      </c>
      <c r="I220" s="55"/>
      <c r="J220" s="50" t="str">
        <f t="shared" si="52"/>
        <v>Observação da despesa 218</v>
      </c>
      <c r="K220" s="43">
        <v>-20</v>
      </c>
      <c r="L220" s="43">
        <f t="shared" si="53"/>
        <v>368.98000000000025</v>
      </c>
      <c r="M220" s="183"/>
      <c r="N220" s="37" t="str">
        <f t="shared" si="54"/>
        <v>MCSOPF1CPF - Desp. Alimentação / Refeição</v>
      </c>
      <c r="O220" s="37" t="str">
        <f t="shared" si="55"/>
        <v>OPF1CPF - Desp. Alimentação / Refeição</v>
      </c>
      <c r="P220" s="37" t="str">
        <f t="shared" si="56"/>
        <v>MCSOPF1CPF - Desp. Alimentação / Refeição</v>
      </c>
      <c r="Q220" s="37" t="str">
        <f t="shared" si="57"/>
        <v>MCSOPF1</v>
      </c>
      <c r="R220" s="37" t="str">
        <f t="shared" si="58"/>
        <v>MCSOPF1</v>
      </c>
      <c r="S220" s="31"/>
      <c r="T220" s="185">
        <f t="shared" si="59"/>
        <v>46054</v>
      </c>
      <c r="U220" s="181">
        <v>218</v>
      </c>
    </row>
    <row r="221" spans="2:21" s="181" customFormat="1" x14ac:dyDescent="0.25">
      <c r="B221" s="182" t="s">
        <v>25</v>
      </c>
      <c r="C221" s="183"/>
      <c r="D221" s="54" t="str">
        <f>INDEX(Cad_Natureza!$B$3:$C$52,MATCH('2026'!F221,Cad_Natureza!$C$3:$C$52,0),MATCH('2026'!D$2,Cad_Natureza!$B$3:$C$3,0))</f>
        <v>PENS6</v>
      </c>
      <c r="E221" s="52" t="str">
        <f t="shared" si="51"/>
        <v>Despesa 219</v>
      </c>
      <c r="F221" s="53" t="s">
        <v>34</v>
      </c>
      <c r="G221" s="54" t="s">
        <v>25</v>
      </c>
      <c r="H221" s="55">
        <v>46079</v>
      </c>
      <c r="I221" s="55"/>
      <c r="J221" s="50" t="str">
        <f t="shared" si="52"/>
        <v>Observação da despesa 219</v>
      </c>
      <c r="K221" s="43">
        <v>-7.99</v>
      </c>
      <c r="L221" s="43">
        <f t="shared" si="53"/>
        <v>360.99000000000024</v>
      </c>
      <c r="M221" s="183"/>
      <c r="N221" s="37" t="str">
        <f t="shared" si="54"/>
        <v>MCSPENS6CPF - Pensão - Farmácia e Saúde</v>
      </c>
      <c r="O221" s="37" t="str">
        <f t="shared" si="55"/>
        <v>PENS6CPF - Pensão - Farmácia e Saúde</v>
      </c>
      <c r="P221" s="37" t="str">
        <f t="shared" si="56"/>
        <v>MCSPENS6CPF - Pensão - Farmácia e Saúde</v>
      </c>
      <c r="Q221" s="37" t="str">
        <f t="shared" si="57"/>
        <v>MCSPENS6</v>
      </c>
      <c r="R221" s="37" t="str">
        <f t="shared" si="58"/>
        <v>MCSPENS6</v>
      </c>
      <c r="S221" s="31"/>
      <c r="T221" s="185">
        <f t="shared" si="59"/>
        <v>46054</v>
      </c>
      <c r="U221" s="181">
        <v>219</v>
      </c>
    </row>
    <row r="222" spans="2:21" s="181" customFormat="1" x14ac:dyDescent="0.25">
      <c r="B222" s="182" t="s">
        <v>25</v>
      </c>
      <c r="C222" s="183"/>
      <c r="D222" s="54" t="str">
        <f>INDEX(Cad_Natureza!$B$3:$C$52,MATCH('2026'!F222,Cad_Natureza!$C$3:$C$52,0),MATCH('2026'!D$2,Cad_Natureza!$B$3:$C$3,0))</f>
        <v>OPF2</v>
      </c>
      <c r="E222" s="52" t="str">
        <f t="shared" si="51"/>
        <v>Despesa 220</v>
      </c>
      <c r="F222" s="53" t="s">
        <v>64</v>
      </c>
      <c r="G222" s="54" t="s">
        <v>25</v>
      </c>
      <c r="H222" s="55">
        <v>46080</v>
      </c>
      <c r="I222" s="55"/>
      <c r="J222" s="50" t="str">
        <f t="shared" si="52"/>
        <v>Observação da despesa 220</v>
      </c>
      <c r="K222" s="43">
        <v>-80</v>
      </c>
      <c r="L222" s="43">
        <f t="shared" si="53"/>
        <v>280.99000000000024</v>
      </c>
      <c r="M222" s="183"/>
      <c r="N222" s="37" t="str">
        <f t="shared" si="54"/>
        <v>MCSOPF2CPF - Desp. Transporte / Combustível</v>
      </c>
      <c r="O222" s="37" t="str">
        <f t="shared" si="55"/>
        <v>OPF2CPF - Desp. Transporte / Combustível</v>
      </c>
      <c r="P222" s="37" t="str">
        <f t="shared" si="56"/>
        <v>MCSOPF2CPF - Desp. Transporte / Combustível</v>
      </c>
      <c r="Q222" s="37" t="str">
        <f t="shared" si="57"/>
        <v>MCSOPF2</v>
      </c>
      <c r="R222" s="37" t="str">
        <f t="shared" si="58"/>
        <v>MCSOPF2</v>
      </c>
      <c r="S222" s="31"/>
      <c r="T222" s="185">
        <f t="shared" si="59"/>
        <v>46054</v>
      </c>
      <c r="U222" s="181">
        <v>220</v>
      </c>
    </row>
    <row r="223" spans="2:21" s="181" customFormat="1" x14ac:dyDescent="0.25">
      <c r="B223" s="182" t="s">
        <v>25</v>
      </c>
      <c r="C223" s="183"/>
      <c r="D223" s="54" t="str">
        <f>INDEX(Cad_Natureza!$B$3:$C$52,MATCH('2026'!F223,Cad_Natureza!$C$3:$C$52,0),MATCH('2026'!D$2,Cad_Natureza!$B$3:$C$3,0))</f>
        <v>OPF1</v>
      </c>
      <c r="E223" s="52" t="str">
        <f t="shared" si="51"/>
        <v>Despesa 221</v>
      </c>
      <c r="F223" s="53" t="s">
        <v>67</v>
      </c>
      <c r="G223" s="54" t="s">
        <v>25</v>
      </c>
      <c r="H223" s="55">
        <v>46080</v>
      </c>
      <c r="I223" s="55"/>
      <c r="J223" s="50" t="str">
        <f t="shared" si="52"/>
        <v>Observação da despesa 221</v>
      </c>
      <c r="K223" s="43">
        <v>-22</v>
      </c>
      <c r="L223" s="43">
        <f t="shared" si="53"/>
        <v>258.99000000000024</v>
      </c>
      <c r="M223" s="183"/>
      <c r="N223" s="37" t="str">
        <f t="shared" si="54"/>
        <v>MCSOPF1CPF - Desp. Alimentação / Refeição</v>
      </c>
      <c r="O223" s="37" t="str">
        <f t="shared" si="55"/>
        <v>OPF1CPF - Desp. Alimentação / Refeição</v>
      </c>
      <c r="P223" s="37" t="str">
        <f t="shared" si="56"/>
        <v>MCSOPF1CPF - Desp. Alimentação / Refeição</v>
      </c>
      <c r="Q223" s="37" t="str">
        <f t="shared" si="57"/>
        <v>MCSOPF1</v>
      </c>
      <c r="R223" s="37" t="str">
        <f t="shared" si="58"/>
        <v>MCSOPF1</v>
      </c>
      <c r="S223" s="31"/>
      <c r="T223" s="185">
        <f t="shared" si="59"/>
        <v>46054</v>
      </c>
      <c r="U223" s="181">
        <v>221</v>
      </c>
    </row>
    <row r="224" spans="2:21" s="181" customFormat="1" x14ac:dyDescent="0.25">
      <c r="B224" s="182" t="s">
        <v>25</v>
      </c>
      <c r="C224" s="183"/>
      <c r="D224" s="54" t="str">
        <f>INDEX(Cad_Natureza!$B$3:$C$52,MATCH('2026'!F224,Cad_Natureza!$C$3:$C$52,0),MATCH('2026'!D$2,Cad_Natureza!$B$3:$C$3,0))</f>
        <v>GAST1</v>
      </c>
      <c r="E224" s="52" t="str">
        <f t="shared" si="51"/>
        <v>Despesa 222</v>
      </c>
      <c r="F224" s="53" t="s">
        <v>65</v>
      </c>
      <c r="G224" s="54" t="s">
        <v>25</v>
      </c>
      <c r="H224" s="55">
        <v>46083</v>
      </c>
      <c r="I224" s="55"/>
      <c r="J224" s="50" t="str">
        <f t="shared" si="52"/>
        <v>Observação da despesa 222</v>
      </c>
      <c r="K224" s="43">
        <v>-20</v>
      </c>
      <c r="L224" s="43">
        <f t="shared" si="53"/>
        <v>238.99000000000024</v>
      </c>
      <c r="M224" s="183"/>
      <c r="N224" s="37" t="str">
        <f t="shared" si="54"/>
        <v>MCSGAST1CPF - Desp. Lazer e Entretenimento - Bares</v>
      </c>
      <c r="O224" s="37" t="str">
        <f t="shared" si="55"/>
        <v>GAST1CPF - Desp. Lazer e Entretenimento - Bares</v>
      </c>
      <c r="P224" s="37" t="str">
        <f t="shared" si="56"/>
        <v>MCSGAST1CPF - Desp. Lazer e Entretenimento - Bares</v>
      </c>
      <c r="Q224" s="37" t="str">
        <f t="shared" si="57"/>
        <v>MCSGAST1</v>
      </c>
      <c r="R224" s="37" t="str">
        <f t="shared" si="58"/>
        <v>MCSGAST1</v>
      </c>
      <c r="S224" s="31"/>
      <c r="T224" s="185">
        <f t="shared" si="59"/>
        <v>46082</v>
      </c>
      <c r="U224" s="181">
        <v>222</v>
      </c>
    </row>
    <row r="225" spans="2:21" s="177" customFormat="1" x14ac:dyDescent="0.25">
      <c r="B225" s="174" t="s">
        <v>25</v>
      </c>
      <c r="C225" s="51"/>
      <c r="D225" s="44" t="str">
        <f>INDEX(Cad_Natureza!$B$3:$C$52,MATCH('2026'!F225,Cad_Natureza!$C$3:$C$52,0),MATCH('2026'!D$2,Cad_Natureza!$B$3:$C$3,0))</f>
        <v>REC5</v>
      </c>
      <c r="E225" s="45" t="str">
        <f t="shared" si="51"/>
        <v>Receita 223</v>
      </c>
      <c r="F225" s="46" t="s">
        <v>63</v>
      </c>
      <c r="G225" s="44" t="s">
        <v>25</v>
      </c>
      <c r="H225" s="47">
        <v>46083</v>
      </c>
      <c r="I225" s="47"/>
      <c r="J225" s="48" t="str">
        <f t="shared" si="52"/>
        <v>Observação da receita 223</v>
      </c>
      <c r="K225" s="49">
        <v>56</v>
      </c>
      <c r="L225" s="49">
        <f t="shared" si="53"/>
        <v>294.99000000000024</v>
      </c>
      <c r="M225" s="51"/>
      <c r="N225" s="37" t="str">
        <f t="shared" si="54"/>
        <v>MCSREC5CPF - Outras receitas</v>
      </c>
      <c r="O225" s="37" t="str">
        <f t="shared" si="55"/>
        <v>REC5CPF - Outras receitas</v>
      </c>
      <c r="P225" s="37" t="str">
        <f t="shared" si="56"/>
        <v>MCSREC5CPF - Outras receitas</v>
      </c>
      <c r="Q225" s="37" t="str">
        <f t="shared" si="57"/>
        <v>MCSREC5</v>
      </c>
      <c r="R225" s="37" t="str">
        <f t="shared" si="58"/>
        <v>MCSREC5</v>
      </c>
      <c r="S225" s="31"/>
      <c r="T225" s="176">
        <f t="shared" si="59"/>
        <v>46082</v>
      </c>
      <c r="U225" s="181">
        <v>223</v>
      </c>
    </row>
    <row r="226" spans="2:21" s="181" customFormat="1" x14ac:dyDescent="0.25">
      <c r="B226" s="182" t="s">
        <v>25</v>
      </c>
      <c r="C226" s="183"/>
      <c r="D226" s="54" t="str">
        <f>INDEX(Cad_Natureza!$B$3:$C$52,MATCH('2026'!F226,Cad_Natureza!$C$3:$C$52,0),MATCH('2026'!D$2,Cad_Natureza!$B$3:$C$3,0))</f>
        <v>GAST1</v>
      </c>
      <c r="E226" s="52" t="str">
        <f t="shared" si="51"/>
        <v>Despesa 224</v>
      </c>
      <c r="F226" s="53" t="s">
        <v>65</v>
      </c>
      <c r="G226" s="54" t="s">
        <v>25</v>
      </c>
      <c r="H226" s="55">
        <v>46083</v>
      </c>
      <c r="I226" s="55"/>
      <c r="J226" s="50" t="str">
        <f t="shared" si="52"/>
        <v>Observação da despesa 224</v>
      </c>
      <c r="K226" s="43">
        <v>-20</v>
      </c>
      <c r="L226" s="43">
        <f t="shared" si="53"/>
        <v>274.99000000000024</v>
      </c>
      <c r="M226" s="183"/>
      <c r="N226" s="37" t="str">
        <f t="shared" si="54"/>
        <v>MCSGAST1CPF - Desp. Lazer e Entretenimento - Bares</v>
      </c>
      <c r="O226" s="37" t="str">
        <f t="shared" si="55"/>
        <v>GAST1CPF - Desp. Lazer e Entretenimento - Bares</v>
      </c>
      <c r="P226" s="37" t="str">
        <f t="shared" si="56"/>
        <v>MCSGAST1CPF - Desp. Lazer e Entretenimento - Bares</v>
      </c>
      <c r="Q226" s="37" t="str">
        <f t="shared" si="57"/>
        <v>MCSGAST1</v>
      </c>
      <c r="R226" s="37" t="str">
        <f t="shared" si="58"/>
        <v>MCSGAST1</v>
      </c>
      <c r="S226" s="31"/>
      <c r="T226" s="185">
        <f t="shared" si="59"/>
        <v>46082</v>
      </c>
      <c r="U226" s="181">
        <v>224</v>
      </c>
    </row>
    <row r="227" spans="2:21" s="181" customFormat="1" x14ac:dyDescent="0.25">
      <c r="B227" s="182" t="s">
        <v>25</v>
      </c>
      <c r="C227" s="183"/>
      <c r="D227" s="54" t="str">
        <f>INDEX(Cad_Natureza!$B$3:$C$52,MATCH('2026'!F227,Cad_Natureza!$C$3:$C$52,0),MATCH('2026'!D$2,Cad_Natureza!$B$3:$C$3,0))</f>
        <v>DESP1</v>
      </c>
      <c r="E227" s="52" t="str">
        <f t="shared" si="51"/>
        <v>Despesa 225</v>
      </c>
      <c r="F227" s="53" t="s">
        <v>56</v>
      </c>
      <c r="G227" s="54" t="s">
        <v>25</v>
      </c>
      <c r="H227" s="55">
        <v>46083</v>
      </c>
      <c r="I227" s="55"/>
      <c r="J227" s="50" t="str">
        <f t="shared" si="52"/>
        <v>Observação da despesa 225</v>
      </c>
      <c r="K227" s="43">
        <v>-5.9</v>
      </c>
      <c r="L227" s="43">
        <f t="shared" si="53"/>
        <v>269.09000000000026</v>
      </c>
      <c r="M227" s="183"/>
      <c r="N227" s="37" t="str">
        <f t="shared" si="54"/>
        <v>MCSDESP1CPF - Desp. Cartão de crédito</v>
      </c>
      <c r="O227" s="37" t="str">
        <f t="shared" si="55"/>
        <v>DESP1CPF - Desp. Cartão de crédito</v>
      </c>
      <c r="P227" s="37" t="str">
        <f t="shared" si="56"/>
        <v>MCSDESP1CPF - Desp. Cartão de crédito</v>
      </c>
      <c r="Q227" s="37" t="str">
        <f t="shared" si="57"/>
        <v>MCSDESP1</v>
      </c>
      <c r="R227" s="37" t="str">
        <f t="shared" si="58"/>
        <v>MCSDESP1</v>
      </c>
      <c r="S227" s="31"/>
      <c r="T227" s="185">
        <f t="shared" si="59"/>
        <v>46082</v>
      </c>
      <c r="U227" s="181">
        <v>225</v>
      </c>
    </row>
    <row r="228" spans="2:21" s="181" customFormat="1" x14ac:dyDescent="0.25">
      <c r="B228" s="182" t="s">
        <v>25</v>
      </c>
      <c r="C228" s="183"/>
      <c r="D228" s="54" t="str">
        <f>INDEX(Cad_Natureza!$B$3:$C$52,MATCH('2026'!F228,Cad_Natureza!$C$3:$C$52,0),MATCH('2026'!D$2,Cad_Natureza!$B$3:$C$3,0))</f>
        <v>DESP2</v>
      </c>
      <c r="E228" s="52" t="str">
        <f t="shared" si="51"/>
        <v>Despesa 226</v>
      </c>
      <c r="F228" s="53" t="s">
        <v>62</v>
      </c>
      <c r="G228" s="54" t="s">
        <v>25</v>
      </c>
      <c r="H228" s="55">
        <v>46083</v>
      </c>
      <c r="I228" s="55"/>
      <c r="J228" s="50" t="str">
        <f t="shared" si="52"/>
        <v>Observação da despesa 226</v>
      </c>
      <c r="K228" s="43">
        <v>-91.81</v>
      </c>
      <c r="L228" s="43">
        <f t="shared" si="53"/>
        <v>177.28000000000026</v>
      </c>
      <c r="M228" s="183"/>
      <c r="N228" s="37" t="str">
        <f t="shared" si="54"/>
        <v>MCSDESP2CPF - Desp. Telefone / Internet</v>
      </c>
      <c r="O228" s="37" t="str">
        <f t="shared" si="55"/>
        <v>DESP2CPF - Desp. Telefone / Internet</v>
      </c>
      <c r="P228" s="37" t="str">
        <f t="shared" si="56"/>
        <v>MCSDESP2CPF - Desp. Telefone / Internet</v>
      </c>
      <c r="Q228" s="37" t="str">
        <f t="shared" si="57"/>
        <v>MCSDESP2</v>
      </c>
      <c r="R228" s="37" t="str">
        <f t="shared" si="58"/>
        <v>MCSDESP2</v>
      </c>
      <c r="S228" s="31"/>
      <c r="T228" s="185">
        <f t="shared" si="59"/>
        <v>46082</v>
      </c>
      <c r="U228" s="181">
        <v>226</v>
      </c>
    </row>
    <row r="229" spans="2:21" s="181" customFormat="1" x14ac:dyDescent="0.25">
      <c r="B229" s="182" t="s">
        <v>25</v>
      </c>
      <c r="C229" s="183"/>
      <c r="D229" s="54" t="str">
        <f>INDEX(Cad_Natureza!$B$3:$C$52,MATCH('2026'!F229,Cad_Natureza!$C$3:$C$52,0),MATCH('2026'!D$2,Cad_Natureza!$B$3:$C$3,0))</f>
        <v>DESP2</v>
      </c>
      <c r="E229" s="52" t="str">
        <f t="shared" si="51"/>
        <v>Despesa 227</v>
      </c>
      <c r="F229" s="53" t="s">
        <v>62</v>
      </c>
      <c r="G229" s="54" t="s">
        <v>25</v>
      </c>
      <c r="H229" s="55">
        <v>46083</v>
      </c>
      <c r="I229" s="55"/>
      <c r="J229" s="50" t="str">
        <f t="shared" si="52"/>
        <v>Observação da despesa 227</v>
      </c>
      <c r="K229" s="43">
        <v>-78.75</v>
      </c>
      <c r="L229" s="43">
        <f t="shared" si="53"/>
        <v>98.530000000000257</v>
      </c>
      <c r="M229" s="183"/>
      <c r="N229" s="37" t="str">
        <f t="shared" si="54"/>
        <v>MCSDESP2CPF - Desp. Telefone / Internet</v>
      </c>
      <c r="O229" s="37" t="str">
        <f t="shared" si="55"/>
        <v>DESP2CPF - Desp. Telefone / Internet</v>
      </c>
      <c r="P229" s="37" t="str">
        <f t="shared" si="56"/>
        <v>MCSDESP2CPF - Desp. Telefone / Internet</v>
      </c>
      <c r="Q229" s="37" t="str">
        <f t="shared" si="57"/>
        <v>MCSDESP2</v>
      </c>
      <c r="R229" s="37" t="str">
        <f t="shared" si="58"/>
        <v>MCSDESP2</v>
      </c>
      <c r="S229" s="31"/>
      <c r="T229" s="185">
        <f t="shared" si="59"/>
        <v>46082</v>
      </c>
      <c r="U229" s="181">
        <v>227</v>
      </c>
    </row>
    <row r="230" spans="2:21" s="181" customFormat="1" x14ac:dyDescent="0.25">
      <c r="B230" s="182" t="s">
        <v>25</v>
      </c>
      <c r="C230" s="183"/>
      <c r="D230" s="54" t="str">
        <f>INDEX(Cad_Natureza!$B$3:$C$52,MATCH('2026'!F230,Cad_Natureza!$C$3:$C$52,0),MATCH('2026'!D$2,Cad_Natureza!$B$3:$C$3,0))</f>
        <v>DESP2</v>
      </c>
      <c r="E230" s="52" t="str">
        <f t="shared" si="51"/>
        <v>Despesa 228</v>
      </c>
      <c r="F230" s="53" t="s">
        <v>62</v>
      </c>
      <c r="G230" s="54" t="s">
        <v>25</v>
      </c>
      <c r="H230" s="55">
        <v>46083</v>
      </c>
      <c r="I230" s="55"/>
      <c r="J230" s="50" t="str">
        <f t="shared" si="52"/>
        <v>Observação da despesa 228</v>
      </c>
      <c r="K230" s="43">
        <v>-60.72</v>
      </c>
      <c r="L230" s="43">
        <f t="shared" si="53"/>
        <v>37.810000000000258</v>
      </c>
      <c r="M230" s="183"/>
      <c r="N230" s="37" t="str">
        <f t="shared" si="0"/>
        <v>MCSDESP2CPF - Desp. Telefone / Internet</v>
      </c>
      <c r="O230" s="37" t="str">
        <f t="shared" si="1"/>
        <v>DESP2CPF - Desp. Telefone / Internet</v>
      </c>
      <c r="P230" s="37" t="str">
        <f t="shared" si="2"/>
        <v>MCSDESP2CPF - Desp. Telefone / Internet</v>
      </c>
      <c r="Q230" s="37" t="str">
        <f t="shared" si="3"/>
        <v>MCSDESP2</v>
      </c>
      <c r="R230" s="37" t="str">
        <f t="shared" si="4"/>
        <v>MCSDESP2</v>
      </c>
      <c r="S230" s="31"/>
      <c r="T230" s="185">
        <f t="shared" si="5"/>
        <v>46082</v>
      </c>
      <c r="U230" s="181">
        <v>228</v>
      </c>
    </row>
    <row r="231" spans="2:21" s="181" customFormat="1" x14ac:dyDescent="0.25">
      <c r="B231" s="182" t="s">
        <v>25</v>
      </c>
      <c r="C231" s="183"/>
      <c r="D231" s="54" t="str">
        <f>INDEX(Cad_Natureza!$B$3:$C$52,MATCH('2026'!F231,Cad_Natureza!$C$3:$C$52,0),MATCH('2026'!D$2,Cad_Natureza!$B$3:$C$3,0))</f>
        <v>GAST1</v>
      </c>
      <c r="E231" s="52" t="str">
        <f t="shared" si="51"/>
        <v>Despesa 229</v>
      </c>
      <c r="F231" s="53" t="s">
        <v>65</v>
      </c>
      <c r="G231" s="54" t="s">
        <v>25</v>
      </c>
      <c r="H231" s="55">
        <v>46083</v>
      </c>
      <c r="I231" s="55"/>
      <c r="J231" s="50" t="str">
        <f t="shared" si="52"/>
        <v>Observação da despesa 229</v>
      </c>
      <c r="K231" s="43">
        <v>-30.94</v>
      </c>
      <c r="L231" s="43">
        <f t="shared" si="53"/>
        <v>6.8700000000002568</v>
      </c>
      <c r="M231" s="183"/>
      <c r="N231" s="37" t="str">
        <f t="shared" si="0"/>
        <v>MCSGAST1CPF - Desp. Lazer e Entretenimento - Bares</v>
      </c>
      <c r="O231" s="37" t="str">
        <f t="shared" si="1"/>
        <v>GAST1CPF - Desp. Lazer e Entretenimento - Bares</v>
      </c>
      <c r="P231" s="37" t="str">
        <f t="shared" si="2"/>
        <v>MCSGAST1CPF - Desp. Lazer e Entretenimento - Bares</v>
      </c>
      <c r="Q231" s="37" t="str">
        <f t="shared" si="3"/>
        <v>MCSGAST1</v>
      </c>
      <c r="R231" s="37" t="str">
        <f t="shared" si="4"/>
        <v>MCSGAST1</v>
      </c>
      <c r="S231" s="31"/>
      <c r="T231" s="185">
        <f t="shared" si="5"/>
        <v>46082</v>
      </c>
      <c r="U231" s="181">
        <v>229</v>
      </c>
    </row>
    <row r="232" spans="2:21" s="177" customFormat="1" x14ac:dyDescent="0.25">
      <c r="B232" s="174" t="s">
        <v>25</v>
      </c>
      <c r="C232" s="51"/>
      <c r="D232" s="44" t="str">
        <f>INDEX(Cad_Natureza!$B$3:$C$52,MATCH('2026'!F232,Cad_Natureza!$C$3:$C$52,0),MATCH('2026'!D$2,Cad_Natureza!$B$3:$C$3,0))</f>
        <v>REC4</v>
      </c>
      <c r="E232" s="45" t="str">
        <f t="shared" si="51"/>
        <v>Receita 230</v>
      </c>
      <c r="F232" s="46" t="s">
        <v>57</v>
      </c>
      <c r="G232" s="44" t="s">
        <v>25</v>
      </c>
      <c r="H232" s="47">
        <v>46083</v>
      </c>
      <c r="I232" s="47"/>
      <c r="J232" s="48" t="str">
        <f t="shared" si="52"/>
        <v>Observação da receita 230</v>
      </c>
      <c r="K232" s="49">
        <v>40</v>
      </c>
      <c r="L232" s="49">
        <f t="shared" si="53"/>
        <v>46.87000000000026</v>
      </c>
      <c r="M232" s="51"/>
      <c r="N232" s="37" t="str">
        <f t="shared" si="0"/>
        <v>MCSREC4CPF - Transf. Da conta PJ para a conta PF</v>
      </c>
      <c r="O232" s="37" t="str">
        <f t="shared" si="1"/>
        <v>REC4CPF - Transf. Da conta PJ para a conta PF</v>
      </c>
      <c r="P232" s="37" t="str">
        <f t="shared" si="2"/>
        <v>MCSREC4CPF - Transf. Da conta PJ para a conta PF</v>
      </c>
      <c r="Q232" s="37" t="str">
        <f t="shared" si="3"/>
        <v>MCSREC4</v>
      </c>
      <c r="R232" s="37" t="str">
        <f t="shared" si="4"/>
        <v>MCSREC4</v>
      </c>
      <c r="S232" s="31"/>
      <c r="T232" s="176">
        <f t="shared" si="5"/>
        <v>46082</v>
      </c>
      <c r="U232" s="181">
        <v>230</v>
      </c>
    </row>
    <row r="233" spans="2:21" s="181" customFormat="1" x14ac:dyDescent="0.25">
      <c r="B233" s="182" t="s">
        <v>25</v>
      </c>
      <c r="C233" s="183"/>
      <c r="D233" s="54" t="str">
        <f>INDEX(Cad_Natureza!$B$3:$C$52,MATCH('2026'!F233,Cad_Natureza!$C$3:$C$52,0),MATCH('2026'!D$2,Cad_Natureza!$B$3:$C$3,0))</f>
        <v>FIN2</v>
      </c>
      <c r="E233" s="52" t="str">
        <f t="shared" si="51"/>
        <v>Despesa 231</v>
      </c>
      <c r="F233" s="53" t="s">
        <v>72</v>
      </c>
      <c r="G233" s="54" t="s">
        <v>25</v>
      </c>
      <c r="H233" s="55">
        <v>46084</v>
      </c>
      <c r="I233" s="55"/>
      <c r="J233" s="50" t="str">
        <f t="shared" si="52"/>
        <v>Observação da despesa 231</v>
      </c>
      <c r="K233" s="43">
        <v>-28</v>
      </c>
      <c r="L233" s="43">
        <f t="shared" si="53"/>
        <v>18.87000000000026</v>
      </c>
      <c r="M233" s="183"/>
      <c r="N233" s="37" t="str">
        <f t="shared" ref="N233:N400" si="60">B233&amp;D233&amp;F233</f>
        <v>MCSFIN2CPF - Desp. Financeiras - Juros / Tarifas</v>
      </c>
      <c r="O233" s="37" t="str">
        <f t="shared" ref="O233:O400" si="61">D233&amp;F233</f>
        <v>FIN2CPF - Desp. Financeiras - Juros / Tarifas</v>
      </c>
      <c r="P233" s="37" t="str">
        <f t="shared" ref="P233:P400" si="62">"MCS"&amp;D233&amp;F233</f>
        <v>MCSFIN2CPF - Desp. Financeiras - Juros / Tarifas</v>
      </c>
      <c r="Q233" s="37" t="str">
        <f t="shared" ref="Q233:Q400" si="63">"MCS"&amp;D233</f>
        <v>MCSFIN2</v>
      </c>
      <c r="R233" s="37" t="str">
        <f t="shared" ref="R233:R400" si="64">B233&amp;D233</f>
        <v>MCSFIN2</v>
      </c>
      <c r="S233" s="31"/>
      <c r="T233" s="185">
        <f t="shared" ref="T233:T400" si="65">(1&amp;"/"&amp;MONTH(H233)&amp;"/"&amp;YEAR(H233))*1</f>
        <v>46082</v>
      </c>
      <c r="U233" s="181">
        <v>231</v>
      </c>
    </row>
    <row r="234" spans="2:21" s="177" customFormat="1" x14ac:dyDescent="0.25">
      <c r="B234" s="174" t="s">
        <v>25</v>
      </c>
      <c r="C234" s="51"/>
      <c r="D234" s="44" t="str">
        <f>INDEX(Cad_Natureza!$B$3:$C$52,MATCH('2026'!F234,Cad_Natureza!$C$3:$C$52,0),MATCH('2026'!D$2,Cad_Natureza!$B$3:$C$3,0))</f>
        <v>REC4</v>
      </c>
      <c r="E234" s="45" t="str">
        <f t="shared" si="51"/>
        <v>Receita 232</v>
      </c>
      <c r="F234" s="46" t="s">
        <v>57</v>
      </c>
      <c r="G234" s="44" t="s">
        <v>25</v>
      </c>
      <c r="H234" s="47">
        <v>46087</v>
      </c>
      <c r="I234" s="47"/>
      <c r="J234" s="48" t="str">
        <f t="shared" si="52"/>
        <v>Observação da receita 232</v>
      </c>
      <c r="K234" s="49">
        <v>2000</v>
      </c>
      <c r="L234" s="49">
        <f t="shared" si="53"/>
        <v>2018.8700000000003</v>
      </c>
      <c r="M234" s="51"/>
      <c r="N234" s="37" t="str">
        <f t="shared" si="60"/>
        <v>MCSREC4CPF - Transf. Da conta PJ para a conta PF</v>
      </c>
      <c r="O234" s="37" t="str">
        <f t="shared" si="61"/>
        <v>REC4CPF - Transf. Da conta PJ para a conta PF</v>
      </c>
      <c r="P234" s="37" t="str">
        <f t="shared" si="62"/>
        <v>MCSREC4CPF - Transf. Da conta PJ para a conta PF</v>
      </c>
      <c r="Q234" s="37" t="str">
        <f t="shared" si="63"/>
        <v>MCSREC4</v>
      </c>
      <c r="R234" s="37" t="str">
        <f t="shared" si="64"/>
        <v>MCSREC4</v>
      </c>
      <c r="S234" s="31"/>
      <c r="T234" s="176">
        <f t="shared" si="65"/>
        <v>46082</v>
      </c>
      <c r="U234" s="181">
        <v>232</v>
      </c>
    </row>
    <row r="235" spans="2:21" s="181" customFormat="1" x14ac:dyDescent="0.25">
      <c r="B235" s="182" t="s">
        <v>25</v>
      </c>
      <c r="C235" s="183"/>
      <c r="D235" s="54" t="str">
        <f>INDEX(Cad_Natureza!$B$3:$C$52,MATCH('2026'!F235,Cad_Natureza!$C$3:$C$52,0),MATCH('2026'!D$2,Cad_Natureza!$B$3:$C$3,0))</f>
        <v>PENS3</v>
      </c>
      <c r="E235" s="52" t="str">
        <f t="shared" si="51"/>
        <v>Despesa 233</v>
      </c>
      <c r="F235" s="53" t="s">
        <v>69</v>
      </c>
      <c r="G235" s="54" t="s">
        <v>25</v>
      </c>
      <c r="H235" s="55">
        <v>46090</v>
      </c>
      <c r="I235" s="55"/>
      <c r="J235" s="50" t="str">
        <f t="shared" si="52"/>
        <v>Observação da despesa 233</v>
      </c>
      <c r="K235" s="43">
        <v>-507.72</v>
      </c>
      <c r="L235" s="43">
        <f t="shared" si="53"/>
        <v>1511.1500000000003</v>
      </c>
      <c r="M235" s="183"/>
      <c r="N235" s="37" t="str">
        <f t="shared" si="60"/>
        <v>MCSPENS3CPF - Pensão - Plano de saúde</v>
      </c>
      <c r="O235" s="37" t="str">
        <f t="shared" si="61"/>
        <v>PENS3CPF - Pensão - Plano de saúde</v>
      </c>
      <c r="P235" s="37" t="str">
        <f t="shared" si="62"/>
        <v>MCSPENS3CPF - Pensão - Plano de saúde</v>
      </c>
      <c r="Q235" s="37" t="str">
        <f t="shared" si="63"/>
        <v>MCSPENS3</v>
      </c>
      <c r="R235" s="37" t="str">
        <f t="shared" si="64"/>
        <v>MCSPENS3</v>
      </c>
      <c r="S235" s="31"/>
      <c r="T235" s="185">
        <f t="shared" si="65"/>
        <v>46082</v>
      </c>
      <c r="U235" s="181">
        <v>233</v>
      </c>
    </row>
    <row r="236" spans="2:21" s="181" customFormat="1" x14ac:dyDescent="0.25">
      <c r="B236" s="182" t="s">
        <v>25</v>
      </c>
      <c r="C236" s="183"/>
      <c r="D236" s="54" t="str">
        <f>INDEX(Cad_Natureza!$B$3:$C$52,MATCH('2026'!F236,Cad_Natureza!$C$3:$C$52,0),MATCH('2026'!D$2,Cad_Natureza!$B$3:$C$3,0))</f>
        <v>PENS1</v>
      </c>
      <c r="E236" s="52" t="str">
        <f t="shared" si="51"/>
        <v>Despesa 234</v>
      </c>
      <c r="F236" s="53" t="s">
        <v>40</v>
      </c>
      <c r="G236" s="54" t="s">
        <v>25</v>
      </c>
      <c r="H236" s="55">
        <v>46090</v>
      </c>
      <c r="I236" s="55"/>
      <c r="J236" s="50" t="str">
        <f t="shared" si="52"/>
        <v>Observação da despesa 234</v>
      </c>
      <c r="K236" s="43">
        <v>-700</v>
      </c>
      <c r="L236" s="43">
        <f t="shared" si="53"/>
        <v>811.15000000000032</v>
      </c>
      <c r="M236" s="183"/>
      <c r="N236" s="37" t="str">
        <f t="shared" si="60"/>
        <v>MCSPENS1CPF - Pensão - Aluguel</v>
      </c>
      <c r="O236" s="37" t="str">
        <f t="shared" si="61"/>
        <v>PENS1CPF - Pensão - Aluguel</v>
      </c>
      <c r="P236" s="37" t="str">
        <f t="shared" si="62"/>
        <v>MCSPENS1CPF - Pensão - Aluguel</v>
      </c>
      <c r="Q236" s="37" t="str">
        <f t="shared" si="63"/>
        <v>MCSPENS1</v>
      </c>
      <c r="R236" s="37" t="str">
        <f t="shared" si="64"/>
        <v>MCSPENS1</v>
      </c>
      <c r="S236" s="31"/>
      <c r="T236" s="185">
        <f t="shared" si="65"/>
        <v>46082</v>
      </c>
      <c r="U236" s="181">
        <v>234</v>
      </c>
    </row>
    <row r="237" spans="2:21" s="177" customFormat="1" x14ac:dyDescent="0.25">
      <c r="B237" s="174" t="s">
        <v>25</v>
      </c>
      <c r="C237" s="51"/>
      <c r="D237" s="44" t="str">
        <f>INDEX(Cad_Natureza!$B$3:$C$52,MATCH('2026'!F237,Cad_Natureza!$C$3:$C$52,0),MATCH('2026'!D$2,Cad_Natureza!$B$3:$C$3,0))</f>
        <v>REC4</v>
      </c>
      <c r="E237" s="45" t="str">
        <f t="shared" si="51"/>
        <v>Receita 235</v>
      </c>
      <c r="F237" s="46" t="s">
        <v>57</v>
      </c>
      <c r="G237" s="44" t="s">
        <v>25</v>
      </c>
      <c r="H237" s="47">
        <v>46090</v>
      </c>
      <c r="I237" s="47"/>
      <c r="J237" s="48" t="str">
        <f t="shared" si="52"/>
        <v>Observação da receita 235</v>
      </c>
      <c r="K237" s="49">
        <v>3000</v>
      </c>
      <c r="L237" s="49">
        <f t="shared" si="53"/>
        <v>3811.1500000000005</v>
      </c>
      <c r="M237" s="51"/>
      <c r="N237" s="37" t="str">
        <f t="shared" si="60"/>
        <v>MCSREC4CPF - Transf. Da conta PJ para a conta PF</v>
      </c>
      <c r="O237" s="37" t="str">
        <f t="shared" si="61"/>
        <v>REC4CPF - Transf. Da conta PJ para a conta PF</v>
      </c>
      <c r="P237" s="37" t="str">
        <f t="shared" si="62"/>
        <v>MCSREC4CPF - Transf. Da conta PJ para a conta PF</v>
      </c>
      <c r="Q237" s="37" t="str">
        <f t="shared" si="63"/>
        <v>MCSREC4</v>
      </c>
      <c r="R237" s="37" t="str">
        <f t="shared" si="64"/>
        <v>MCSREC4</v>
      </c>
      <c r="S237" s="31"/>
      <c r="T237" s="176">
        <f t="shared" si="65"/>
        <v>46082</v>
      </c>
      <c r="U237" s="181">
        <v>235</v>
      </c>
    </row>
    <row r="238" spans="2:21" s="181" customFormat="1" x14ac:dyDescent="0.25">
      <c r="B238" s="182" t="s">
        <v>25</v>
      </c>
      <c r="C238" s="183"/>
      <c r="D238" s="54" t="str">
        <f>INDEX(Cad_Natureza!$B$3:$C$52,MATCH('2026'!F238,Cad_Natureza!$C$3:$C$52,0),MATCH('2026'!D$2,Cad_Natureza!$B$3:$C$3,0))</f>
        <v>PENS2</v>
      </c>
      <c r="E238" s="52" t="str">
        <f t="shared" si="51"/>
        <v>Despesa 236</v>
      </c>
      <c r="F238" s="53" t="s">
        <v>38</v>
      </c>
      <c r="G238" s="54" t="s">
        <v>25</v>
      </c>
      <c r="H238" s="55">
        <v>46090</v>
      </c>
      <c r="I238" s="55"/>
      <c r="J238" s="50" t="str">
        <f t="shared" si="52"/>
        <v>Observação da despesa 236</v>
      </c>
      <c r="K238" s="43">
        <v>-819.4</v>
      </c>
      <c r="L238" s="43">
        <f t="shared" si="53"/>
        <v>2991.7500000000005</v>
      </c>
      <c r="M238" s="183"/>
      <c r="N238" s="37" t="str">
        <f t="shared" si="60"/>
        <v>MCSPENS2CPF - Pensão - Energia</v>
      </c>
      <c r="O238" s="37" t="str">
        <f t="shared" si="61"/>
        <v>PENS2CPF - Pensão - Energia</v>
      </c>
      <c r="P238" s="37" t="str">
        <f t="shared" si="62"/>
        <v>MCSPENS2CPF - Pensão - Energia</v>
      </c>
      <c r="Q238" s="37" t="str">
        <f t="shared" si="63"/>
        <v>MCSPENS2</v>
      </c>
      <c r="R238" s="37" t="str">
        <f t="shared" si="64"/>
        <v>MCSPENS2</v>
      </c>
      <c r="S238" s="31"/>
      <c r="T238" s="185">
        <f t="shared" si="65"/>
        <v>46082</v>
      </c>
      <c r="U238" s="181">
        <v>236</v>
      </c>
    </row>
    <row r="239" spans="2:21" s="181" customFormat="1" x14ac:dyDescent="0.25">
      <c r="B239" s="182" t="s">
        <v>25</v>
      </c>
      <c r="C239" s="183"/>
      <c r="D239" s="54" t="str">
        <f>INDEX(Cad_Natureza!$B$3:$C$52,MATCH('2026'!F239,Cad_Natureza!$C$3:$C$52,0),MATCH('2026'!D$2,Cad_Natureza!$B$3:$C$3,0))</f>
        <v>DESP2</v>
      </c>
      <c r="E239" s="52" t="str">
        <f t="shared" si="51"/>
        <v>Despesa 237</v>
      </c>
      <c r="F239" s="53" t="s">
        <v>62</v>
      </c>
      <c r="G239" s="54" t="s">
        <v>25</v>
      </c>
      <c r="H239" s="55">
        <v>46090</v>
      </c>
      <c r="I239" s="55"/>
      <c r="J239" s="50" t="str">
        <f t="shared" si="52"/>
        <v>Observação da despesa 237</v>
      </c>
      <c r="K239" s="43">
        <v>-125.16</v>
      </c>
      <c r="L239" s="43">
        <f t="shared" si="53"/>
        <v>2866.5900000000006</v>
      </c>
      <c r="M239" s="183"/>
      <c r="N239" s="37" t="str">
        <f t="shared" si="60"/>
        <v>MCSDESP2CPF - Desp. Telefone / Internet</v>
      </c>
      <c r="O239" s="37" t="str">
        <f t="shared" si="61"/>
        <v>DESP2CPF - Desp. Telefone / Internet</v>
      </c>
      <c r="P239" s="37" t="str">
        <f t="shared" si="62"/>
        <v>MCSDESP2CPF - Desp. Telefone / Internet</v>
      </c>
      <c r="Q239" s="37" t="str">
        <f t="shared" si="63"/>
        <v>MCSDESP2</v>
      </c>
      <c r="R239" s="37" t="str">
        <f t="shared" si="64"/>
        <v>MCSDESP2</v>
      </c>
      <c r="S239" s="31"/>
      <c r="T239" s="185">
        <f t="shared" si="65"/>
        <v>46082</v>
      </c>
      <c r="U239" s="181">
        <v>237</v>
      </c>
    </row>
    <row r="240" spans="2:21" s="181" customFormat="1" x14ac:dyDescent="0.25">
      <c r="B240" s="182" t="s">
        <v>25</v>
      </c>
      <c r="C240" s="183"/>
      <c r="D240" s="54" t="str">
        <f>INDEX(Cad_Natureza!$B$3:$C$52,MATCH('2026'!F240,Cad_Natureza!$C$3:$C$52,0),MATCH('2026'!D$2,Cad_Natureza!$B$3:$C$3,0))</f>
        <v>OUG1</v>
      </c>
      <c r="E240" s="52" t="str">
        <f t="shared" si="51"/>
        <v>Despesa 238</v>
      </c>
      <c r="F240" s="53" t="s">
        <v>70</v>
      </c>
      <c r="G240" s="54" t="s">
        <v>25</v>
      </c>
      <c r="H240" s="55">
        <v>46090</v>
      </c>
      <c r="I240" s="55"/>
      <c r="J240" s="50" t="str">
        <f t="shared" si="52"/>
        <v>Observação da despesa 238</v>
      </c>
      <c r="K240" s="43">
        <v>-53.16</v>
      </c>
      <c r="L240" s="43">
        <f t="shared" si="53"/>
        <v>2813.4300000000007</v>
      </c>
      <c r="M240" s="183"/>
      <c r="N240" s="37" t="str">
        <f t="shared" si="60"/>
        <v>MCSOUG1CPF - Outros gastos</v>
      </c>
      <c r="O240" s="37" t="str">
        <f t="shared" si="61"/>
        <v>OUG1CPF - Outros gastos</v>
      </c>
      <c r="P240" s="37" t="str">
        <f t="shared" si="62"/>
        <v>MCSOUG1CPF - Outros gastos</v>
      </c>
      <c r="Q240" s="37" t="str">
        <f t="shared" si="63"/>
        <v>MCSOUG1</v>
      </c>
      <c r="R240" s="37" t="str">
        <f t="shared" si="64"/>
        <v>MCSOUG1</v>
      </c>
      <c r="S240" s="31"/>
      <c r="T240" s="185">
        <f t="shared" si="65"/>
        <v>46082</v>
      </c>
      <c r="U240" s="181">
        <v>238</v>
      </c>
    </row>
    <row r="241" spans="2:21" s="181" customFormat="1" x14ac:dyDescent="0.25">
      <c r="B241" s="182" t="s">
        <v>25</v>
      </c>
      <c r="C241" s="183"/>
      <c r="D241" s="54" t="str">
        <f>INDEX(Cad_Natureza!$B$3:$C$52,MATCH('2026'!F241,Cad_Natureza!$C$3:$C$52,0),MATCH('2026'!D$2,Cad_Natureza!$B$3:$C$3,0))</f>
        <v>FIN3</v>
      </c>
      <c r="E241" s="52" t="str">
        <f t="shared" si="51"/>
        <v>Despesa 239</v>
      </c>
      <c r="F241" s="53" t="s">
        <v>113</v>
      </c>
      <c r="G241" s="54" t="s">
        <v>25</v>
      </c>
      <c r="H241" s="55">
        <v>46091</v>
      </c>
      <c r="I241" s="55"/>
      <c r="J241" s="50" t="str">
        <f t="shared" si="52"/>
        <v>Observação da despesa 239</v>
      </c>
      <c r="K241" s="43">
        <v>-290.26</v>
      </c>
      <c r="L241" s="43">
        <f t="shared" si="53"/>
        <v>2523.170000000001</v>
      </c>
      <c r="M241" s="183"/>
      <c r="N241" s="37" t="str">
        <f t="shared" si="60"/>
        <v>MCSFIN3CPF - Desp. Financeiras - Empréstimos bancários</v>
      </c>
      <c r="O241" s="37" t="str">
        <f t="shared" si="61"/>
        <v>FIN3CPF - Desp. Financeiras - Empréstimos bancários</v>
      </c>
      <c r="P241" s="37" t="str">
        <f t="shared" si="62"/>
        <v>MCSFIN3CPF - Desp. Financeiras - Empréstimos bancários</v>
      </c>
      <c r="Q241" s="37" t="str">
        <f t="shared" si="63"/>
        <v>MCSFIN3</v>
      </c>
      <c r="R241" s="37" t="str">
        <f t="shared" si="64"/>
        <v>MCSFIN3</v>
      </c>
      <c r="S241" s="31"/>
      <c r="T241" s="185">
        <f t="shared" si="65"/>
        <v>46082</v>
      </c>
      <c r="U241" s="181">
        <v>239</v>
      </c>
    </row>
    <row r="242" spans="2:21" s="181" customFormat="1" x14ac:dyDescent="0.25">
      <c r="B242" s="182" t="s">
        <v>25</v>
      </c>
      <c r="C242" s="183"/>
      <c r="D242" s="54" t="str">
        <f>INDEX(Cad_Natureza!$B$3:$C$52,MATCH('2026'!F242,Cad_Natureza!$C$3:$C$52,0),MATCH('2026'!D$2,Cad_Natureza!$B$3:$C$3,0))</f>
        <v>FIN3</v>
      </c>
      <c r="E242" s="52" t="str">
        <f t="shared" si="51"/>
        <v>Despesa 240</v>
      </c>
      <c r="F242" s="53" t="s">
        <v>113</v>
      </c>
      <c r="G242" s="54" t="s">
        <v>25</v>
      </c>
      <c r="H242" s="55">
        <v>46091</v>
      </c>
      <c r="I242" s="55"/>
      <c r="J242" s="50" t="str">
        <f t="shared" si="52"/>
        <v>Observação da despesa 240</v>
      </c>
      <c r="K242" s="43">
        <v>-6.79</v>
      </c>
      <c r="L242" s="43">
        <f t="shared" si="53"/>
        <v>2516.380000000001</v>
      </c>
      <c r="M242" s="183"/>
      <c r="N242" s="37" t="str">
        <f t="shared" ref="N242:N257" si="66">B242&amp;D242&amp;F242</f>
        <v>MCSFIN3CPF - Desp. Financeiras - Empréstimos bancários</v>
      </c>
      <c r="O242" s="37" t="str">
        <f t="shared" ref="O242:O257" si="67">D242&amp;F242</f>
        <v>FIN3CPF - Desp. Financeiras - Empréstimos bancários</v>
      </c>
      <c r="P242" s="37" t="str">
        <f t="shared" ref="P242:P257" si="68">"MCS"&amp;D242&amp;F242</f>
        <v>MCSFIN3CPF - Desp. Financeiras - Empréstimos bancários</v>
      </c>
      <c r="Q242" s="37" t="str">
        <f t="shared" ref="Q242:Q257" si="69">"MCS"&amp;D242</f>
        <v>MCSFIN3</v>
      </c>
      <c r="R242" s="37" t="str">
        <f t="shared" ref="R242:R257" si="70">B242&amp;D242</f>
        <v>MCSFIN3</v>
      </c>
      <c r="S242" s="31"/>
      <c r="T242" s="185">
        <f t="shared" ref="T242:T257" si="71">(1&amp;"/"&amp;MONTH(H242)&amp;"/"&amp;YEAR(H242))*1</f>
        <v>46082</v>
      </c>
      <c r="U242" s="181">
        <v>240</v>
      </c>
    </row>
    <row r="243" spans="2:21" s="181" customFormat="1" x14ac:dyDescent="0.25">
      <c r="B243" s="182" t="s">
        <v>25</v>
      </c>
      <c r="C243" s="183"/>
      <c r="D243" s="54" t="str">
        <f>INDEX(Cad_Natureza!$B$3:$C$52,MATCH('2026'!F243,Cad_Natureza!$C$3:$C$52,0),MATCH('2026'!D$2,Cad_Natureza!$B$3:$C$3,0))</f>
        <v>OUG1</v>
      </c>
      <c r="E243" s="52" t="str">
        <f t="shared" si="51"/>
        <v>Despesa 241</v>
      </c>
      <c r="F243" s="53" t="s">
        <v>70</v>
      </c>
      <c r="G243" s="54" t="s">
        <v>25</v>
      </c>
      <c r="H243" s="55">
        <v>46092</v>
      </c>
      <c r="I243" s="55"/>
      <c r="J243" s="50" t="str">
        <f t="shared" si="52"/>
        <v>Observação da despesa 241</v>
      </c>
      <c r="K243" s="43">
        <v>-40</v>
      </c>
      <c r="L243" s="43">
        <f t="shared" si="53"/>
        <v>2476.380000000001</v>
      </c>
      <c r="M243" s="183"/>
      <c r="N243" s="37" t="str">
        <f t="shared" si="66"/>
        <v>MCSOUG1CPF - Outros gastos</v>
      </c>
      <c r="O243" s="37" t="str">
        <f t="shared" si="67"/>
        <v>OUG1CPF - Outros gastos</v>
      </c>
      <c r="P243" s="37" t="str">
        <f t="shared" si="68"/>
        <v>MCSOUG1CPF - Outros gastos</v>
      </c>
      <c r="Q243" s="37" t="str">
        <f t="shared" si="69"/>
        <v>MCSOUG1</v>
      </c>
      <c r="R243" s="37" t="str">
        <f t="shared" si="70"/>
        <v>MCSOUG1</v>
      </c>
      <c r="S243" s="31"/>
      <c r="T243" s="185">
        <f t="shared" si="71"/>
        <v>46082</v>
      </c>
      <c r="U243" s="181">
        <v>241</v>
      </c>
    </row>
    <row r="244" spans="2:21" s="181" customFormat="1" x14ac:dyDescent="0.25">
      <c r="B244" s="182" t="s">
        <v>25</v>
      </c>
      <c r="C244" s="183"/>
      <c r="D244" s="54" t="str">
        <f>INDEX(Cad_Natureza!$B$3:$C$52,MATCH('2026'!F244,Cad_Natureza!$C$3:$C$52,0),MATCH('2026'!D$2,Cad_Natureza!$B$3:$C$3,0))</f>
        <v>OUG1</v>
      </c>
      <c r="E244" s="52" t="str">
        <f t="shared" si="51"/>
        <v>Despesa 242</v>
      </c>
      <c r="F244" s="53" t="s">
        <v>70</v>
      </c>
      <c r="G244" s="54" t="s">
        <v>25</v>
      </c>
      <c r="H244" s="55">
        <v>46093</v>
      </c>
      <c r="I244" s="55"/>
      <c r="J244" s="50" t="str">
        <f t="shared" si="52"/>
        <v>Observação da despesa 242</v>
      </c>
      <c r="K244" s="43">
        <v>-20</v>
      </c>
      <c r="L244" s="43">
        <f t="shared" si="53"/>
        <v>2456.380000000001</v>
      </c>
      <c r="M244" s="183"/>
      <c r="N244" s="37" t="str">
        <f t="shared" si="66"/>
        <v>MCSOUG1CPF - Outros gastos</v>
      </c>
      <c r="O244" s="37" t="str">
        <f t="shared" si="67"/>
        <v>OUG1CPF - Outros gastos</v>
      </c>
      <c r="P244" s="37" t="str">
        <f t="shared" si="68"/>
        <v>MCSOUG1CPF - Outros gastos</v>
      </c>
      <c r="Q244" s="37" t="str">
        <f t="shared" si="69"/>
        <v>MCSOUG1</v>
      </c>
      <c r="R244" s="37" t="str">
        <f t="shared" si="70"/>
        <v>MCSOUG1</v>
      </c>
      <c r="S244" s="31"/>
      <c r="T244" s="185">
        <f t="shared" si="71"/>
        <v>46082</v>
      </c>
      <c r="U244" s="181">
        <v>242</v>
      </c>
    </row>
    <row r="245" spans="2:21" s="181" customFormat="1" x14ac:dyDescent="0.25">
      <c r="B245" s="182" t="s">
        <v>25</v>
      </c>
      <c r="C245" s="183"/>
      <c r="D245" s="54" t="str">
        <f>INDEX(Cad_Natureza!$B$3:$C$52,MATCH('2026'!F245,Cad_Natureza!$C$3:$C$52,0),MATCH('2026'!D$2,Cad_Natureza!$B$3:$C$3,0))</f>
        <v>GAST1</v>
      </c>
      <c r="E245" s="52" t="str">
        <f t="shared" si="51"/>
        <v>Despesa 243</v>
      </c>
      <c r="F245" s="53" t="s">
        <v>65</v>
      </c>
      <c r="G245" s="54" t="s">
        <v>25</v>
      </c>
      <c r="H245" s="55">
        <v>46097</v>
      </c>
      <c r="I245" s="55"/>
      <c r="J245" s="50" t="str">
        <f t="shared" si="52"/>
        <v>Observação da despesa 243</v>
      </c>
      <c r="K245" s="43">
        <v>-10</v>
      </c>
      <c r="L245" s="43">
        <f t="shared" si="53"/>
        <v>2446.380000000001</v>
      </c>
      <c r="M245" s="183"/>
      <c r="N245" s="37" t="str">
        <f t="shared" si="66"/>
        <v>MCSGAST1CPF - Desp. Lazer e Entretenimento - Bares</v>
      </c>
      <c r="O245" s="37" t="str">
        <f t="shared" si="67"/>
        <v>GAST1CPF - Desp. Lazer e Entretenimento - Bares</v>
      </c>
      <c r="P245" s="37" t="str">
        <f t="shared" si="68"/>
        <v>MCSGAST1CPF - Desp. Lazer e Entretenimento - Bares</v>
      </c>
      <c r="Q245" s="37" t="str">
        <f t="shared" si="69"/>
        <v>MCSGAST1</v>
      </c>
      <c r="R245" s="37" t="str">
        <f t="shared" si="70"/>
        <v>MCSGAST1</v>
      </c>
      <c r="S245" s="31"/>
      <c r="T245" s="185">
        <f t="shared" si="71"/>
        <v>46082</v>
      </c>
      <c r="U245" s="181">
        <v>243</v>
      </c>
    </row>
    <row r="246" spans="2:21" s="181" customFormat="1" x14ac:dyDescent="0.25">
      <c r="B246" s="182" t="s">
        <v>25</v>
      </c>
      <c r="C246" s="183"/>
      <c r="D246" s="54" t="str">
        <f>INDEX(Cad_Natureza!$B$3:$C$52,MATCH('2026'!F246,Cad_Natureza!$C$3:$C$52,0),MATCH('2026'!D$2,Cad_Natureza!$B$3:$C$3,0))</f>
        <v>OPF2</v>
      </c>
      <c r="E246" s="52" t="str">
        <f t="shared" si="51"/>
        <v>Despesa 244</v>
      </c>
      <c r="F246" s="53" t="s">
        <v>64</v>
      </c>
      <c r="G246" s="54" t="s">
        <v>25</v>
      </c>
      <c r="H246" s="55">
        <v>46097</v>
      </c>
      <c r="I246" s="55"/>
      <c r="J246" s="50" t="str">
        <f t="shared" si="52"/>
        <v>Observação da despesa 244</v>
      </c>
      <c r="K246" s="43">
        <v>-100</v>
      </c>
      <c r="L246" s="43">
        <f t="shared" si="53"/>
        <v>2346.380000000001</v>
      </c>
      <c r="M246" s="183"/>
      <c r="N246" s="37" t="str">
        <f t="shared" si="66"/>
        <v>MCSOPF2CPF - Desp. Transporte / Combustível</v>
      </c>
      <c r="O246" s="37" t="str">
        <f t="shared" si="67"/>
        <v>OPF2CPF - Desp. Transporte / Combustível</v>
      </c>
      <c r="P246" s="37" t="str">
        <f t="shared" si="68"/>
        <v>MCSOPF2CPF - Desp. Transporte / Combustível</v>
      </c>
      <c r="Q246" s="37" t="str">
        <f t="shared" si="69"/>
        <v>MCSOPF2</v>
      </c>
      <c r="R246" s="37" t="str">
        <f t="shared" si="70"/>
        <v>MCSOPF2</v>
      </c>
      <c r="S246" s="31"/>
      <c r="T246" s="185">
        <f t="shared" si="71"/>
        <v>46082</v>
      </c>
      <c r="U246" s="181">
        <v>244</v>
      </c>
    </row>
    <row r="247" spans="2:21" s="181" customFormat="1" x14ac:dyDescent="0.25">
      <c r="B247" s="182" t="s">
        <v>25</v>
      </c>
      <c r="C247" s="183"/>
      <c r="D247" s="54" t="str">
        <f>INDEX(Cad_Natureza!$B$3:$C$52,MATCH('2026'!F247,Cad_Natureza!$C$3:$C$52,0),MATCH('2026'!D$2,Cad_Natureza!$B$3:$C$3,0))</f>
        <v>OPF2</v>
      </c>
      <c r="E247" s="52" t="str">
        <f t="shared" si="51"/>
        <v>Despesa 245</v>
      </c>
      <c r="F247" s="53" t="s">
        <v>64</v>
      </c>
      <c r="G247" s="54" t="s">
        <v>25</v>
      </c>
      <c r="H247" s="55">
        <v>46098</v>
      </c>
      <c r="I247" s="55"/>
      <c r="J247" s="50" t="str">
        <f t="shared" si="52"/>
        <v>Observação da despesa 245</v>
      </c>
      <c r="K247" s="43">
        <v>-274.61</v>
      </c>
      <c r="L247" s="43">
        <f t="shared" si="53"/>
        <v>2071.7700000000009</v>
      </c>
      <c r="M247" s="183"/>
      <c r="N247" s="37" t="str">
        <f t="shared" si="66"/>
        <v>MCSOPF2CPF - Desp. Transporte / Combustível</v>
      </c>
      <c r="O247" s="37" t="str">
        <f t="shared" si="67"/>
        <v>OPF2CPF - Desp. Transporte / Combustível</v>
      </c>
      <c r="P247" s="37" t="str">
        <f t="shared" si="68"/>
        <v>MCSOPF2CPF - Desp. Transporte / Combustível</v>
      </c>
      <c r="Q247" s="37" t="str">
        <f t="shared" si="69"/>
        <v>MCSOPF2</v>
      </c>
      <c r="R247" s="37" t="str">
        <f t="shared" si="70"/>
        <v>MCSOPF2</v>
      </c>
      <c r="S247" s="31"/>
      <c r="T247" s="185">
        <f t="shared" si="71"/>
        <v>46082</v>
      </c>
      <c r="U247" s="181">
        <v>245</v>
      </c>
    </row>
    <row r="248" spans="2:21" s="181" customFormat="1" x14ac:dyDescent="0.25">
      <c r="B248" s="182" t="s">
        <v>25</v>
      </c>
      <c r="C248" s="183"/>
      <c r="D248" s="54" t="str">
        <f>INDEX(Cad_Natureza!$B$3:$C$52,MATCH('2026'!F248,Cad_Natureza!$C$3:$C$52,0),MATCH('2026'!D$2,Cad_Natureza!$B$3:$C$3,0))</f>
        <v>DESP4</v>
      </c>
      <c r="E248" s="52" t="str">
        <f t="shared" si="51"/>
        <v>Despesa 246</v>
      </c>
      <c r="F248" s="53" t="s">
        <v>74</v>
      </c>
      <c r="G248" s="54" t="s">
        <v>25</v>
      </c>
      <c r="H248" s="55">
        <v>46101</v>
      </c>
      <c r="I248" s="55"/>
      <c r="J248" s="50" t="str">
        <f t="shared" si="52"/>
        <v>Observação da despesa 246</v>
      </c>
      <c r="K248" s="43">
        <v>-35</v>
      </c>
      <c r="L248" s="43">
        <f t="shared" si="53"/>
        <v>2036.7700000000009</v>
      </c>
      <c r="M248" s="183"/>
      <c r="N248" s="37" t="str">
        <f t="shared" si="66"/>
        <v>MCSDESP4CPF - Desp. Moradia</v>
      </c>
      <c r="O248" s="37" t="str">
        <f t="shared" si="67"/>
        <v>DESP4CPF - Desp. Moradia</v>
      </c>
      <c r="P248" s="37" t="str">
        <f t="shared" si="68"/>
        <v>MCSDESP4CPF - Desp. Moradia</v>
      </c>
      <c r="Q248" s="37" t="str">
        <f t="shared" si="69"/>
        <v>MCSDESP4</v>
      </c>
      <c r="R248" s="37" t="str">
        <f t="shared" si="70"/>
        <v>MCSDESP4</v>
      </c>
      <c r="S248" s="31"/>
      <c r="T248" s="185">
        <f t="shared" si="71"/>
        <v>46082</v>
      </c>
      <c r="U248" s="181">
        <v>246</v>
      </c>
    </row>
    <row r="249" spans="2:21" s="181" customFormat="1" x14ac:dyDescent="0.25">
      <c r="B249" s="182" t="s">
        <v>25</v>
      </c>
      <c r="C249" s="183"/>
      <c r="D249" s="54" t="str">
        <f>INDEX(Cad_Natureza!$B$3:$C$52,MATCH('2026'!F249,Cad_Natureza!$C$3:$C$52,0),MATCH('2026'!D$2,Cad_Natureza!$B$3:$C$3,0))</f>
        <v>GAST1</v>
      </c>
      <c r="E249" s="52" t="str">
        <f t="shared" si="51"/>
        <v>Despesa 247</v>
      </c>
      <c r="F249" s="53" t="s">
        <v>65</v>
      </c>
      <c r="G249" s="54" t="s">
        <v>25</v>
      </c>
      <c r="H249" s="55">
        <v>46101</v>
      </c>
      <c r="I249" s="55"/>
      <c r="J249" s="50" t="str">
        <f t="shared" si="52"/>
        <v>Observação da despesa 247</v>
      </c>
      <c r="K249" s="43">
        <v>-6.5</v>
      </c>
      <c r="L249" s="43">
        <f t="shared" si="53"/>
        <v>2030.2700000000009</v>
      </c>
      <c r="M249" s="183"/>
      <c r="N249" s="37" t="str">
        <f t="shared" si="66"/>
        <v>MCSGAST1CPF - Desp. Lazer e Entretenimento - Bares</v>
      </c>
      <c r="O249" s="37" t="str">
        <f t="shared" si="67"/>
        <v>GAST1CPF - Desp. Lazer e Entretenimento - Bares</v>
      </c>
      <c r="P249" s="37" t="str">
        <f t="shared" si="68"/>
        <v>MCSGAST1CPF - Desp. Lazer e Entretenimento - Bares</v>
      </c>
      <c r="Q249" s="37" t="str">
        <f t="shared" si="69"/>
        <v>MCSGAST1</v>
      </c>
      <c r="R249" s="37" t="str">
        <f t="shared" si="70"/>
        <v>MCSGAST1</v>
      </c>
      <c r="S249" s="31"/>
      <c r="T249" s="185">
        <f t="shared" si="71"/>
        <v>46082</v>
      </c>
      <c r="U249" s="181">
        <v>247</v>
      </c>
    </row>
    <row r="250" spans="2:21" s="181" customFormat="1" x14ac:dyDescent="0.25">
      <c r="B250" s="182" t="s">
        <v>25</v>
      </c>
      <c r="C250" s="183"/>
      <c r="D250" s="54" t="str">
        <f>INDEX(Cad_Natureza!$B$3:$C$52,MATCH('2026'!F250,Cad_Natureza!$C$3:$C$52,0),MATCH('2026'!D$2,Cad_Natureza!$B$3:$C$3,0))</f>
        <v>GAST1</v>
      </c>
      <c r="E250" s="52" t="str">
        <f t="shared" si="51"/>
        <v>Despesa 248</v>
      </c>
      <c r="F250" s="53" t="s">
        <v>65</v>
      </c>
      <c r="G250" s="54" t="s">
        <v>25</v>
      </c>
      <c r="H250" s="55">
        <v>46101</v>
      </c>
      <c r="I250" s="55"/>
      <c r="J250" s="50" t="str">
        <f t="shared" si="52"/>
        <v>Observação da despesa 248</v>
      </c>
      <c r="K250" s="43">
        <v>-5</v>
      </c>
      <c r="L250" s="43">
        <f t="shared" si="53"/>
        <v>2025.2700000000009</v>
      </c>
      <c r="M250" s="183"/>
      <c r="N250" s="37" t="str">
        <f t="shared" si="66"/>
        <v>MCSGAST1CPF - Desp. Lazer e Entretenimento - Bares</v>
      </c>
      <c r="O250" s="37" t="str">
        <f t="shared" si="67"/>
        <v>GAST1CPF - Desp. Lazer e Entretenimento - Bares</v>
      </c>
      <c r="P250" s="37" t="str">
        <f t="shared" si="68"/>
        <v>MCSGAST1CPF - Desp. Lazer e Entretenimento - Bares</v>
      </c>
      <c r="Q250" s="37" t="str">
        <f t="shared" si="69"/>
        <v>MCSGAST1</v>
      </c>
      <c r="R250" s="37" t="str">
        <f t="shared" si="70"/>
        <v>MCSGAST1</v>
      </c>
      <c r="S250" s="31"/>
      <c r="T250" s="185">
        <f t="shared" si="71"/>
        <v>46082</v>
      </c>
      <c r="U250" s="181">
        <v>248</v>
      </c>
    </row>
    <row r="251" spans="2:21" s="181" customFormat="1" x14ac:dyDescent="0.25">
      <c r="B251" s="182" t="s">
        <v>25</v>
      </c>
      <c r="C251" s="183"/>
      <c r="D251" s="54" t="str">
        <f>INDEX(Cad_Natureza!$B$3:$C$52,MATCH('2026'!F251,Cad_Natureza!$C$3:$C$52,0),MATCH('2026'!D$2,Cad_Natureza!$B$3:$C$3,0))</f>
        <v>GAST1</v>
      </c>
      <c r="E251" s="52" t="str">
        <f t="shared" si="51"/>
        <v>Despesa 249</v>
      </c>
      <c r="F251" s="53" t="s">
        <v>65</v>
      </c>
      <c r="G251" s="54" t="s">
        <v>25</v>
      </c>
      <c r="H251" s="55">
        <v>46101</v>
      </c>
      <c r="I251" s="55"/>
      <c r="J251" s="50" t="str">
        <f t="shared" si="52"/>
        <v>Observação da despesa 249</v>
      </c>
      <c r="K251" s="43">
        <v>-15</v>
      </c>
      <c r="L251" s="43">
        <f t="shared" si="53"/>
        <v>2010.2700000000009</v>
      </c>
      <c r="M251" s="183"/>
      <c r="N251" s="37" t="str">
        <f t="shared" si="66"/>
        <v>MCSGAST1CPF - Desp. Lazer e Entretenimento - Bares</v>
      </c>
      <c r="O251" s="37" t="str">
        <f t="shared" si="67"/>
        <v>GAST1CPF - Desp. Lazer e Entretenimento - Bares</v>
      </c>
      <c r="P251" s="37" t="str">
        <f t="shared" si="68"/>
        <v>MCSGAST1CPF - Desp. Lazer e Entretenimento - Bares</v>
      </c>
      <c r="Q251" s="37" t="str">
        <f t="shared" si="69"/>
        <v>MCSGAST1</v>
      </c>
      <c r="R251" s="37" t="str">
        <f t="shared" si="70"/>
        <v>MCSGAST1</v>
      </c>
      <c r="S251" s="31"/>
      <c r="T251" s="185">
        <f t="shared" si="71"/>
        <v>46082</v>
      </c>
      <c r="U251" s="181">
        <v>249</v>
      </c>
    </row>
    <row r="252" spans="2:21" s="181" customFormat="1" x14ac:dyDescent="0.25">
      <c r="B252" s="182" t="s">
        <v>25</v>
      </c>
      <c r="C252" s="183"/>
      <c r="D252" s="54" t="str">
        <f>INDEX(Cad_Natureza!$B$3:$C$52,MATCH('2026'!F252,Cad_Natureza!$C$3:$C$52,0),MATCH('2026'!D$2,Cad_Natureza!$B$3:$C$3,0))</f>
        <v>GAST1</v>
      </c>
      <c r="E252" s="52" t="str">
        <f t="shared" si="51"/>
        <v>Despesa 250</v>
      </c>
      <c r="F252" s="53" t="s">
        <v>65</v>
      </c>
      <c r="G252" s="54" t="s">
        <v>25</v>
      </c>
      <c r="H252" s="55">
        <v>46101</v>
      </c>
      <c r="I252" s="55"/>
      <c r="J252" s="50" t="str">
        <f t="shared" si="52"/>
        <v>Observação da despesa 250</v>
      </c>
      <c r="K252" s="43">
        <v>-6</v>
      </c>
      <c r="L252" s="43">
        <f t="shared" si="53"/>
        <v>2004.2700000000009</v>
      </c>
      <c r="M252" s="183"/>
      <c r="N252" s="37" t="str">
        <f t="shared" si="66"/>
        <v>MCSGAST1CPF - Desp. Lazer e Entretenimento - Bares</v>
      </c>
      <c r="O252" s="37" t="str">
        <f t="shared" si="67"/>
        <v>GAST1CPF - Desp. Lazer e Entretenimento - Bares</v>
      </c>
      <c r="P252" s="37" t="str">
        <f t="shared" si="68"/>
        <v>MCSGAST1CPF - Desp. Lazer e Entretenimento - Bares</v>
      </c>
      <c r="Q252" s="37" t="str">
        <f t="shared" si="69"/>
        <v>MCSGAST1</v>
      </c>
      <c r="R252" s="37" t="str">
        <f t="shared" si="70"/>
        <v>MCSGAST1</v>
      </c>
      <c r="S252" s="31"/>
      <c r="T252" s="185">
        <f t="shared" si="71"/>
        <v>46082</v>
      </c>
      <c r="U252" s="181">
        <v>250</v>
      </c>
    </row>
    <row r="253" spans="2:21" s="181" customFormat="1" x14ac:dyDescent="0.25">
      <c r="B253" s="182" t="s">
        <v>25</v>
      </c>
      <c r="C253" s="183"/>
      <c r="D253" s="54" t="str">
        <f>INDEX(Cad_Natureza!$B$3:$C$52,MATCH('2026'!F253,Cad_Natureza!$C$3:$C$52,0),MATCH('2026'!D$2,Cad_Natureza!$B$3:$C$3,0))</f>
        <v>GAST1</v>
      </c>
      <c r="E253" s="52" t="str">
        <f t="shared" si="51"/>
        <v>Despesa 251</v>
      </c>
      <c r="F253" s="53" t="s">
        <v>65</v>
      </c>
      <c r="G253" s="54" t="s">
        <v>25</v>
      </c>
      <c r="H253" s="55">
        <v>46101</v>
      </c>
      <c r="I253" s="55"/>
      <c r="J253" s="50" t="str">
        <f t="shared" si="52"/>
        <v>Observação da despesa 251</v>
      </c>
      <c r="K253" s="43">
        <v>-6</v>
      </c>
      <c r="L253" s="43">
        <f t="shared" si="53"/>
        <v>1998.2700000000009</v>
      </c>
      <c r="M253" s="183"/>
      <c r="N253" s="37" t="str">
        <f t="shared" si="66"/>
        <v>MCSGAST1CPF - Desp. Lazer e Entretenimento - Bares</v>
      </c>
      <c r="O253" s="37" t="str">
        <f t="shared" si="67"/>
        <v>GAST1CPF - Desp. Lazer e Entretenimento - Bares</v>
      </c>
      <c r="P253" s="37" t="str">
        <f t="shared" si="68"/>
        <v>MCSGAST1CPF - Desp. Lazer e Entretenimento - Bares</v>
      </c>
      <c r="Q253" s="37" t="str">
        <f t="shared" si="69"/>
        <v>MCSGAST1</v>
      </c>
      <c r="R253" s="37" t="str">
        <f t="shared" si="70"/>
        <v>MCSGAST1</v>
      </c>
      <c r="S253" s="31"/>
      <c r="T253" s="185">
        <f t="shared" si="71"/>
        <v>46082</v>
      </c>
      <c r="U253" s="181">
        <v>251</v>
      </c>
    </row>
    <row r="254" spans="2:21" s="181" customFormat="1" x14ac:dyDescent="0.25">
      <c r="B254" s="182" t="s">
        <v>25</v>
      </c>
      <c r="C254" s="183"/>
      <c r="D254" s="54" t="str">
        <f>INDEX(Cad_Natureza!$B$3:$C$52,MATCH('2026'!F254,Cad_Natureza!$C$3:$C$52,0),MATCH('2026'!D$2,Cad_Natureza!$B$3:$C$3,0))</f>
        <v>GAST1</v>
      </c>
      <c r="E254" s="52" t="str">
        <f t="shared" si="51"/>
        <v>Despesa 252</v>
      </c>
      <c r="F254" s="53" t="s">
        <v>65</v>
      </c>
      <c r="G254" s="54" t="s">
        <v>25</v>
      </c>
      <c r="H254" s="55">
        <v>46104</v>
      </c>
      <c r="I254" s="55"/>
      <c r="J254" s="50" t="str">
        <f t="shared" si="52"/>
        <v>Observação da despesa 252</v>
      </c>
      <c r="K254" s="43">
        <v>-15</v>
      </c>
      <c r="L254" s="43">
        <f t="shared" si="53"/>
        <v>1983.2700000000009</v>
      </c>
      <c r="M254" s="183"/>
      <c r="N254" s="37" t="str">
        <f t="shared" si="66"/>
        <v>MCSGAST1CPF - Desp. Lazer e Entretenimento - Bares</v>
      </c>
      <c r="O254" s="37" t="str">
        <f t="shared" si="67"/>
        <v>GAST1CPF - Desp. Lazer e Entretenimento - Bares</v>
      </c>
      <c r="P254" s="37" t="str">
        <f t="shared" si="68"/>
        <v>MCSGAST1CPF - Desp. Lazer e Entretenimento - Bares</v>
      </c>
      <c r="Q254" s="37" t="str">
        <f t="shared" si="69"/>
        <v>MCSGAST1</v>
      </c>
      <c r="R254" s="37" t="str">
        <f t="shared" si="70"/>
        <v>MCSGAST1</v>
      </c>
      <c r="S254" s="31"/>
      <c r="T254" s="185">
        <f t="shared" si="71"/>
        <v>46082</v>
      </c>
      <c r="U254" s="181">
        <v>252</v>
      </c>
    </row>
    <row r="255" spans="2:21" s="181" customFormat="1" x14ac:dyDescent="0.25">
      <c r="B255" s="182" t="s">
        <v>25</v>
      </c>
      <c r="C255" s="183"/>
      <c r="D255" s="54" t="str">
        <f>INDEX(Cad_Natureza!$B$3:$C$52,MATCH('2026'!F255,Cad_Natureza!$C$3:$C$52,0),MATCH('2026'!D$2,Cad_Natureza!$B$3:$C$3,0))</f>
        <v>GAST1</v>
      </c>
      <c r="E255" s="52" t="str">
        <f t="shared" si="51"/>
        <v>Despesa 253</v>
      </c>
      <c r="F255" s="53" t="s">
        <v>65</v>
      </c>
      <c r="G255" s="54" t="s">
        <v>25</v>
      </c>
      <c r="H255" s="55">
        <v>46104</v>
      </c>
      <c r="I255" s="55"/>
      <c r="J255" s="50" t="str">
        <f t="shared" si="52"/>
        <v>Observação da despesa 253</v>
      </c>
      <c r="K255" s="43">
        <v>-10</v>
      </c>
      <c r="L255" s="43">
        <f t="shared" si="53"/>
        <v>1973.2700000000009</v>
      </c>
      <c r="M255" s="183"/>
      <c r="N255" s="37" t="str">
        <f t="shared" si="66"/>
        <v>MCSGAST1CPF - Desp. Lazer e Entretenimento - Bares</v>
      </c>
      <c r="O255" s="37" t="str">
        <f t="shared" si="67"/>
        <v>GAST1CPF - Desp. Lazer e Entretenimento - Bares</v>
      </c>
      <c r="P255" s="37" t="str">
        <f t="shared" si="68"/>
        <v>MCSGAST1CPF - Desp. Lazer e Entretenimento - Bares</v>
      </c>
      <c r="Q255" s="37" t="str">
        <f t="shared" si="69"/>
        <v>MCSGAST1</v>
      </c>
      <c r="R255" s="37" t="str">
        <f t="shared" si="70"/>
        <v>MCSGAST1</v>
      </c>
      <c r="S255" s="31"/>
      <c r="T255" s="185">
        <f t="shared" si="71"/>
        <v>46082</v>
      </c>
      <c r="U255" s="181">
        <v>253</v>
      </c>
    </row>
    <row r="256" spans="2:21" s="181" customFormat="1" x14ac:dyDescent="0.25">
      <c r="B256" s="182" t="s">
        <v>25</v>
      </c>
      <c r="C256" s="183"/>
      <c r="D256" s="54" t="str">
        <f>INDEX(Cad_Natureza!$B$3:$C$52,MATCH('2026'!F256,Cad_Natureza!$C$3:$C$52,0),MATCH('2026'!D$2,Cad_Natureza!$B$3:$C$3,0))</f>
        <v>GAST1</v>
      </c>
      <c r="E256" s="52" t="str">
        <f t="shared" si="51"/>
        <v>Despesa 254</v>
      </c>
      <c r="F256" s="53" t="s">
        <v>65</v>
      </c>
      <c r="G256" s="54" t="s">
        <v>25</v>
      </c>
      <c r="H256" s="55">
        <v>46104</v>
      </c>
      <c r="I256" s="55"/>
      <c r="J256" s="50" t="str">
        <f t="shared" si="52"/>
        <v>Observação da despesa 254</v>
      </c>
      <c r="K256" s="43">
        <v>-10</v>
      </c>
      <c r="L256" s="43">
        <f t="shared" si="53"/>
        <v>1963.2700000000009</v>
      </c>
      <c r="M256" s="183"/>
      <c r="N256" s="37" t="str">
        <f t="shared" si="66"/>
        <v>MCSGAST1CPF - Desp. Lazer e Entretenimento - Bares</v>
      </c>
      <c r="O256" s="37" t="str">
        <f t="shared" si="67"/>
        <v>GAST1CPF - Desp. Lazer e Entretenimento - Bares</v>
      </c>
      <c r="P256" s="37" t="str">
        <f t="shared" si="68"/>
        <v>MCSGAST1CPF - Desp. Lazer e Entretenimento - Bares</v>
      </c>
      <c r="Q256" s="37" t="str">
        <f t="shared" si="69"/>
        <v>MCSGAST1</v>
      </c>
      <c r="R256" s="37" t="str">
        <f t="shared" si="70"/>
        <v>MCSGAST1</v>
      </c>
      <c r="S256" s="31"/>
      <c r="T256" s="185">
        <f t="shared" si="71"/>
        <v>46082</v>
      </c>
      <c r="U256" s="181">
        <v>254</v>
      </c>
    </row>
    <row r="257" spans="2:21" s="181" customFormat="1" x14ac:dyDescent="0.25">
      <c r="B257" s="182" t="s">
        <v>25</v>
      </c>
      <c r="C257" s="183"/>
      <c r="D257" s="54" t="str">
        <f>INDEX(Cad_Natureza!$B$3:$C$52,MATCH('2026'!F257,Cad_Natureza!$C$3:$C$52,0),MATCH('2026'!D$2,Cad_Natureza!$B$3:$C$3,0))</f>
        <v>GAST1</v>
      </c>
      <c r="E257" s="52" t="str">
        <f t="shared" si="51"/>
        <v>Despesa 255</v>
      </c>
      <c r="F257" s="53" t="s">
        <v>65</v>
      </c>
      <c r="G257" s="54" t="s">
        <v>25</v>
      </c>
      <c r="H257" s="55">
        <v>46104</v>
      </c>
      <c r="I257" s="55"/>
      <c r="J257" s="50" t="str">
        <f t="shared" si="52"/>
        <v>Observação da despesa 255</v>
      </c>
      <c r="K257" s="43">
        <v>-36</v>
      </c>
      <c r="L257" s="43">
        <f t="shared" si="53"/>
        <v>1927.2700000000009</v>
      </c>
      <c r="M257" s="183"/>
      <c r="N257" s="37" t="str">
        <f t="shared" si="66"/>
        <v>MCSGAST1CPF - Desp. Lazer e Entretenimento - Bares</v>
      </c>
      <c r="O257" s="37" t="str">
        <f t="shared" si="67"/>
        <v>GAST1CPF - Desp. Lazer e Entretenimento - Bares</v>
      </c>
      <c r="P257" s="37" t="str">
        <f t="shared" si="68"/>
        <v>MCSGAST1CPF - Desp. Lazer e Entretenimento - Bares</v>
      </c>
      <c r="Q257" s="37" t="str">
        <f t="shared" si="69"/>
        <v>MCSGAST1</v>
      </c>
      <c r="R257" s="37" t="str">
        <f t="shared" si="70"/>
        <v>MCSGAST1</v>
      </c>
      <c r="S257" s="31"/>
      <c r="T257" s="185">
        <f t="shared" si="71"/>
        <v>46082</v>
      </c>
      <c r="U257" s="181">
        <v>255</v>
      </c>
    </row>
    <row r="258" spans="2:21" s="181" customFormat="1" x14ac:dyDescent="0.25">
      <c r="B258" s="182" t="s">
        <v>25</v>
      </c>
      <c r="C258" s="183"/>
      <c r="D258" s="54" t="str">
        <f>INDEX(Cad_Natureza!$B$3:$C$52,MATCH('2026'!F258,Cad_Natureza!$C$3:$C$52,0),MATCH('2026'!D$2,Cad_Natureza!$B$3:$C$3,0))</f>
        <v>DESP4</v>
      </c>
      <c r="E258" s="52" t="str">
        <f t="shared" si="51"/>
        <v>Despesa 256</v>
      </c>
      <c r="F258" s="53" t="s">
        <v>74</v>
      </c>
      <c r="G258" s="54" t="s">
        <v>25</v>
      </c>
      <c r="H258" s="55">
        <v>46104</v>
      </c>
      <c r="I258" s="55"/>
      <c r="J258" s="50" t="str">
        <f t="shared" si="52"/>
        <v>Observação da despesa 256</v>
      </c>
      <c r="K258" s="43">
        <v>-286.68</v>
      </c>
      <c r="L258" s="43">
        <f t="shared" si="53"/>
        <v>1640.5900000000008</v>
      </c>
      <c r="M258" s="183"/>
      <c r="N258" s="37" t="str">
        <f t="shared" si="60"/>
        <v>MCSDESP4CPF - Desp. Moradia</v>
      </c>
      <c r="O258" s="37" t="str">
        <f t="shared" si="61"/>
        <v>DESP4CPF - Desp. Moradia</v>
      </c>
      <c r="P258" s="37" t="str">
        <f t="shared" si="62"/>
        <v>MCSDESP4CPF - Desp. Moradia</v>
      </c>
      <c r="Q258" s="37" t="str">
        <f t="shared" si="63"/>
        <v>MCSDESP4</v>
      </c>
      <c r="R258" s="37" t="str">
        <f t="shared" si="64"/>
        <v>MCSDESP4</v>
      </c>
      <c r="S258" s="31"/>
      <c r="T258" s="185">
        <f t="shared" si="65"/>
        <v>46082</v>
      </c>
      <c r="U258" s="181">
        <v>256</v>
      </c>
    </row>
    <row r="259" spans="2:21" s="181" customFormat="1" x14ac:dyDescent="0.25">
      <c r="B259" s="182" t="s">
        <v>25</v>
      </c>
      <c r="C259" s="183"/>
      <c r="D259" s="54" t="str">
        <f>INDEX(Cad_Natureza!$B$3:$C$52,MATCH('2026'!F259,Cad_Natureza!$C$3:$C$52,0),MATCH('2026'!D$2,Cad_Natureza!$B$3:$C$3,0))</f>
        <v>PENS6</v>
      </c>
      <c r="E259" s="52" t="str">
        <f t="shared" si="51"/>
        <v>Despesa 257</v>
      </c>
      <c r="F259" s="53" t="s">
        <v>34</v>
      </c>
      <c r="G259" s="54" t="s">
        <v>25</v>
      </c>
      <c r="H259" s="55">
        <v>46104</v>
      </c>
      <c r="I259" s="55"/>
      <c r="J259" s="50" t="str">
        <f t="shared" si="52"/>
        <v>Observação da despesa 257</v>
      </c>
      <c r="K259" s="43">
        <v>-20</v>
      </c>
      <c r="L259" s="43">
        <f t="shared" si="53"/>
        <v>1620.5900000000008</v>
      </c>
      <c r="M259" s="183"/>
      <c r="N259" s="37" t="str">
        <f t="shared" si="60"/>
        <v>MCSPENS6CPF - Pensão - Farmácia e Saúde</v>
      </c>
      <c r="O259" s="37" t="str">
        <f t="shared" si="61"/>
        <v>PENS6CPF - Pensão - Farmácia e Saúde</v>
      </c>
      <c r="P259" s="37" t="str">
        <f t="shared" si="62"/>
        <v>MCSPENS6CPF - Pensão - Farmácia e Saúde</v>
      </c>
      <c r="Q259" s="37" t="str">
        <f t="shared" si="63"/>
        <v>MCSPENS6</v>
      </c>
      <c r="R259" s="37" t="str">
        <f t="shared" si="64"/>
        <v>MCSPENS6</v>
      </c>
      <c r="S259" s="31"/>
      <c r="T259" s="185">
        <f t="shared" si="65"/>
        <v>46082</v>
      </c>
      <c r="U259" s="181">
        <v>257</v>
      </c>
    </row>
    <row r="260" spans="2:21" s="181" customFormat="1" x14ac:dyDescent="0.25">
      <c r="B260" s="182" t="s">
        <v>25</v>
      </c>
      <c r="C260" s="183"/>
      <c r="D260" s="54" t="str">
        <f>INDEX(Cad_Natureza!$B$3:$C$52,MATCH('2026'!F260,Cad_Natureza!$C$3:$C$52,0),MATCH('2026'!D$2,Cad_Natureza!$B$3:$C$3,0))</f>
        <v>OPF2</v>
      </c>
      <c r="E260" s="52" t="str">
        <f t="shared" ref="E260:E323" si="72">IF(K260&lt;0,"Despesa "&amp;U260,"Receita "&amp;U260)</f>
        <v>Despesa 258</v>
      </c>
      <c r="F260" s="53" t="s">
        <v>64</v>
      </c>
      <c r="G260" s="54" t="s">
        <v>25</v>
      </c>
      <c r="H260" s="55">
        <v>46104</v>
      </c>
      <c r="I260" s="55"/>
      <c r="J260" s="50" t="str">
        <f t="shared" ref="J260:J323" si="73">IF(K260&lt;0,"Observação da despesa "&amp;U260,"Observação da receita "&amp;U260)</f>
        <v>Observação da despesa 258</v>
      </c>
      <c r="K260" s="43">
        <v>-100.59</v>
      </c>
      <c r="L260" s="43">
        <f t="shared" ref="L260:L323" si="74">L259+K260</f>
        <v>1520.0000000000009</v>
      </c>
      <c r="M260" s="183"/>
      <c r="N260" s="37" t="str">
        <f t="shared" si="60"/>
        <v>MCSOPF2CPF - Desp. Transporte / Combustível</v>
      </c>
      <c r="O260" s="37" t="str">
        <f t="shared" si="61"/>
        <v>OPF2CPF - Desp. Transporte / Combustível</v>
      </c>
      <c r="P260" s="37" t="str">
        <f t="shared" si="62"/>
        <v>MCSOPF2CPF - Desp. Transporte / Combustível</v>
      </c>
      <c r="Q260" s="37" t="str">
        <f t="shared" si="63"/>
        <v>MCSOPF2</v>
      </c>
      <c r="R260" s="37" t="str">
        <f t="shared" si="64"/>
        <v>MCSOPF2</v>
      </c>
      <c r="S260" s="31"/>
      <c r="T260" s="185">
        <f t="shared" si="65"/>
        <v>46082</v>
      </c>
      <c r="U260" s="181">
        <v>258</v>
      </c>
    </row>
    <row r="261" spans="2:21" s="181" customFormat="1" x14ac:dyDescent="0.25">
      <c r="B261" s="182" t="s">
        <v>25</v>
      </c>
      <c r="C261" s="183"/>
      <c r="D261" s="54" t="str">
        <f>INDEX(Cad_Natureza!$B$3:$C$52,MATCH('2026'!F261,Cad_Natureza!$C$3:$C$52,0),MATCH('2026'!D$2,Cad_Natureza!$B$3:$C$3,0))</f>
        <v>GAST1</v>
      </c>
      <c r="E261" s="52" t="str">
        <f t="shared" si="72"/>
        <v>Despesa 259</v>
      </c>
      <c r="F261" s="53" t="s">
        <v>65</v>
      </c>
      <c r="G261" s="54" t="s">
        <v>25</v>
      </c>
      <c r="H261" s="55">
        <v>46104</v>
      </c>
      <c r="I261" s="55"/>
      <c r="J261" s="50" t="str">
        <f t="shared" si="73"/>
        <v>Observação da despesa 259</v>
      </c>
      <c r="K261" s="43">
        <v>-5</v>
      </c>
      <c r="L261" s="43">
        <f t="shared" si="74"/>
        <v>1515.0000000000009</v>
      </c>
      <c r="M261" s="183"/>
      <c r="N261" s="37" t="str">
        <f t="shared" si="60"/>
        <v>MCSGAST1CPF - Desp. Lazer e Entretenimento - Bares</v>
      </c>
      <c r="O261" s="37" t="str">
        <f t="shared" si="61"/>
        <v>GAST1CPF - Desp. Lazer e Entretenimento - Bares</v>
      </c>
      <c r="P261" s="37" t="str">
        <f t="shared" si="62"/>
        <v>MCSGAST1CPF - Desp. Lazer e Entretenimento - Bares</v>
      </c>
      <c r="Q261" s="37" t="str">
        <f t="shared" si="63"/>
        <v>MCSGAST1</v>
      </c>
      <c r="R261" s="37" t="str">
        <f t="shared" si="64"/>
        <v>MCSGAST1</v>
      </c>
      <c r="S261" s="31"/>
      <c r="T261" s="185">
        <f t="shared" si="65"/>
        <v>46082</v>
      </c>
      <c r="U261" s="181">
        <v>259</v>
      </c>
    </row>
    <row r="262" spans="2:21" s="181" customFormat="1" x14ac:dyDescent="0.25">
      <c r="B262" s="182" t="s">
        <v>25</v>
      </c>
      <c r="C262" s="183"/>
      <c r="D262" s="54" t="str">
        <f>INDEX(Cad_Natureza!$B$3:$C$52,MATCH('2026'!F262,Cad_Natureza!$C$3:$C$52,0),MATCH('2026'!D$2,Cad_Natureza!$B$3:$C$3,0))</f>
        <v>GAST1</v>
      </c>
      <c r="E262" s="52" t="str">
        <f t="shared" si="72"/>
        <v>Despesa 260</v>
      </c>
      <c r="F262" s="53" t="s">
        <v>65</v>
      </c>
      <c r="G262" s="54" t="s">
        <v>25</v>
      </c>
      <c r="H262" s="55">
        <v>46104</v>
      </c>
      <c r="I262" s="55"/>
      <c r="J262" s="50" t="str">
        <f t="shared" si="73"/>
        <v>Observação da despesa 260</v>
      </c>
      <c r="K262" s="43">
        <v>-5</v>
      </c>
      <c r="L262" s="43">
        <f t="shared" si="74"/>
        <v>1510.0000000000009</v>
      </c>
      <c r="M262" s="183"/>
      <c r="N262" s="37" t="str">
        <f t="shared" si="60"/>
        <v>MCSGAST1CPF - Desp. Lazer e Entretenimento - Bares</v>
      </c>
      <c r="O262" s="37" t="str">
        <f t="shared" si="61"/>
        <v>GAST1CPF - Desp. Lazer e Entretenimento - Bares</v>
      </c>
      <c r="P262" s="37" t="str">
        <f t="shared" si="62"/>
        <v>MCSGAST1CPF - Desp. Lazer e Entretenimento - Bares</v>
      </c>
      <c r="Q262" s="37" t="str">
        <f t="shared" si="63"/>
        <v>MCSGAST1</v>
      </c>
      <c r="R262" s="37" t="str">
        <f t="shared" si="64"/>
        <v>MCSGAST1</v>
      </c>
      <c r="S262" s="31"/>
      <c r="T262" s="185">
        <f t="shared" si="65"/>
        <v>46082</v>
      </c>
      <c r="U262" s="181">
        <v>260</v>
      </c>
    </row>
    <row r="263" spans="2:21" s="181" customFormat="1" x14ac:dyDescent="0.25">
      <c r="B263" s="182" t="s">
        <v>25</v>
      </c>
      <c r="C263" s="183"/>
      <c r="D263" s="54" t="str">
        <f>INDEX(Cad_Natureza!$B$3:$C$52,MATCH('2026'!F263,Cad_Natureza!$C$3:$C$52,0),MATCH('2026'!D$2,Cad_Natureza!$B$3:$C$3,0))</f>
        <v>GAST1</v>
      </c>
      <c r="E263" s="52" t="str">
        <f t="shared" si="72"/>
        <v>Despesa 261</v>
      </c>
      <c r="F263" s="53" t="s">
        <v>65</v>
      </c>
      <c r="G263" s="54" t="s">
        <v>25</v>
      </c>
      <c r="H263" s="55">
        <v>46104</v>
      </c>
      <c r="I263" s="55"/>
      <c r="J263" s="50" t="str">
        <f t="shared" si="73"/>
        <v>Observação da despesa 261</v>
      </c>
      <c r="K263" s="43">
        <v>-4.9000000000000004</v>
      </c>
      <c r="L263" s="43">
        <f t="shared" si="74"/>
        <v>1505.1000000000008</v>
      </c>
      <c r="M263" s="183"/>
      <c r="N263" s="37" t="str">
        <f t="shared" si="60"/>
        <v>MCSGAST1CPF - Desp. Lazer e Entretenimento - Bares</v>
      </c>
      <c r="O263" s="37" t="str">
        <f t="shared" si="61"/>
        <v>GAST1CPF - Desp. Lazer e Entretenimento - Bares</v>
      </c>
      <c r="P263" s="37" t="str">
        <f t="shared" si="62"/>
        <v>MCSGAST1CPF - Desp. Lazer e Entretenimento - Bares</v>
      </c>
      <c r="Q263" s="37" t="str">
        <f t="shared" si="63"/>
        <v>MCSGAST1</v>
      </c>
      <c r="R263" s="37" t="str">
        <f t="shared" si="64"/>
        <v>MCSGAST1</v>
      </c>
      <c r="S263" s="31"/>
      <c r="T263" s="185">
        <f t="shared" si="65"/>
        <v>46082</v>
      </c>
      <c r="U263" s="181">
        <v>261</v>
      </c>
    </row>
    <row r="264" spans="2:21" s="181" customFormat="1" x14ac:dyDescent="0.25">
      <c r="B264" s="182" t="s">
        <v>25</v>
      </c>
      <c r="C264" s="183"/>
      <c r="D264" s="54" t="str">
        <f>INDEX(Cad_Natureza!$B$3:$C$52,MATCH('2026'!F264,Cad_Natureza!$C$3:$C$52,0),MATCH('2026'!D$2,Cad_Natureza!$B$3:$C$3,0))</f>
        <v>OPF2</v>
      </c>
      <c r="E264" s="52" t="str">
        <f t="shared" si="72"/>
        <v>Despesa 262</v>
      </c>
      <c r="F264" s="53" t="s">
        <v>64</v>
      </c>
      <c r="G264" s="54" t="s">
        <v>25</v>
      </c>
      <c r="H264" s="55">
        <v>46107</v>
      </c>
      <c r="I264" s="55"/>
      <c r="J264" s="50" t="str">
        <f t="shared" si="73"/>
        <v>Observação da despesa 262</v>
      </c>
      <c r="K264" s="43">
        <v>-100</v>
      </c>
      <c r="L264" s="43">
        <f t="shared" si="74"/>
        <v>1405.1000000000008</v>
      </c>
      <c r="M264" s="183"/>
      <c r="N264" s="37" t="str">
        <f t="shared" si="60"/>
        <v>MCSOPF2CPF - Desp. Transporte / Combustível</v>
      </c>
      <c r="O264" s="37" t="str">
        <f t="shared" si="61"/>
        <v>OPF2CPF - Desp. Transporte / Combustível</v>
      </c>
      <c r="P264" s="37" t="str">
        <f t="shared" si="62"/>
        <v>MCSOPF2CPF - Desp. Transporte / Combustível</v>
      </c>
      <c r="Q264" s="37" t="str">
        <f t="shared" si="63"/>
        <v>MCSOPF2</v>
      </c>
      <c r="R264" s="37" t="str">
        <f t="shared" si="64"/>
        <v>MCSOPF2</v>
      </c>
      <c r="S264" s="31"/>
      <c r="T264" s="185">
        <f t="shared" si="65"/>
        <v>46082</v>
      </c>
      <c r="U264" s="181">
        <v>262</v>
      </c>
    </row>
    <row r="265" spans="2:21" s="181" customFormat="1" x14ac:dyDescent="0.25">
      <c r="B265" s="182" t="s">
        <v>25</v>
      </c>
      <c r="C265" s="183"/>
      <c r="D265" s="54" t="str">
        <f>INDEX(Cad_Natureza!$B$3:$C$52,MATCH('2026'!F265,Cad_Natureza!$C$3:$C$52,0),MATCH('2026'!D$2,Cad_Natureza!$B$3:$C$3,0))</f>
        <v>OUG1</v>
      </c>
      <c r="E265" s="52" t="str">
        <f t="shared" si="72"/>
        <v>Despesa 263</v>
      </c>
      <c r="F265" s="53" t="s">
        <v>70</v>
      </c>
      <c r="G265" s="54" t="s">
        <v>25</v>
      </c>
      <c r="H265" s="55">
        <v>46108</v>
      </c>
      <c r="I265" s="55"/>
      <c r="J265" s="50" t="str">
        <f t="shared" si="73"/>
        <v>Observação da despesa 263</v>
      </c>
      <c r="K265" s="43">
        <v>-59.02</v>
      </c>
      <c r="L265" s="43">
        <f t="shared" si="74"/>
        <v>1346.0800000000008</v>
      </c>
      <c r="M265" s="183"/>
      <c r="N265" s="37" t="str">
        <f t="shared" si="60"/>
        <v>MCSOUG1CPF - Outros gastos</v>
      </c>
      <c r="O265" s="37" t="str">
        <f t="shared" si="61"/>
        <v>OUG1CPF - Outros gastos</v>
      </c>
      <c r="P265" s="37" t="str">
        <f t="shared" si="62"/>
        <v>MCSOUG1CPF - Outros gastos</v>
      </c>
      <c r="Q265" s="37" t="str">
        <f t="shared" si="63"/>
        <v>MCSOUG1</v>
      </c>
      <c r="R265" s="37" t="str">
        <f t="shared" si="64"/>
        <v>MCSOUG1</v>
      </c>
      <c r="S265" s="31"/>
      <c r="T265" s="185">
        <f t="shared" si="65"/>
        <v>46082</v>
      </c>
      <c r="U265" s="181">
        <v>263</v>
      </c>
    </row>
    <row r="266" spans="2:21" s="181" customFormat="1" x14ac:dyDescent="0.25">
      <c r="B266" s="182" t="s">
        <v>25</v>
      </c>
      <c r="C266" s="183"/>
      <c r="D266" s="54" t="str">
        <f>INDEX(Cad_Natureza!$B$3:$C$52,MATCH('2026'!F266,Cad_Natureza!$C$3:$C$52,0),MATCH('2026'!D$2,Cad_Natureza!$B$3:$C$3,0))</f>
        <v>DESP2</v>
      </c>
      <c r="E266" s="52" t="str">
        <f t="shared" si="72"/>
        <v>Despesa 264</v>
      </c>
      <c r="F266" s="53" t="s">
        <v>62</v>
      </c>
      <c r="G266" s="54" t="s">
        <v>25</v>
      </c>
      <c r="H266" s="55">
        <v>46111</v>
      </c>
      <c r="I266" s="55"/>
      <c r="J266" s="50" t="str">
        <f t="shared" si="73"/>
        <v>Observação da despesa 264</v>
      </c>
      <c r="K266" s="43">
        <v>-91.55</v>
      </c>
      <c r="L266" s="43">
        <f t="shared" si="74"/>
        <v>1254.5300000000009</v>
      </c>
      <c r="M266" s="183"/>
      <c r="N266" s="37" t="str">
        <f t="shared" si="60"/>
        <v>MCSDESP2CPF - Desp. Telefone / Internet</v>
      </c>
      <c r="O266" s="37" t="str">
        <f t="shared" si="61"/>
        <v>DESP2CPF - Desp. Telefone / Internet</v>
      </c>
      <c r="P266" s="37" t="str">
        <f t="shared" si="62"/>
        <v>MCSDESP2CPF - Desp. Telefone / Internet</v>
      </c>
      <c r="Q266" s="37" t="str">
        <f t="shared" si="63"/>
        <v>MCSDESP2</v>
      </c>
      <c r="R266" s="37" t="str">
        <f t="shared" si="64"/>
        <v>MCSDESP2</v>
      </c>
      <c r="S266" s="31"/>
      <c r="T266" s="185">
        <f t="shared" si="65"/>
        <v>46082</v>
      </c>
      <c r="U266" s="181">
        <v>264</v>
      </c>
    </row>
    <row r="267" spans="2:21" s="181" customFormat="1" x14ac:dyDescent="0.25">
      <c r="B267" s="182" t="s">
        <v>25</v>
      </c>
      <c r="C267" s="183"/>
      <c r="D267" s="54" t="str">
        <f>INDEX(Cad_Natureza!$B$3:$C$52,MATCH('2026'!F267,Cad_Natureza!$C$3:$C$52,0),MATCH('2026'!D$2,Cad_Natureza!$B$3:$C$3,0))</f>
        <v>FIN1</v>
      </c>
      <c r="E267" s="52" t="str">
        <f t="shared" si="72"/>
        <v>Despesa 265</v>
      </c>
      <c r="F267" s="53" t="s">
        <v>36</v>
      </c>
      <c r="G267" s="54" t="s">
        <v>25</v>
      </c>
      <c r="H267" s="55">
        <v>46111</v>
      </c>
      <c r="I267" s="55"/>
      <c r="J267" s="50" t="str">
        <f t="shared" si="73"/>
        <v>Observação da despesa 265</v>
      </c>
      <c r="K267" s="43">
        <v>-20</v>
      </c>
      <c r="L267" s="43">
        <f t="shared" si="74"/>
        <v>1234.5300000000009</v>
      </c>
      <c r="M267" s="183"/>
      <c r="N267" s="37" t="str">
        <f t="shared" si="60"/>
        <v>MCSFIN1CPF - Desp. Financeiras - Empréstimos</v>
      </c>
      <c r="O267" s="37" t="str">
        <f t="shared" si="61"/>
        <v>FIN1CPF - Desp. Financeiras - Empréstimos</v>
      </c>
      <c r="P267" s="37" t="str">
        <f t="shared" si="62"/>
        <v>MCSFIN1CPF - Desp. Financeiras - Empréstimos</v>
      </c>
      <c r="Q267" s="37" t="str">
        <f t="shared" si="63"/>
        <v>MCSFIN1</v>
      </c>
      <c r="R267" s="37" t="str">
        <f t="shared" si="64"/>
        <v>MCSFIN1</v>
      </c>
      <c r="S267" s="31"/>
      <c r="T267" s="185">
        <f t="shared" si="65"/>
        <v>46082</v>
      </c>
      <c r="U267" s="181">
        <v>265</v>
      </c>
    </row>
    <row r="268" spans="2:21" s="181" customFormat="1" x14ac:dyDescent="0.25">
      <c r="B268" s="182" t="s">
        <v>25</v>
      </c>
      <c r="C268" s="183"/>
      <c r="D268" s="54" t="str">
        <f>INDEX(Cad_Natureza!$B$3:$C$52,MATCH('2026'!F268,Cad_Natureza!$C$3:$C$52,0),MATCH('2026'!D$2,Cad_Natureza!$B$3:$C$3,0))</f>
        <v>OUG1</v>
      </c>
      <c r="E268" s="52" t="str">
        <f t="shared" si="72"/>
        <v>Despesa 266</v>
      </c>
      <c r="F268" s="53" t="s">
        <v>70</v>
      </c>
      <c r="G268" s="54" t="s">
        <v>25</v>
      </c>
      <c r="H268" s="55">
        <v>46111</v>
      </c>
      <c r="I268" s="55"/>
      <c r="J268" s="50" t="str">
        <f t="shared" si="73"/>
        <v>Observação da despesa 266</v>
      </c>
      <c r="K268" s="43">
        <v>-20</v>
      </c>
      <c r="L268" s="43">
        <f t="shared" si="74"/>
        <v>1214.5300000000009</v>
      </c>
      <c r="M268" s="183"/>
      <c r="N268" s="37" t="str">
        <f t="shared" si="60"/>
        <v>MCSOUG1CPF - Outros gastos</v>
      </c>
      <c r="O268" s="37" t="str">
        <f t="shared" si="61"/>
        <v>OUG1CPF - Outros gastos</v>
      </c>
      <c r="P268" s="37" t="str">
        <f t="shared" si="62"/>
        <v>MCSOUG1CPF - Outros gastos</v>
      </c>
      <c r="Q268" s="37" t="str">
        <f t="shared" si="63"/>
        <v>MCSOUG1</v>
      </c>
      <c r="R268" s="37" t="str">
        <f t="shared" si="64"/>
        <v>MCSOUG1</v>
      </c>
      <c r="S268" s="31"/>
      <c r="T268" s="185">
        <f t="shared" si="65"/>
        <v>46082</v>
      </c>
      <c r="U268" s="181">
        <v>266</v>
      </c>
    </row>
    <row r="269" spans="2:21" s="181" customFormat="1" x14ac:dyDescent="0.25">
      <c r="B269" s="182" t="s">
        <v>25</v>
      </c>
      <c r="C269" s="183"/>
      <c r="D269" s="54" t="str">
        <f>INDEX(Cad_Natureza!$B$3:$C$52,MATCH('2026'!F269,Cad_Natureza!$C$3:$C$52,0),MATCH('2026'!D$2,Cad_Natureza!$B$3:$C$3,0))</f>
        <v>FIN1</v>
      </c>
      <c r="E269" s="52" t="str">
        <f t="shared" si="72"/>
        <v>Despesa 267</v>
      </c>
      <c r="F269" s="53" t="s">
        <v>36</v>
      </c>
      <c r="G269" s="54" t="s">
        <v>25</v>
      </c>
      <c r="H269" s="55">
        <v>46111</v>
      </c>
      <c r="I269" s="55"/>
      <c r="J269" s="50" t="str">
        <f t="shared" si="73"/>
        <v>Observação da despesa 267</v>
      </c>
      <c r="K269" s="43">
        <v>-150</v>
      </c>
      <c r="L269" s="43">
        <f t="shared" si="74"/>
        <v>1064.5300000000009</v>
      </c>
      <c r="M269" s="183"/>
      <c r="N269" s="37" t="str">
        <f t="shared" si="60"/>
        <v>MCSFIN1CPF - Desp. Financeiras - Empréstimos</v>
      </c>
      <c r="O269" s="37" t="str">
        <f t="shared" si="61"/>
        <v>FIN1CPF - Desp. Financeiras - Empréstimos</v>
      </c>
      <c r="P269" s="37" t="str">
        <f t="shared" si="62"/>
        <v>MCSFIN1CPF - Desp. Financeiras - Empréstimos</v>
      </c>
      <c r="Q269" s="37" t="str">
        <f t="shared" si="63"/>
        <v>MCSFIN1</v>
      </c>
      <c r="R269" s="37" t="str">
        <f t="shared" si="64"/>
        <v>MCSFIN1</v>
      </c>
      <c r="S269" s="31"/>
      <c r="T269" s="185">
        <f t="shared" si="65"/>
        <v>46082</v>
      </c>
      <c r="U269" s="181">
        <v>267</v>
      </c>
    </row>
    <row r="270" spans="2:21" s="181" customFormat="1" x14ac:dyDescent="0.25">
      <c r="B270" s="182" t="s">
        <v>25</v>
      </c>
      <c r="C270" s="183"/>
      <c r="D270" s="54" t="str">
        <f>INDEX(Cad_Natureza!$B$3:$C$52,MATCH('2026'!F270,Cad_Natureza!$C$3:$C$52,0),MATCH('2026'!D$2,Cad_Natureza!$B$3:$C$3,0))</f>
        <v>OPF2</v>
      </c>
      <c r="E270" s="52" t="str">
        <f t="shared" si="72"/>
        <v>Despesa 268</v>
      </c>
      <c r="F270" s="53" t="s">
        <v>64</v>
      </c>
      <c r="G270" s="54" t="s">
        <v>25</v>
      </c>
      <c r="H270" s="55">
        <v>46111</v>
      </c>
      <c r="I270" s="55"/>
      <c r="J270" s="50" t="str">
        <f t="shared" si="73"/>
        <v>Observação da despesa 268</v>
      </c>
      <c r="K270" s="43">
        <v>-100</v>
      </c>
      <c r="L270" s="43">
        <f t="shared" si="74"/>
        <v>964.53000000000088</v>
      </c>
      <c r="M270" s="183"/>
      <c r="N270" s="37" t="str">
        <f t="shared" si="60"/>
        <v>MCSOPF2CPF - Desp. Transporte / Combustível</v>
      </c>
      <c r="O270" s="37" t="str">
        <f t="shared" si="61"/>
        <v>OPF2CPF - Desp. Transporte / Combustível</v>
      </c>
      <c r="P270" s="37" t="str">
        <f t="shared" si="62"/>
        <v>MCSOPF2CPF - Desp. Transporte / Combustível</v>
      </c>
      <c r="Q270" s="37" t="str">
        <f t="shared" si="63"/>
        <v>MCSOPF2</v>
      </c>
      <c r="R270" s="37" t="str">
        <f t="shared" si="64"/>
        <v>MCSOPF2</v>
      </c>
      <c r="S270" s="31"/>
      <c r="T270" s="185">
        <f t="shared" si="65"/>
        <v>46082</v>
      </c>
      <c r="U270" s="181">
        <v>268</v>
      </c>
    </row>
    <row r="271" spans="2:21" s="181" customFormat="1" x14ac:dyDescent="0.25">
      <c r="B271" s="182" t="s">
        <v>25</v>
      </c>
      <c r="C271" s="183"/>
      <c r="D271" s="54" t="str">
        <f>INDEX(Cad_Natureza!$B$3:$C$52,MATCH('2026'!F271,Cad_Natureza!$C$3:$C$52,0),MATCH('2026'!D$2,Cad_Natureza!$B$3:$C$3,0))</f>
        <v>PENS5</v>
      </c>
      <c r="E271" s="52" t="str">
        <f t="shared" si="72"/>
        <v>Despesa 269</v>
      </c>
      <c r="F271" s="53" t="s">
        <v>39</v>
      </c>
      <c r="G271" s="54" t="s">
        <v>25</v>
      </c>
      <c r="H271" s="55">
        <v>46111</v>
      </c>
      <c r="I271" s="55"/>
      <c r="J271" s="50" t="str">
        <f t="shared" si="73"/>
        <v>Observação da despesa 269</v>
      </c>
      <c r="K271" s="43">
        <v>-284.98</v>
      </c>
      <c r="L271" s="43">
        <f t="shared" si="74"/>
        <v>679.55000000000086</v>
      </c>
      <c r="M271" s="183"/>
      <c r="N271" s="37" t="str">
        <f t="shared" si="60"/>
        <v>MCSPENS5CPF - Pensão - Água</v>
      </c>
      <c r="O271" s="37" t="str">
        <f t="shared" si="61"/>
        <v>PENS5CPF - Pensão - Água</v>
      </c>
      <c r="P271" s="37" t="str">
        <f t="shared" si="62"/>
        <v>MCSPENS5CPF - Pensão - Água</v>
      </c>
      <c r="Q271" s="37" t="str">
        <f t="shared" si="63"/>
        <v>MCSPENS5</v>
      </c>
      <c r="R271" s="37" t="str">
        <f t="shared" si="64"/>
        <v>MCSPENS5</v>
      </c>
      <c r="S271" s="31"/>
      <c r="T271" s="185">
        <f t="shared" si="65"/>
        <v>46082</v>
      </c>
      <c r="U271" s="181">
        <v>269</v>
      </c>
    </row>
    <row r="272" spans="2:21" s="181" customFormat="1" x14ac:dyDescent="0.25">
      <c r="B272" s="182" t="s">
        <v>25</v>
      </c>
      <c r="C272" s="183"/>
      <c r="D272" s="54" t="str">
        <f>INDEX(Cad_Natureza!$B$3:$C$52,MATCH('2026'!F272,Cad_Natureza!$C$3:$C$52,0),MATCH('2026'!D$2,Cad_Natureza!$B$3:$C$3,0))</f>
        <v>PENS6</v>
      </c>
      <c r="E272" s="52" t="str">
        <f t="shared" si="72"/>
        <v>Despesa 270</v>
      </c>
      <c r="F272" s="53" t="s">
        <v>34</v>
      </c>
      <c r="G272" s="54" t="s">
        <v>25</v>
      </c>
      <c r="H272" s="55">
        <v>46111</v>
      </c>
      <c r="I272" s="55"/>
      <c r="J272" s="50" t="str">
        <f t="shared" si="73"/>
        <v>Observação da despesa 270</v>
      </c>
      <c r="K272" s="43">
        <v>-35.99</v>
      </c>
      <c r="L272" s="43">
        <f t="shared" si="74"/>
        <v>643.56000000000085</v>
      </c>
      <c r="M272" s="183"/>
      <c r="N272" s="37" t="str">
        <f t="shared" si="60"/>
        <v>MCSPENS6CPF - Pensão - Farmácia e Saúde</v>
      </c>
      <c r="O272" s="37" t="str">
        <f t="shared" si="61"/>
        <v>PENS6CPF - Pensão - Farmácia e Saúde</v>
      </c>
      <c r="P272" s="37" t="str">
        <f t="shared" si="62"/>
        <v>MCSPENS6CPF - Pensão - Farmácia e Saúde</v>
      </c>
      <c r="Q272" s="37" t="str">
        <f t="shared" si="63"/>
        <v>MCSPENS6</v>
      </c>
      <c r="R272" s="37" t="str">
        <f t="shared" si="64"/>
        <v>MCSPENS6</v>
      </c>
      <c r="S272" s="31"/>
      <c r="T272" s="185">
        <f t="shared" si="65"/>
        <v>46082</v>
      </c>
      <c r="U272" s="181">
        <v>270</v>
      </c>
    </row>
    <row r="273" spans="2:21" s="181" customFormat="1" x14ac:dyDescent="0.25">
      <c r="B273" s="182" t="s">
        <v>25</v>
      </c>
      <c r="C273" s="183"/>
      <c r="D273" s="54" t="str">
        <f>INDEX(Cad_Natureza!$B$3:$C$52,MATCH('2026'!F273,Cad_Natureza!$C$3:$C$52,0),MATCH('2026'!D$2,Cad_Natureza!$B$3:$C$3,0))</f>
        <v>DESP4</v>
      </c>
      <c r="E273" s="52" t="str">
        <f t="shared" si="72"/>
        <v>Despesa 271</v>
      </c>
      <c r="F273" s="53" t="s">
        <v>74</v>
      </c>
      <c r="G273" s="54" t="s">
        <v>25</v>
      </c>
      <c r="H273" s="55">
        <v>46111</v>
      </c>
      <c r="I273" s="55"/>
      <c r="J273" s="50" t="str">
        <f t="shared" si="73"/>
        <v>Observação da despesa 271</v>
      </c>
      <c r="K273" s="43">
        <v>-25.99</v>
      </c>
      <c r="L273" s="43">
        <f t="shared" si="74"/>
        <v>617.57000000000085</v>
      </c>
      <c r="M273" s="183"/>
      <c r="N273" s="37" t="str">
        <f t="shared" si="60"/>
        <v>MCSDESP4CPF - Desp. Moradia</v>
      </c>
      <c r="O273" s="37" t="str">
        <f t="shared" si="61"/>
        <v>DESP4CPF - Desp. Moradia</v>
      </c>
      <c r="P273" s="37" t="str">
        <f t="shared" si="62"/>
        <v>MCSDESP4CPF - Desp. Moradia</v>
      </c>
      <c r="Q273" s="37" t="str">
        <f t="shared" si="63"/>
        <v>MCSDESP4</v>
      </c>
      <c r="R273" s="37" t="str">
        <f t="shared" si="64"/>
        <v>MCSDESP4</v>
      </c>
      <c r="S273" s="31"/>
      <c r="T273" s="185">
        <f t="shared" si="65"/>
        <v>46082</v>
      </c>
      <c r="U273" s="181">
        <v>271</v>
      </c>
    </row>
    <row r="274" spans="2:21" s="181" customFormat="1" x14ac:dyDescent="0.25">
      <c r="B274" s="182" t="s">
        <v>25</v>
      </c>
      <c r="C274" s="183"/>
      <c r="D274" s="54" t="str">
        <f>INDEX(Cad_Natureza!$B$3:$C$52,MATCH('2026'!F274,Cad_Natureza!$C$3:$C$52,0),MATCH('2026'!D$2,Cad_Natureza!$B$3:$C$3,0))</f>
        <v>OPF1</v>
      </c>
      <c r="E274" s="52" t="str">
        <f t="shared" si="72"/>
        <v>Despesa 272</v>
      </c>
      <c r="F274" s="53" t="s">
        <v>67</v>
      </c>
      <c r="G274" s="54" t="s">
        <v>25</v>
      </c>
      <c r="H274" s="55">
        <v>46112</v>
      </c>
      <c r="I274" s="55"/>
      <c r="J274" s="50" t="str">
        <f t="shared" si="73"/>
        <v>Observação da despesa 272</v>
      </c>
      <c r="K274" s="43">
        <v>-24</v>
      </c>
      <c r="L274" s="43">
        <f t="shared" si="74"/>
        <v>593.57000000000085</v>
      </c>
      <c r="M274" s="183"/>
      <c r="N274" s="37" t="str">
        <f t="shared" si="60"/>
        <v>MCSOPF1CPF - Desp. Alimentação / Refeição</v>
      </c>
      <c r="O274" s="37" t="str">
        <f t="shared" si="61"/>
        <v>OPF1CPF - Desp. Alimentação / Refeição</v>
      </c>
      <c r="P274" s="37" t="str">
        <f t="shared" si="62"/>
        <v>MCSOPF1CPF - Desp. Alimentação / Refeição</v>
      </c>
      <c r="Q274" s="37" t="str">
        <f t="shared" si="63"/>
        <v>MCSOPF1</v>
      </c>
      <c r="R274" s="37" t="str">
        <f t="shared" si="64"/>
        <v>MCSOPF1</v>
      </c>
      <c r="S274" s="31"/>
      <c r="T274" s="185">
        <f t="shared" si="65"/>
        <v>46082</v>
      </c>
      <c r="U274" s="181">
        <v>272</v>
      </c>
    </row>
    <row r="275" spans="2:21" s="181" customFormat="1" x14ac:dyDescent="0.25">
      <c r="B275" s="182" t="s">
        <v>25</v>
      </c>
      <c r="C275" s="183"/>
      <c r="D275" s="54" t="str">
        <f>INDEX(Cad_Natureza!$B$3:$C$52,MATCH('2026'!F275,Cad_Natureza!$C$3:$C$52,0),MATCH('2026'!D$2,Cad_Natureza!$B$3:$C$3,0))</f>
        <v>GAST1</v>
      </c>
      <c r="E275" s="52" t="str">
        <f t="shared" si="72"/>
        <v>Despesa 273</v>
      </c>
      <c r="F275" s="53" t="s">
        <v>65</v>
      </c>
      <c r="G275" s="54" t="s">
        <v>25</v>
      </c>
      <c r="H275" s="55">
        <v>46112</v>
      </c>
      <c r="I275" s="55"/>
      <c r="J275" s="50" t="str">
        <f t="shared" si="73"/>
        <v>Observação da despesa 273</v>
      </c>
      <c r="K275" s="43">
        <v>-16</v>
      </c>
      <c r="L275" s="43">
        <f t="shared" si="74"/>
        <v>577.57000000000085</v>
      </c>
      <c r="M275" s="183"/>
      <c r="N275" s="37" t="str">
        <f t="shared" si="60"/>
        <v>MCSGAST1CPF - Desp. Lazer e Entretenimento - Bares</v>
      </c>
      <c r="O275" s="37" t="str">
        <f t="shared" si="61"/>
        <v>GAST1CPF - Desp. Lazer e Entretenimento - Bares</v>
      </c>
      <c r="P275" s="37" t="str">
        <f t="shared" si="62"/>
        <v>MCSGAST1CPF - Desp. Lazer e Entretenimento - Bares</v>
      </c>
      <c r="Q275" s="37" t="str">
        <f t="shared" si="63"/>
        <v>MCSGAST1</v>
      </c>
      <c r="R275" s="37" t="str">
        <f t="shared" si="64"/>
        <v>MCSGAST1</v>
      </c>
      <c r="S275" s="31"/>
      <c r="T275" s="185">
        <f t="shared" si="65"/>
        <v>46082</v>
      </c>
      <c r="U275" s="181">
        <v>273</v>
      </c>
    </row>
    <row r="276" spans="2:21" s="181" customFormat="1" x14ac:dyDescent="0.25">
      <c r="B276" s="182" t="s">
        <v>25</v>
      </c>
      <c r="C276" s="183"/>
      <c r="D276" s="54" t="str">
        <f>INDEX(Cad_Natureza!$B$3:$C$52,MATCH('2026'!F276,Cad_Natureza!$C$3:$C$52,0),MATCH('2026'!D$2,Cad_Natureza!$B$3:$C$3,0))</f>
        <v>GAST1</v>
      </c>
      <c r="E276" s="52" t="str">
        <f t="shared" si="72"/>
        <v>Despesa 274</v>
      </c>
      <c r="F276" s="53" t="s">
        <v>65</v>
      </c>
      <c r="G276" s="54" t="s">
        <v>25</v>
      </c>
      <c r="H276" s="55">
        <v>46112</v>
      </c>
      <c r="I276" s="55"/>
      <c r="J276" s="50" t="str">
        <f t="shared" si="73"/>
        <v>Observação da despesa 274</v>
      </c>
      <c r="K276" s="43">
        <v>-30</v>
      </c>
      <c r="L276" s="43">
        <f t="shared" si="74"/>
        <v>547.57000000000085</v>
      </c>
      <c r="M276" s="183"/>
      <c r="N276" s="37" t="str">
        <f t="shared" si="60"/>
        <v>MCSGAST1CPF - Desp. Lazer e Entretenimento - Bares</v>
      </c>
      <c r="O276" s="37" t="str">
        <f t="shared" si="61"/>
        <v>GAST1CPF - Desp. Lazer e Entretenimento - Bares</v>
      </c>
      <c r="P276" s="37" t="str">
        <f t="shared" si="62"/>
        <v>MCSGAST1CPF - Desp. Lazer e Entretenimento - Bares</v>
      </c>
      <c r="Q276" s="37" t="str">
        <f t="shared" si="63"/>
        <v>MCSGAST1</v>
      </c>
      <c r="R276" s="37" t="str">
        <f t="shared" si="64"/>
        <v>MCSGAST1</v>
      </c>
      <c r="S276" s="31"/>
      <c r="T276" s="185">
        <f t="shared" si="65"/>
        <v>46082</v>
      </c>
      <c r="U276" s="181">
        <v>274</v>
      </c>
    </row>
    <row r="277" spans="2:21" s="181" customFormat="1" x14ac:dyDescent="0.25">
      <c r="B277" s="182" t="s">
        <v>25</v>
      </c>
      <c r="C277" s="183"/>
      <c r="D277" s="54" t="str">
        <f>INDEX(Cad_Natureza!$B$3:$C$52,MATCH('2026'!F277,Cad_Natureza!$C$3:$C$52,0),MATCH('2026'!D$2,Cad_Natureza!$B$3:$C$3,0))</f>
        <v>GAST1</v>
      </c>
      <c r="E277" s="52" t="str">
        <f t="shared" si="72"/>
        <v>Despesa 275</v>
      </c>
      <c r="F277" s="53" t="s">
        <v>65</v>
      </c>
      <c r="G277" s="54" t="s">
        <v>25</v>
      </c>
      <c r="H277" s="55">
        <v>46112</v>
      </c>
      <c r="I277" s="55"/>
      <c r="J277" s="50" t="str">
        <f t="shared" si="73"/>
        <v>Observação da despesa 275</v>
      </c>
      <c r="K277" s="43">
        <v>-81.5</v>
      </c>
      <c r="L277" s="43">
        <f t="shared" si="74"/>
        <v>466.07000000000085</v>
      </c>
      <c r="M277" s="183"/>
      <c r="N277" s="37" t="str">
        <f t="shared" si="60"/>
        <v>MCSGAST1CPF - Desp. Lazer e Entretenimento - Bares</v>
      </c>
      <c r="O277" s="37" t="str">
        <f t="shared" si="61"/>
        <v>GAST1CPF - Desp. Lazer e Entretenimento - Bares</v>
      </c>
      <c r="P277" s="37" t="str">
        <f t="shared" si="62"/>
        <v>MCSGAST1CPF - Desp. Lazer e Entretenimento - Bares</v>
      </c>
      <c r="Q277" s="37" t="str">
        <f t="shared" si="63"/>
        <v>MCSGAST1</v>
      </c>
      <c r="R277" s="37" t="str">
        <f t="shared" si="64"/>
        <v>MCSGAST1</v>
      </c>
      <c r="S277" s="31"/>
      <c r="T277" s="185">
        <f t="shared" si="65"/>
        <v>46082</v>
      </c>
      <c r="U277" s="181">
        <v>275</v>
      </c>
    </row>
    <row r="278" spans="2:21" s="181" customFormat="1" x14ac:dyDescent="0.25">
      <c r="B278" s="182" t="s">
        <v>25</v>
      </c>
      <c r="C278" s="183"/>
      <c r="D278" s="54" t="str">
        <f>INDEX(Cad_Natureza!$B$3:$C$52,MATCH('2026'!F278,Cad_Natureza!$C$3:$C$52,0),MATCH('2026'!D$2,Cad_Natureza!$B$3:$C$3,0))</f>
        <v>GAST1</v>
      </c>
      <c r="E278" s="52" t="str">
        <f t="shared" si="72"/>
        <v>Despesa 276</v>
      </c>
      <c r="F278" s="53" t="s">
        <v>65</v>
      </c>
      <c r="G278" s="54" t="s">
        <v>25</v>
      </c>
      <c r="H278" s="55">
        <v>46113</v>
      </c>
      <c r="I278" s="55"/>
      <c r="J278" s="50" t="str">
        <f t="shared" si="73"/>
        <v>Observação da despesa 276</v>
      </c>
      <c r="K278" s="43">
        <v>-30</v>
      </c>
      <c r="L278" s="43">
        <f t="shared" si="74"/>
        <v>436.07000000000085</v>
      </c>
      <c r="M278" s="183"/>
      <c r="N278" s="37" t="str">
        <f t="shared" si="60"/>
        <v>MCSGAST1CPF - Desp. Lazer e Entretenimento - Bares</v>
      </c>
      <c r="O278" s="37" t="str">
        <f t="shared" si="61"/>
        <v>GAST1CPF - Desp. Lazer e Entretenimento - Bares</v>
      </c>
      <c r="P278" s="37" t="str">
        <f t="shared" si="62"/>
        <v>MCSGAST1CPF - Desp. Lazer e Entretenimento - Bares</v>
      </c>
      <c r="Q278" s="37" t="str">
        <f t="shared" si="63"/>
        <v>MCSGAST1</v>
      </c>
      <c r="R278" s="37" t="str">
        <f t="shared" si="64"/>
        <v>MCSGAST1</v>
      </c>
      <c r="S278" s="31"/>
      <c r="T278" s="185">
        <f t="shared" si="65"/>
        <v>46113</v>
      </c>
      <c r="U278" s="181">
        <v>276</v>
      </c>
    </row>
    <row r="279" spans="2:21" s="181" customFormat="1" x14ac:dyDescent="0.25">
      <c r="B279" s="182" t="s">
        <v>25</v>
      </c>
      <c r="C279" s="183"/>
      <c r="D279" s="54" t="str">
        <f>INDEX(Cad_Natureza!$B$3:$C$52,MATCH('2026'!F279,Cad_Natureza!$C$3:$C$52,0),MATCH('2026'!D$2,Cad_Natureza!$B$3:$C$3,0))</f>
        <v>OPF2</v>
      </c>
      <c r="E279" s="52" t="str">
        <f t="shared" si="72"/>
        <v>Despesa 277</v>
      </c>
      <c r="F279" s="53" t="s">
        <v>64</v>
      </c>
      <c r="G279" s="54" t="s">
        <v>25</v>
      </c>
      <c r="H279" s="55">
        <v>46114</v>
      </c>
      <c r="I279" s="55"/>
      <c r="J279" s="50" t="str">
        <f t="shared" si="73"/>
        <v>Observação da despesa 277</v>
      </c>
      <c r="K279" s="43">
        <v>-100</v>
      </c>
      <c r="L279" s="43">
        <f t="shared" si="74"/>
        <v>336.07000000000085</v>
      </c>
      <c r="M279" s="183"/>
      <c r="N279" s="37" t="str">
        <f t="shared" si="60"/>
        <v>MCSOPF2CPF - Desp. Transporte / Combustível</v>
      </c>
      <c r="O279" s="37" t="str">
        <f t="shared" si="61"/>
        <v>OPF2CPF - Desp. Transporte / Combustível</v>
      </c>
      <c r="P279" s="37" t="str">
        <f t="shared" si="62"/>
        <v>MCSOPF2CPF - Desp. Transporte / Combustível</v>
      </c>
      <c r="Q279" s="37" t="str">
        <f t="shared" si="63"/>
        <v>MCSOPF2</v>
      </c>
      <c r="R279" s="37" t="str">
        <f t="shared" si="64"/>
        <v>MCSOPF2</v>
      </c>
      <c r="S279" s="31"/>
      <c r="T279" s="185">
        <f t="shared" si="65"/>
        <v>46113</v>
      </c>
      <c r="U279" s="181">
        <v>277</v>
      </c>
    </row>
    <row r="280" spans="2:21" s="181" customFormat="1" x14ac:dyDescent="0.25">
      <c r="B280" s="182" t="s">
        <v>25</v>
      </c>
      <c r="C280" s="183"/>
      <c r="D280" s="54" t="str">
        <f>INDEX(Cad_Natureza!$B$3:$C$52,MATCH('2026'!F280,Cad_Natureza!$C$3:$C$52,0),MATCH('2026'!D$2,Cad_Natureza!$B$3:$C$3,0))</f>
        <v>OPF1</v>
      </c>
      <c r="E280" s="52" t="str">
        <f t="shared" si="72"/>
        <v>Despesa 278</v>
      </c>
      <c r="F280" s="53" t="s">
        <v>67</v>
      </c>
      <c r="G280" s="54" t="s">
        <v>25</v>
      </c>
      <c r="H280" s="55">
        <v>46114</v>
      </c>
      <c r="I280" s="55"/>
      <c r="J280" s="50" t="str">
        <f t="shared" si="73"/>
        <v>Observação da despesa 278</v>
      </c>
      <c r="K280" s="43">
        <v>-24</v>
      </c>
      <c r="L280" s="43">
        <f t="shared" si="74"/>
        <v>312.07000000000085</v>
      </c>
      <c r="M280" s="183"/>
      <c r="N280" s="37" t="str">
        <f t="shared" si="60"/>
        <v>MCSOPF1CPF - Desp. Alimentação / Refeição</v>
      </c>
      <c r="O280" s="37" t="str">
        <f t="shared" si="61"/>
        <v>OPF1CPF - Desp. Alimentação / Refeição</v>
      </c>
      <c r="P280" s="37" t="str">
        <f t="shared" si="62"/>
        <v>MCSOPF1CPF - Desp. Alimentação / Refeição</v>
      </c>
      <c r="Q280" s="37" t="str">
        <f t="shared" si="63"/>
        <v>MCSOPF1</v>
      </c>
      <c r="R280" s="37" t="str">
        <f t="shared" si="64"/>
        <v>MCSOPF1</v>
      </c>
      <c r="S280" s="31"/>
      <c r="T280" s="185">
        <f t="shared" si="65"/>
        <v>46113</v>
      </c>
      <c r="U280" s="181">
        <v>278</v>
      </c>
    </row>
    <row r="281" spans="2:21" s="177" customFormat="1" x14ac:dyDescent="0.25">
      <c r="B281" s="174" t="s">
        <v>25</v>
      </c>
      <c r="C281" s="51"/>
      <c r="D281" s="44" t="str">
        <f>INDEX(Cad_Natureza!$B$3:$C$52,MATCH('2026'!F281,Cad_Natureza!$C$3:$C$52,0),MATCH('2026'!D$2,Cad_Natureza!$B$3:$C$3,0))</f>
        <v>REC4</v>
      </c>
      <c r="E281" s="45" t="str">
        <f t="shared" si="72"/>
        <v>Receita 279</v>
      </c>
      <c r="F281" s="46" t="s">
        <v>57</v>
      </c>
      <c r="G281" s="44" t="s">
        <v>25</v>
      </c>
      <c r="H281" s="47">
        <v>46114</v>
      </c>
      <c r="I281" s="47"/>
      <c r="J281" s="48" t="str">
        <f t="shared" si="73"/>
        <v>Observação da receita 279</v>
      </c>
      <c r="K281" s="49">
        <v>1000</v>
      </c>
      <c r="L281" s="49">
        <f t="shared" si="74"/>
        <v>1312.0700000000008</v>
      </c>
      <c r="M281" s="51"/>
      <c r="N281" s="37" t="str">
        <f t="shared" si="60"/>
        <v>MCSREC4CPF - Transf. Da conta PJ para a conta PF</v>
      </c>
      <c r="O281" s="37" t="str">
        <f t="shared" si="61"/>
        <v>REC4CPF - Transf. Da conta PJ para a conta PF</v>
      </c>
      <c r="P281" s="37" t="str">
        <f t="shared" si="62"/>
        <v>MCSREC4CPF - Transf. Da conta PJ para a conta PF</v>
      </c>
      <c r="Q281" s="37" t="str">
        <f t="shared" si="63"/>
        <v>MCSREC4</v>
      </c>
      <c r="R281" s="37" t="str">
        <f t="shared" si="64"/>
        <v>MCSREC4</v>
      </c>
      <c r="S281" s="31"/>
      <c r="T281" s="176">
        <f t="shared" si="65"/>
        <v>46113</v>
      </c>
      <c r="U281" s="181">
        <v>279</v>
      </c>
    </row>
    <row r="282" spans="2:21" s="181" customFormat="1" x14ac:dyDescent="0.25">
      <c r="B282" s="182" t="s">
        <v>25</v>
      </c>
      <c r="C282" s="183"/>
      <c r="D282" s="54" t="str">
        <f>INDEX(Cad_Natureza!$B$3:$C$52,MATCH('2026'!F282,Cad_Natureza!$C$3:$C$52,0),MATCH('2026'!D$2,Cad_Natureza!$B$3:$C$3,0))</f>
        <v>GAST1</v>
      </c>
      <c r="E282" s="52" t="str">
        <f t="shared" si="72"/>
        <v>Despesa 280</v>
      </c>
      <c r="F282" s="53" t="s">
        <v>65</v>
      </c>
      <c r="G282" s="54" t="s">
        <v>25</v>
      </c>
      <c r="H282" s="55">
        <v>46114</v>
      </c>
      <c r="I282" s="55"/>
      <c r="J282" s="50" t="str">
        <f t="shared" si="73"/>
        <v>Observação da despesa 280</v>
      </c>
      <c r="K282" s="43">
        <v>-52</v>
      </c>
      <c r="L282" s="43">
        <f t="shared" si="74"/>
        <v>1260.0700000000008</v>
      </c>
      <c r="M282" s="183"/>
      <c r="N282" s="37" t="str">
        <f t="shared" si="60"/>
        <v>MCSGAST1CPF - Desp. Lazer e Entretenimento - Bares</v>
      </c>
      <c r="O282" s="37" t="str">
        <f t="shared" si="61"/>
        <v>GAST1CPF - Desp. Lazer e Entretenimento - Bares</v>
      </c>
      <c r="P282" s="37" t="str">
        <f t="shared" si="62"/>
        <v>MCSGAST1CPF - Desp. Lazer e Entretenimento - Bares</v>
      </c>
      <c r="Q282" s="37" t="str">
        <f t="shared" si="63"/>
        <v>MCSGAST1</v>
      </c>
      <c r="R282" s="37" t="str">
        <f t="shared" si="64"/>
        <v>MCSGAST1</v>
      </c>
      <c r="S282" s="31"/>
      <c r="T282" s="185">
        <f t="shared" si="65"/>
        <v>46113</v>
      </c>
      <c r="U282" s="181">
        <v>280</v>
      </c>
    </row>
    <row r="283" spans="2:21" s="181" customFormat="1" x14ac:dyDescent="0.25">
      <c r="B283" s="182" t="s">
        <v>25</v>
      </c>
      <c r="C283" s="183"/>
      <c r="D283" s="54" t="str">
        <f>INDEX(Cad_Natureza!$B$3:$C$52,MATCH('2026'!F283,Cad_Natureza!$C$3:$C$52,0),MATCH('2026'!D$2,Cad_Natureza!$B$3:$C$3,0))</f>
        <v>FIN2</v>
      </c>
      <c r="E283" s="52" t="str">
        <f t="shared" si="72"/>
        <v>Despesa 281</v>
      </c>
      <c r="F283" s="53" t="s">
        <v>72</v>
      </c>
      <c r="G283" s="54" t="s">
        <v>25</v>
      </c>
      <c r="H283" s="55">
        <v>46114</v>
      </c>
      <c r="I283" s="55"/>
      <c r="J283" s="50" t="str">
        <f t="shared" si="73"/>
        <v>Observação da despesa 281</v>
      </c>
      <c r="K283" s="43">
        <v>-28</v>
      </c>
      <c r="L283" s="43">
        <f t="shared" si="74"/>
        <v>1232.0700000000008</v>
      </c>
      <c r="M283" s="183"/>
      <c r="N283" s="37" t="str">
        <f t="shared" si="60"/>
        <v>MCSFIN2CPF - Desp. Financeiras - Juros / Tarifas</v>
      </c>
      <c r="O283" s="37" t="str">
        <f t="shared" si="61"/>
        <v>FIN2CPF - Desp. Financeiras - Juros / Tarifas</v>
      </c>
      <c r="P283" s="37" t="str">
        <f t="shared" si="62"/>
        <v>MCSFIN2CPF - Desp. Financeiras - Juros / Tarifas</v>
      </c>
      <c r="Q283" s="37" t="str">
        <f t="shared" si="63"/>
        <v>MCSFIN2</v>
      </c>
      <c r="R283" s="37" t="str">
        <f t="shared" si="64"/>
        <v>MCSFIN2</v>
      </c>
      <c r="S283" s="31"/>
      <c r="T283" s="185">
        <f t="shared" si="65"/>
        <v>46113</v>
      </c>
      <c r="U283" s="181">
        <v>281</v>
      </c>
    </row>
    <row r="284" spans="2:21" s="181" customFormat="1" x14ac:dyDescent="0.25">
      <c r="B284" s="182" t="s">
        <v>25</v>
      </c>
      <c r="C284" s="183"/>
      <c r="D284" s="54" t="str">
        <f>INDEX(Cad_Natureza!$B$3:$C$52,MATCH('2026'!F284,Cad_Natureza!$C$3:$C$52,0),MATCH('2026'!D$2,Cad_Natureza!$B$3:$C$3,0))</f>
        <v>GAST1</v>
      </c>
      <c r="E284" s="52" t="str">
        <f t="shared" si="72"/>
        <v>Despesa 282</v>
      </c>
      <c r="F284" s="53" t="s">
        <v>65</v>
      </c>
      <c r="G284" s="54" t="s">
        <v>25</v>
      </c>
      <c r="H284" s="55">
        <v>46114</v>
      </c>
      <c r="I284" s="55"/>
      <c r="J284" s="50" t="str">
        <f t="shared" si="73"/>
        <v>Observação da despesa 282</v>
      </c>
      <c r="K284" s="43">
        <v>-116.5</v>
      </c>
      <c r="L284" s="43">
        <f t="shared" si="74"/>
        <v>1115.5700000000008</v>
      </c>
      <c r="M284" s="183"/>
      <c r="N284" s="37" t="str">
        <f t="shared" si="60"/>
        <v>MCSGAST1CPF - Desp. Lazer e Entretenimento - Bares</v>
      </c>
      <c r="O284" s="37" t="str">
        <f t="shared" si="61"/>
        <v>GAST1CPF - Desp. Lazer e Entretenimento - Bares</v>
      </c>
      <c r="P284" s="37" t="str">
        <f t="shared" si="62"/>
        <v>MCSGAST1CPF - Desp. Lazer e Entretenimento - Bares</v>
      </c>
      <c r="Q284" s="37" t="str">
        <f t="shared" si="63"/>
        <v>MCSGAST1</v>
      </c>
      <c r="R284" s="37" t="str">
        <f t="shared" si="64"/>
        <v>MCSGAST1</v>
      </c>
      <c r="S284" s="31"/>
      <c r="T284" s="185">
        <f t="shared" si="65"/>
        <v>46113</v>
      </c>
      <c r="U284" s="181">
        <v>282</v>
      </c>
    </row>
    <row r="285" spans="2:21" s="181" customFormat="1" x14ac:dyDescent="0.25">
      <c r="B285" s="182" t="s">
        <v>25</v>
      </c>
      <c r="C285" s="183"/>
      <c r="D285" s="54" t="str">
        <f>INDEX(Cad_Natureza!$B$3:$C$52,MATCH('2026'!F285,Cad_Natureza!$C$3:$C$52,0),MATCH('2026'!D$2,Cad_Natureza!$B$3:$C$3,0))</f>
        <v>OUG1</v>
      </c>
      <c r="E285" s="52" t="str">
        <f t="shared" si="72"/>
        <v>Despesa 283</v>
      </c>
      <c r="F285" s="53" t="s">
        <v>70</v>
      </c>
      <c r="G285" s="54" t="s">
        <v>25</v>
      </c>
      <c r="H285" s="55">
        <v>46118</v>
      </c>
      <c r="I285" s="55"/>
      <c r="J285" s="50" t="str">
        <f t="shared" si="73"/>
        <v>Observação da despesa 283</v>
      </c>
      <c r="K285" s="43">
        <v>-189.98</v>
      </c>
      <c r="L285" s="43">
        <f t="shared" si="74"/>
        <v>925.59000000000083</v>
      </c>
      <c r="M285" s="183"/>
      <c r="N285" s="37" t="str">
        <f t="shared" si="60"/>
        <v>MCSOUG1CPF - Outros gastos</v>
      </c>
      <c r="O285" s="37" t="str">
        <f t="shared" si="61"/>
        <v>OUG1CPF - Outros gastos</v>
      </c>
      <c r="P285" s="37" t="str">
        <f t="shared" si="62"/>
        <v>MCSOUG1CPF - Outros gastos</v>
      </c>
      <c r="Q285" s="37" t="str">
        <f t="shared" si="63"/>
        <v>MCSOUG1</v>
      </c>
      <c r="R285" s="37" t="str">
        <f t="shared" si="64"/>
        <v>MCSOUG1</v>
      </c>
      <c r="S285" s="31"/>
      <c r="T285" s="185">
        <f t="shared" si="65"/>
        <v>46113</v>
      </c>
      <c r="U285" s="181">
        <v>283</v>
      </c>
    </row>
    <row r="286" spans="2:21" s="181" customFormat="1" x14ac:dyDescent="0.25">
      <c r="B286" s="182" t="s">
        <v>25</v>
      </c>
      <c r="C286" s="183"/>
      <c r="D286" s="54" t="str">
        <f>INDEX(Cad_Natureza!$B$3:$C$52,MATCH('2026'!F286,Cad_Natureza!$C$3:$C$52,0),MATCH('2026'!D$2,Cad_Natureza!$B$3:$C$3,0))</f>
        <v>GAST1</v>
      </c>
      <c r="E286" s="52" t="str">
        <f t="shared" si="72"/>
        <v>Despesa 284</v>
      </c>
      <c r="F286" s="53" t="s">
        <v>65</v>
      </c>
      <c r="G286" s="54" t="s">
        <v>25</v>
      </c>
      <c r="H286" s="55">
        <v>46118</v>
      </c>
      <c r="I286" s="55"/>
      <c r="J286" s="50" t="str">
        <f t="shared" si="73"/>
        <v>Observação da despesa 284</v>
      </c>
      <c r="K286" s="43">
        <v>-69</v>
      </c>
      <c r="L286" s="43">
        <f t="shared" si="74"/>
        <v>856.59000000000083</v>
      </c>
      <c r="M286" s="183"/>
      <c r="N286" s="37" t="str">
        <f t="shared" ref="N286:N315" si="75">B286&amp;D286&amp;F286</f>
        <v>MCSGAST1CPF - Desp. Lazer e Entretenimento - Bares</v>
      </c>
      <c r="O286" s="37" t="str">
        <f t="shared" ref="O286:O315" si="76">D286&amp;F286</f>
        <v>GAST1CPF - Desp. Lazer e Entretenimento - Bares</v>
      </c>
      <c r="P286" s="37" t="str">
        <f t="shared" ref="P286:P315" si="77">"MCS"&amp;D286&amp;F286</f>
        <v>MCSGAST1CPF - Desp. Lazer e Entretenimento - Bares</v>
      </c>
      <c r="Q286" s="37" t="str">
        <f t="shared" ref="Q286:Q315" si="78">"MCS"&amp;D286</f>
        <v>MCSGAST1</v>
      </c>
      <c r="R286" s="37" t="str">
        <f t="shared" ref="R286:R315" si="79">B286&amp;D286</f>
        <v>MCSGAST1</v>
      </c>
      <c r="S286" s="31"/>
      <c r="T286" s="185">
        <f t="shared" ref="T286:T315" si="80">(1&amp;"/"&amp;MONTH(H286)&amp;"/"&amp;YEAR(H286))*1</f>
        <v>46113</v>
      </c>
      <c r="U286" s="181">
        <v>284</v>
      </c>
    </row>
    <row r="287" spans="2:21" s="181" customFormat="1" x14ac:dyDescent="0.25">
      <c r="B287" s="182" t="s">
        <v>25</v>
      </c>
      <c r="C287" s="183"/>
      <c r="D287" s="54" t="str">
        <f>INDEX(Cad_Natureza!$B$3:$C$52,MATCH('2026'!F287,Cad_Natureza!$C$3:$C$52,0),MATCH('2026'!D$2,Cad_Natureza!$B$3:$C$3,0))</f>
        <v>DESP2</v>
      </c>
      <c r="E287" s="52" t="str">
        <f t="shared" si="72"/>
        <v>Despesa 285</v>
      </c>
      <c r="F287" s="53" t="s">
        <v>62</v>
      </c>
      <c r="G287" s="54" t="s">
        <v>25</v>
      </c>
      <c r="H287" s="55">
        <v>46118</v>
      </c>
      <c r="I287" s="55"/>
      <c r="J287" s="50" t="str">
        <f t="shared" si="73"/>
        <v>Observação da despesa 285</v>
      </c>
      <c r="K287" s="43">
        <v>-125.21</v>
      </c>
      <c r="L287" s="43">
        <f t="shared" si="74"/>
        <v>731.38000000000079</v>
      </c>
      <c r="M287" s="183"/>
      <c r="N287" s="37" t="str">
        <f t="shared" si="75"/>
        <v>MCSDESP2CPF - Desp. Telefone / Internet</v>
      </c>
      <c r="O287" s="37" t="str">
        <f t="shared" si="76"/>
        <v>DESP2CPF - Desp. Telefone / Internet</v>
      </c>
      <c r="P287" s="37" t="str">
        <f t="shared" si="77"/>
        <v>MCSDESP2CPF - Desp. Telefone / Internet</v>
      </c>
      <c r="Q287" s="37" t="str">
        <f t="shared" si="78"/>
        <v>MCSDESP2</v>
      </c>
      <c r="R287" s="37" t="str">
        <f t="shared" si="79"/>
        <v>MCSDESP2</v>
      </c>
      <c r="S287" s="31"/>
      <c r="T287" s="185">
        <f t="shared" si="80"/>
        <v>46113</v>
      </c>
      <c r="U287" s="181">
        <v>285</v>
      </c>
    </row>
    <row r="288" spans="2:21" s="181" customFormat="1" x14ac:dyDescent="0.25">
      <c r="B288" s="182" t="s">
        <v>25</v>
      </c>
      <c r="C288" s="183"/>
      <c r="D288" s="54" t="str">
        <f>INDEX(Cad_Natureza!$B$3:$C$52,MATCH('2026'!F288,Cad_Natureza!$C$3:$C$52,0),MATCH('2026'!D$2,Cad_Natureza!$B$3:$C$3,0))</f>
        <v>OUG1</v>
      </c>
      <c r="E288" s="52" t="str">
        <f t="shared" si="72"/>
        <v>Despesa 286</v>
      </c>
      <c r="F288" s="53" t="s">
        <v>70</v>
      </c>
      <c r="G288" s="54" t="s">
        <v>25</v>
      </c>
      <c r="H288" s="55">
        <v>46118</v>
      </c>
      <c r="I288" s="55"/>
      <c r="J288" s="50" t="str">
        <f t="shared" si="73"/>
        <v>Observação da despesa 286</v>
      </c>
      <c r="K288" s="43">
        <v>-59.99</v>
      </c>
      <c r="L288" s="43">
        <f t="shared" si="74"/>
        <v>671.39000000000078</v>
      </c>
      <c r="M288" s="183"/>
      <c r="N288" s="37" t="str">
        <f t="shared" si="75"/>
        <v>MCSOUG1CPF - Outros gastos</v>
      </c>
      <c r="O288" s="37" t="str">
        <f t="shared" si="76"/>
        <v>OUG1CPF - Outros gastos</v>
      </c>
      <c r="P288" s="37" t="str">
        <f t="shared" si="77"/>
        <v>MCSOUG1CPF - Outros gastos</v>
      </c>
      <c r="Q288" s="37" t="str">
        <f t="shared" si="78"/>
        <v>MCSOUG1</v>
      </c>
      <c r="R288" s="37" t="str">
        <f t="shared" si="79"/>
        <v>MCSOUG1</v>
      </c>
      <c r="S288" s="31"/>
      <c r="T288" s="185">
        <f t="shared" si="80"/>
        <v>46113</v>
      </c>
      <c r="U288" s="181">
        <v>286</v>
      </c>
    </row>
    <row r="289" spans="2:21" s="181" customFormat="1" x14ac:dyDescent="0.25">
      <c r="B289" s="182" t="s">
        <v>25</v>
      </c>
      <c r="C289" s="183"/>
      <c r="D289" s="54" t="str">
        <f>INDEX(Cad_Natureza!$B$3:$C$52,MATCH('2026'!F289,Cad_Natureza!$C$3:$C$52,0),MATCH('2026'!D$2,Cad_Natureza!$B$3:$C$3,0))</f>
        <v>OUG1</v>
      </c>
      <c r="E289" s="52" t="str">
        <f t="shared" si="72"/>
        <v>Despesa 287</v>
      </c>
      <c r="F289" s="53" t="s">
        <v>70</v>
      </c>
      <c r="G289" s="54" t="s">
        <v>25</v>
      </c>
      <c r="H289" s="55">
        <v>46118</v>
      </c>
      <c r="I289" s="55"/>
      <c r="J289" s="50" t="str">
        <f t="shared" si="73"/>
        <v>Observação da despesa 287</v>
      </c>
      <c r="K289" s="43">
        <v>-45.79</v>
      </c>
      <c r="L289" s="43">
        <f t="shared" si="74"/>
        <v>625.60000000000082</v>
      </c>
      <c r="M289" s="183"/>
      <c r="N289" s="37" t="str">
        <f t="shared" si="75"/>
        <v>MCSOUG1CPF - Outros gastos</v>
      </c>
      <c r="O289" s="37" t="str">
        <f t="shared" si="76"/>
        <v>OUG1CPF - Outros gastos</v>
      </c>
      <c r="P289" s="37" t="str">
        <f t="shared" si="77"/>
        <v>MCSOUG1CPF - Outros gastos</v>
      </c>
      <c r="Q289" s="37" t="str">
        <f t="shared" si="78"/>
        <v>MCSOUG1</v>
      </c>
      <c r="R289" s="37" t="str">
        <f t="shared" si="79"/>
        <v>MCSOUG1</v>
      </c>
      <c r="S289" s="31"/>
      <c r="T289" s="185">
        <f t="shared" si="80"/>
        <v>46113</v>
      </c>
      <c r="U289" s="181">
        <v>287</v>
      </c>
    </row>
    <row r="290" spans="2:21" s="181" customFormat="1" x14ac:dyDescent="0.25">
      <c r="B290" s="182" t="s">
        <v>25</v>
      </c>
      <c r="C290" s="183"/>
      <c r="D290" s="54" t="str">
        <f>INDEX(Cad_Natureza!$B$3:$C$52,MATCH('2026'!F290,Cad_Natureza!$C$3:$C$52,0),MATCH('2026'!D$2,Cad_Natureza!$B$3:$C$3,0))</f>
        <v>OUG1</v>
      </c>
      <c r="E290" s="52" t="str">
        <f t="shared" si="72"/>
        <v>Despesa 288</v>
      </c>
      <c r="F290" s="53" t="s">
        <v>70</v>
      </c>
      <c r="G290" s="54" t="s">
        <v>25</v>
      </c>
      <c r="H290" s="55">
        <v>46118</v>
      </c>
      <c r="I290" s="55"/>
      <c r="J290" s="50" t="str">
        <f t="shared" si="73"/>
        <v>Observação da despesa 288</v>
      </c>
      <c r="K290" s="43">
        <v>-110.38</v>
      </c>
      <c r="L290" s="43">
        <f t="shared" si="74"/>
        <v>515.22000000000082</v>
      </c>
      <c r="M290" s="183"/>
      <c r="N290" s="37" t="str">
        <f t="shared" si="75"/>
        <v>MCSOUG1CPF - Outros gastos</v>
      </c>
      <c r="O290" s="37" t="str">
        <f t="shared" si="76"/>
        <v>OUG1CPF - Outros gastos</v>
      </c>
      <c r="P290" s="37" t="str">
        <f t="shared" si="77"/>
        <v>MCSOUG1CPF - Outros gastos</v>
      </c>
      <c r="Q290" s="37" t="str">
        <f t="shared" si="78"/>
        <v>MCSOUG1</v>
      </c>
      <c r="R290" s="37" t="str">
        <f t="shared" si="79"/>
        <v>MCSOUG1</v>
      </c>
      <c r="S290" s="31"/>
      <c r="T290" s="185">
        <f t="shared" si="80"/>
        <v>46113</v>
      </c>
      <c r="U290" s="181">
        <v>288</v>
      </c>
    </row>
    <row r="291" spans="2:21" s="181" customFormat="1" x14ac:dyDescent="0.25">
      <c r="B291" s="182" t="s">
        <v>25</v>
      </c>
      <c r="C291" s="183"/>
      <c r="D291" s="54" t="str">
        <f>INDEX(Cad_Natureza!$B$3:$C$52,MATCH('2026'!F291,Cad_Natureza!$C$3:$C$52,0),MATCH('2026'!D$2,Cad_Natureza!$B$3:$C$3,0))</f>
        <v>OPF2</v>
      </c>
      <c r="E291" s="52" t="str">
        <f t="shared" si="72"/>
        <v>Despesa 289</v>
      </c>
      <c r="F291" s="53" t="s">
        <v>64</v>
      </c>
      <c r="G291" s="54" t="s">
        <v>25</v>
      </c>
      <c r="H291" s="55">
        <v>46118</v>
      </c>
      <c r="I291" s="55"/>
      <c r="J291" s="50" t="str">
        <f t="shared" si="73"/>
        <v>Observação da despesa 289</v>
      </c>
      <c r="K291" s="43">
        <v>-80</v>
      </c>
      <c r="L291" s="43">
        <f t="shared" si="74"/>
        <v>435.22000000000082</v>
      </c>
      <c r="M291" s="183"/>
      <c r="N291" s="37" t="str">
        <f t="shared" si="75"/>
        <v>MCSOPF2CPF - Desp. Transporte / Combustível</v>
      </c>
      <c r="O291" s="37" t="str">
        <f t="shared" si="76"/>
        <v>OPF2CPF - Desp. Transporte / Combustível</v>
      </c>
      <c r="P291" s="37" t="str">
        <f t="shared" si="77"/>
        <v>MCSOPF2CPF - Desp. Transporte / Combustível</v>
      </c>
      <c r="Q291" s="37" t="str">
        <f t="shared" si="78"/>
        <v>MCSOPF2</v>
      </c>
      <c r="R291" s="37" t="str">
        <f t="shared" si="79"/>
        <v>MCSOPF2</v>
      </c>
      <c r="S291" s="31"/>
      <c r="T291" s="185">
        <f t="shared" si="80"/>
        <v>46113</v>
      </c>
      <c r="U291" s="181">
        <v>289</v>
      </c>
    </row>
    <row r="292" spans="2:21" s="181" customFormat="1" x14ac:dyDescent="0.25">
      <c r="B292" s="182" t="s">
        <v>25</v>
      </c>
      <c r="C292" s="183"/>
      <c r="D292" s="54" t="str">
        <f>INDEX(Cad_Natureza!$B$3:$C$52,MATCH('2026'!F292,Cad_Natureza!$C$3:$C$52,0),MATCH('2026'!D$2,Cad_Natureza!$B$3:$C$3,0))</f>
        <v>GAST1</v>
      </c>
      <c r="E292" s="52" t="str">
        <f t="shared" si="72"/>
        <v>Despesa 290</v>
      </c>
      <c r="F292" s="53" t="s">
        <v>65</v>
      </c>
      <c r="G292" s="54" t="s">
        <v>25</v>
      </c>
      <c r="H292" s="55">
        <v>46118</v>
      </c>
      <c r="I292" s="55"/>
      <c r="J292" s="50" t="str">
        <f t="shared" si="73"/>
        <v>Observação da despesa 290</v>
      </c>
      <c r="K292" s="43">
        <v>-26</v>
      </c>
      <c r="L292" s="43">
        <f t="shared" si="74"/>
        <v>409.22000000000082</v>
      </c>
      <c r="M292" s="183"/>
      <c r="N292" s="37" t="str">
        <f t="shared" si="75"/>
        <v>MCSGAST1CPF - Desp. Lazer e Entretenimento - Bares</v>
      </c>
      <c r="O292" s="37" t="str">
        <f t="shared" si="76"/>
        <v>GAST1CPF - Desp. Lazer e Entretenimento - Bares</v>
      </c>
      <c r="P292" s="37" t="str">
        <f t="shared" si="77"/>
        <v>MCSGAST1CPF - Desp. Lazer e Entretenimento - Bares</v>
      </c>
      <c r="Q292" s="37" t="str">
        <f t="shared" si="78"/>
        <v>MCSGAST1</v>
      </c>
      <c r="R292" s="37" t="str">
        <f t="shared" si="79"/>
        <v>MCSGAST1</v>
      </c>
      <c r="S292" s="31"/>
      <c r="T292" s="185">
        <f t="shared" si="80"/>
        <v>46113</v>
      </c>
      <c r="U292" s="181">
        <v>290</v>
      </c>
    </row>
    <row r="293" spans="2:21" s="181" customFormat="1" x14ac:dyDescent="0.25">
      <c r="B293" s="182" t="s">
        <v>25</v>
      </c>
      <c r="C293" s="183"/>
      <c r="D293" s="54" t="str">
        <f>INDEX(Cad_Natureza!$B$3:$C$52,MATCH('2026'!F293,Cad_Natureza!$C$3:$C$52,0),MATCH('2026'!D$2,Cad_Natureza!$B$3:$C$3,0))</f>
        <v>GAST1</v>
      </c>
      <c r="E293" s="52" t="str">
        <f t="shared" si="72"/>
        <v>Despesa 291</v>
      </c>
      <c r="F293" s="53" t="s">
        <v>65</v>
      </c>
      <c r="G293" s="54" t="s">
        <v>25</v>
      </c>
      <c r="H293" s="55">
        <v>46118</v>
      </c>
      <c r="I293" s="55"/>
      <c r="J293" s="50" t="str">
        <f t="shared" si="73"/>
        <v>Observação da despesa 291</v>
      </c>
      <c r="K293" s="43">
        <v>-20</v>
      </c>
      <c r="L293" s="43">
        <f t="shared" si="74"/>
        <v>389.22000000000082</v>
      </c>
      <c r="M293" s="183"/>
      <c r="N293" s="37" t="str">
        <f t="shared" si="75"/>
        <v>MCSGAST1CPF - Desp. Lazer e Entretenimento - Bares</v>
      </c>
      <c r="O293" s="37" t="str">
        <f t="shared" si="76"/>
        <v>GAST1CPF - Desp. Lazer e Entretenimento - Bares</v>
      </c>
      <c r="P293" s="37" t="str">
        <f t="shared" si="77"/>
        <v>MCSGAST1CPF - Desp. Lazer e Entretenimento - Bares</v>
      </c>
      <c r="Q293" s="37" t="str">
        <f t="shared" si="78"/>
        <v>MCSGAST1</v>
      </c>
      <c r="R293" s="37" t="str">
        <f t="shared" si="79"/>
        <v>MCSGAST1</v>
      </c>
      <c r="S293" s="31"/>
      <c r="T293" s="185">
        <f t="shared" si="80"/>
        <v>46113</v>
      </c>
      <c r="U293" s="181">
        <v>291</v>
      </c>
    </row>
    <row r="294" spans="2:21" s="181" customFormat="1" x14ac:dyDescent="0.25">
      <c r="B294" s="182" t="s">
        <v>25</v>
      </c>
      <c r="C294" s="183"/>
      <c r="D294" s="54" t="str">
        <f>INDEX(Cad_Natureza!$B$3:$C$52,MATCH('2026'!F294,Cad_Natureza!$C$3:$C$52,0),MATCH('2026'!D$2,Cad_Natureza!$B$3:$C$3,0))</f>
        <v>GAST1</v>
      </c>
      <c r="E294" s="52" t="str">
        <f t="shared" si="72"/>
        <v>Despesa 292</v>
      </c>
      <c r="F294" s="53" t="s">
        <v>65</v>
      </c>
      <c r="G294" s="54" t="s">
        <v>25</v>
      </c>
      <c r="H294" s="55">
        <v>46118</v>
      </c>
      <c r="I294" s="55"/>
      <c r="J294" s="50" t="str">
        <f t="shared" si="73"/>
        <v>Observação da despesa 292</v>
      </c>
      <c r="K294" s="43">
        <v>-50</v>
      </c>
      <c r="L294" s="43">
        <f t="shared" si="74"/>
        <v>339.22000000000082</v>
      </c>
      <c r="M294" s="183"/>
      <c r="N294" s="37" t="str">
        <f t="shared" si="75"/>
        <v>MCSGAST1CPF - Desp. Lazer e Entretenimento - Bares</v>
      </c>
      <c r="O294" s="37" t="str">
        <f t="shared" si="76"/>
        <v>GAST1CPF - Desp. Lazer e Entretenimento - Bares</v>
      </c>
      <c r="P294" s="37" t="str">
        <f t="shared" si="77"/>
        <v>MCSGAST1CPF - Desp. Lazer e Entretenimento - Bares</v>
      </c>
      <c r="Q294" s="37" t="str">
        <f t="shared" si="78"/>
        <v>MCSGAST1</v>
      </c>
      <c r="R294" s="37" t="str">
        <f t="shared" si="79"/>
        <v>MCSGAST1</v>
      </c>
      <c r="S294" s="31"/>
      <c r="T294" s="185">
        <f t="shared" si="80"/>
        <v>46113</v>
      </c>
      <c r="U294" s="181">
        <v>292</v>
      </c>
    </row>
    <row r="295" spans="2:21" s="181" customFormat="1" x14ac:dyDescent="0.25">
      <c r="B295" s="182" t="s">
        <v>25</v>
      </c>
      <c r="C295" s="183"/>
      <c r="D295" s="54" t="str">
        <f>INDEX(Cad_Natureza!$B$3:$C$52,MATCH('2026'!F295,Cad_Natureza!$C$3:$C$52,0),MATCH('2026'!D$2,Cad_Natureza!$B$3:$C$3,0))</f>
        <v>GAST1</v>
      </c>
      <c r="E295" s="52" t="str">
        <f t="shared" si="72"/>
        <v>Despesa 293</v>
      </c>
      <c r="F295" s="53" t="s">
        <v>65</v>
      </c>
      <c r="G295" s="54" t="s">
        <v>25</v>
      </c>
      <c r="H295" s="55">
        <v>46118</v>
      </c>
      <c r="I295" s="55"/>
      <c r="J295" s="50" t="str">
        <f t="shared" si="73"/>
        <v>Observação da despesa 293</v>
      </c>
      <c r="K295" s="43">
        <v>-39</v>
      </c>
      <c r="L295" s="43">
        <f t="shared" si="74"/>
        <v>300.22000000000082</v>
      </c>
      <c r="M295" s="183"/>
      <c r="N295" s="37" t="str">
        <f t="shared" si="75"/>
        <v>MCSGAST1CPF - Desp. Lazer e Entretenimento - Bares</v>
      </c>
      <c r="O295" s="37" t="str">
        <f t="shared" si="76"/>
        <v>GAST1CPF - Desp. Lazer e Entretenimento - Bares</v>
      </c>
      <c r="P295" s="37" t="str">
        <f t="shared" si="77"/>
        <v>MCSGAST1CPF - Desp. Lazer e Entretenimento - Bares</v>
      </c>
      <c r="Q295" s="37" t="str">
        <f t="shared" si="78"/>
        <v>MCSGAST1</v>
      </c>
      <c r="R295" s="37" t="str">
        <f t="shared" si="79"/>
        <v>MCSGAST1</v>
      </c>
      <c r="S295" s="31"/>
      <c r="T295" s="185">
        <f t="shared" si="80"/>
        <v>46113</v>
      </c>
      <c r="U295" s="181">
        <v>293</v>
      </c>
    </row>
    <row r="296" spans="2:21" s="181" customFormat="1" x14ac:dyDescent="0.25">
      <c r="B296" s="182" t="s">
        <v>25</v>
      </c>
      <c r="C296" s="183"/>
      <c r="D296" s="54" t="str">
        <f>INDEX(Cad_Natureza!$B$3:$C$52,MATCH('2026'!F296,Cad_Natureza!$C$3:$C$52,0),MATCH('2026'!D$2,Cad_Natureza!$B$3:$C$3,0))</f>
        <v>DESP4</v>
      </c>
      <c r="E296" s="52" t="str">
        <f t="shared" si="72"/>
        <v>Despesa 294</v>
      </c>
      <c r="F296" s="53" t="s">
        <v>74</v>
      </c>
      <c r="G296" s="54" t="s">
        <v>25</v>
      </c>
      <c r="H296" s="55">
        <v>46118</v>
      </c>
      <c r="I296" s="55"/>
      <c r="J296" s="50" t="str">
        <f t="shared" si="73"/>
        <v>Observação da despesa 294</v>
      </c>
      <c r="K296" s="43">
        <v>-300</v>
      </c>
      <c r="L296" s="43">
        <f t="shared" si="74"/>
        <v>0.22000000000082309</v>
      </c>
      <c r="M296" s="183"/>
      <c r="N296" s="37" t="str">
        <f t="shared" si="75"/>
        <v>MCSDESP4CPF - Desp. Moradia</v>
      </c>
      <c r="O296" s="37" t="str">
        <f t="shared" si="76"/>
        <v>DESP4CPF - Desp. Moradia</v>
      </c>
      <c r="P296" s="37" t="str">
        <f t="shared" si="77"/>
        <v>MCSDESP4CPF - Desp. Moradia</v>
      </c>
      <c r="Q296" s="37" t="str">
        <f t="shared" si="78"/>
        <v>MCSDESP4</v>
      </c>
      <c r="R296" s="37" t="str">
        <f t="shared" si="79"/>
        <v>MCSDESP4</v>
      </c>
      <c r="S296" s="31"/>
      <c r="T296" s="185">
        <f t="shared" si="80"/>
        <v>46113</v>
      </c>
      <c r="U296" s="181">
        <v>294</v>
      </c>
    </row>
    <row r="297" spans="2:21" s="177" customFormat="1" x14ac:dyDescent="0.25">
      <c r="B297" s="174" t="s">
        <v>25</v>
      </c>
      <c r="C297" s="51"/>
      <c r="D297" s="44" t="str">
        <f>INDEX(Cad_Natureza!$B$3:$C$52,MATCH('2026'!F297,Cad_Natureza!$C$3:$C$52,0),MATCH('2026'!D$2,Cad_Natureza!$B$3:$C$3,0))</f>
        <v>REC4</v>
      </c>
      <c r="E297" s="45" t="str">
        <f t="shared" si="72"/>
        <v>Receita 295</v>
      </c>
      <c r="F297" s="46" t="s">
        <v>57</v>
      </c>
      <c r="G297" s="44" t="s">
        <v>25</v>
      </c>
      <c r="H297" s="47">
        <v>46118</v>
      </c>
      <c r="I297" s="47"/>
      <c r="J297" s="48" t="str">
        <f t="shared" si="73"/>
        <v>Observação da receita 295</v>
      </c>
      <c r="K297" s="49">
        <v>1000</v>
      </c>
      <c r="L297" s="49">
        <f t="shared" si="74"/>
        <v>1000.2200000000008</v>
      </c>
      <c r="M297" s="51"/>
      <c r="N297" s="37" t="str">
        <f t="shared" si="75"/>
        <v>MCSREC4CPF - Transf. Da conta PJ para a conta PF</v>
      </c>
      <c r="O297" s="37" t="str">
        <f t="shared" si="76"/>
        <v>REC4CPF - Transf. Da conta PJ para a conta PF</v>
      </c>
      <c r="P297" s="37" t="str">
        <f t="shared" si="77"/>
        <v>MCSREC4CPF - Transf. Da conta PJ para a conta PF</v>
      </c>
      <c r="Q297" s="37" t="str">
        <f t="shared" si="78"/>
        <v>MCSREC4</v>
      </c>
      <c r="R297" s="37" t="str">
        <f t="shared" si="79"/>
        <v>MCSREC4</v>
      </c>
      <c r="S297" s="31"/>
      <c r="T297" s="176">
        <f t="shared" si="80"/>
        <v>46113</v>
      </c>
      <c r="U297" s="181">
        <v>295</v>
      </c>
    </row>
    <row r="298" spans="2:21" s="181" customFormat="1" x14ac:dyDescent="0.25">
      <c r="B298" s="182" t="s">
        <v>25</v>
      </c>
      <c r="C298" s="183"/>
      <c r="D298" s="54" t="str">
        <f>INDEX(Cad_Natureza!$B$3:$C$52,MATCH('2026'!F298,Cad_Natureza!$C$3:$C$52,0),MATCH('2026'!D$2,Cad_Natureza!$B$3:$C$3,0))</f>
        <v>OUG1</v>
      </c>
      <c r="E298" s="52" t="str">
        <f t="shared" si="72"/>
        <v>Despesa 296</v>
      </c>
      <c r="F298" s="53" t="s">
        <v>70</v>
      </c>
      <c r="G298" s="54" t="s">
        <v>25</v>
      </c>
      <c r="H298" s="55">
        <v>46118</v>
      </c>
      <c r="I298" s="55"/>
      <c r="J298" s="50" t="str">
        <f t="shared" si="73"/>
        <v>Observação da despesa 296</v>
      </c>
      <c r="K298" s="43">
        <v>-25</v>
      </c>
      <c r="L298" s="43">
        <f t="shared" si="74"/>
        <v>975.22000000000082</v>
      </c>
      <c r="M298" s="183"/>
      <c r="N298" s="37" t="str">
        <f t="shared" si="75"/>
        <v>MCSOUG1CPF - Outros gastos</v>
      </c>
      <c r="O298" s="37" t="str">
        <f t="shared" si="76"/>
        <v>OUG1CPF - Outros gastos</v>
      </c>
      <c r="P298" s="37" t="str">
        <f t="shared" si="77"/>
        <v>MCSOUG1CPF - Outros gastos</v>
      </c>
      <c r="Q298" s="37" t="str">
        <f t="shared" si="78"/>
        <v>MCSOUG1</v>
      </c>
      <c r="R298" s="37" t="str">
        <f t="shared" si="79"/>
        <v>MCSOUG1</v>
      </c>
      <c r="S298" s="31"/>
      <c r="T298" s="185">
        <f t="shared" si="80"/>
        <v>46113</v>
      </c>
      <c r="U298" s="181">
        <v>296</v>
      </c>
    </row>
    <row r="299" spans="2:21" s="181" customFormat="1" x14ac:dyDescent="0.25">
      <c r="B299" s="182" t="s">
        <v>25</v>
      </c>
      <c r="C299" s="183"/>
      <c r="D299" s="54" t="str">
        <f>INDEX(Cad_Natureza!$B$3:$C$52,MATCH('2026'!F299,Cad_Natureza!$C$3:$C$52,0),MATCH('2026'!D$2,Cad_Natureza!$B$3:$C$3,0))</f>
        <v>GAST2</v>
      </c>
      <c r="E299" s="52" t="str">
        <f t="shared" si="72"/>
        <v>Despesa 297</v>
      </c>
      <c r="F299" s="53" t="s">
        <v>66</v>
      </c>
      <c r="G299" s="54" t="s">
        <v>25</v>
      </c>
      <c r="H299" s="55">
        <v>46118</v>
      </c>
      <c r="I299" s="55"/>
      <c r="J299" s="50" t="str">
        <f t="shared" si="73"/>
        <v>Observação da despesa 297</v>
      </c>
      <c r="K299" s="43">
        <v>-35</v>
      </c>
      <c r="L299" s="43">
        <f t="shared" si="74"/>
        <v>940.22000000000082</v>
      </c>
      <c r="M299" s="183"/>
      <c r="N299" s="37" t="str">
        <f t="shared" si="75"/>
        <v>MCSGAST2CPF - Desp. Lazer e Entretenimento - Cigarro</v>
      </c>
      <c r="O299" s="37" t="str">
        <f t="shared" si="76"/>
        <v>GAST2CPF - Desp. Lazer e Entretenimento - Cigarro</v>
      </c>
      <c r="P299" s="37" t="str">
        <f t="shared" si="77"/>
        <v>MCSGAST2CPF - Desp. Lazer e Entretenimento - Cigarro</v>
      </c>
      <c r="Q299" s="37" t="str">
        <f t="shared" si="78"/>
        <v>MCSGAST2</v>
      </c>
      <c r="R299" s="37" t="str">
        <f t="shared" si="79"/>
        <v>MCSGAST2</v>
      </c>
      <c r="S299" s="31"/>
      <c r="T299" s="185">
        <f t="shared" si="80"/>
        <v>46113</v>
      </c>
      <c r="U299" s="181">
        <v>297</v>
      </c>
    </row>
    <row r="300" spans="2:21" s="181" customFormat="1" x14ac:dyDescent="0.25">
      <c r="B300" s="182" t="s">
        <v>25</v>
      </c>
      <c r="C300" s="183"/>
      <c r="D300" s="54" t="str">
        <f>INDEX(Cad_Natureza!$B$3:$C$52,MATCH('2026'!F300,Cad_Natureza!$C$3:$C$52,0),MATCH('2026'!D$2,Cad_Natureza!$B$3:$C$3,0))</f>
        <v>GAST1</v>
      </c>
      <c r="E300" s="52" t="str">
        <f t="shared" si="72"/>
        <v>Despesa 298</v>
      </c>
      <c r="F300" s="53" t="s">
        <v>65</v>
      </c>
      <c r="G300" s="54" t="s">
        <v>25</v>
      </c>
      <c r="H300" s="55">
        <v>46118</v>
      </c>
      <c r="I300" s="55"/>
      <c r="J300" s="50" t="str">
        <f t="shared" si="73"/>
        <v>Observação da despesa 298</v>
      </c>
      <c r="K300" s="43">
        <v>-5.5</v>
      </c>
      <c r="L300" s="43">
        <f t="shared" si="74"/>
        <v>934.72000000000082</v>
      </c>
      <c r="M300" s="183"/>
      <c r="N300" s="37" t="str">
        <f t="shared" si="75"/>
        <v>MCSGAST1CPF - Desp. Lazer e Entretenimento - Bares</v>
      </c>
      <c r="O300" s="37" t="str">
        <f t="shared" si="76"/>
        <v>GAST1CPF - Desp. Lazer e Entretenimento - Bares</v>
      </c>
      <c r="P300" s="37" t="str">
        <f t="shared" si="77"/>
        <v>MCSGAST1CPF - Desp. Lazer e Entretenimento - Bares</v>
      </c>
      <c r="Q300" s="37" t="str">
        <f t="shared" si="78"/>
        <v>MCSGAST1</v>
      </c>
      <c r="R300" s="37" t="str">
        <f t="shared" si="79"/>
        <v>MCSGAST1</v>
      </c>
      <c r="S300" s="31"/>
      <c r="T300" s="185">
        <f t="shared" si="80"/>
        <v>46113</v>
      </c>
      <c r="U300" s="181">
        <v>298</v>
      </c>
    </row>
    <row r="301" spans="2:21" s="181" customFormat="1" x14ac:dyDescent="0.25">
      <c r="B301" s="182" t="s">
        <v>25</v>
      </c>
      <c r="C301" s="183"/>
      <c r="D301" s="54" t="str">
        <f>INDEX(Cad_Natureza!$B$3:$C$52,MATCH('2026'!F301,Cad_Natureza!$C$3:$C$52,0),MATCH('2026'!D$2,Cad_Natureza!$B$3:$C$3,0))</f>
        <v>GAST1</v>
      </c>
      <c r="E301" s="52" t="str">
        <f t="shared" si="72"/>
        <v>Despesa 299</v>
      </c>
      <c r="F301" s="53" t="s">
        <v>65</v>
      </c>
      <c r="G301" s="54" t="s">
        <v>25</v>
      </c>
      <c r="H301" s="55">
        <v>46118</v>
      </c>
      <c r="I301" s="55"/>
      <c r="J301" s="50" t="str">
        <f t="shared" si="73"/>
        <v>Observação da despesa 299</v>
      </c>
      <c r="K301" s="43">
        <v>-25</v>
      </c>
      <c r="L301" s="43">
        <f t="shared" si="74"/>
        <v>909.72000000000082</v>
      </c>
      <c r="M301" s="183"/>
      <c r="N301" s="37" t="str">
        <f t="shared" si="75"/>
        <v>MCSGAST1CPF - Desp. Lazer e Entretenimento - Bares</v>
      </c>
      <c r="O301" s="37" t="str">
        <f t="shared" si="76"/>
        <v>GAST1CPF - Desp. Lazer e Entretenimento - Bares</v>
      </c>
      <c r="P301" s="37" t="str">
        <f t="shared" si="77"/>
        <v>MCSGAST1CPF - Desp. Lazer e Entretenimento - Bares</v>
      </c>
      <c r="Q301" s="37" t="str">
        <f t="shared" si="78"/>
        <v>MCSGAST1</v>
      </c>
      <c r="R301" s="37" t="str">
        <f t="shared" si="79"/>
        <v>MCSGAST1</v>
      </c>
      <c r="S301" s="31"/>
      <c r="T301" s="185">
        <f t="shared" si="80"/>
        <v>46113</v>
      </c>
      <c r="U301" s="181">
        <v>299</v>
      </c>
    </row>
    <row r="302" spans="2:21" s="181" customFormat="1" x14ac:dyDescent="0.25">
      <c r="B302" s="182" t="s">
        <v>25</v>
      </c>
      <c r="C302" s="183"/>
      <c r="D302" s="54" t="str">
        <f>INDEX(Cad_Natureza!$B$3:$C$52,MATCH('2026'!F302,Cad_Natureza!$C$3:$C$52,0),MATCH('2026'!D$2,Cad_Natureza!$B$3:$C$3,0))</f>
        <v>OPF1</v>
      </c>
      <c r="E302" s="52" t="str">
        <f t="shared" si="72"/>
        <v>Despesa 300</v>
      </c>
      <c r="F302" s="53" t="s">
        <v>67</v>
      </c>
      <c r="G302" s="54" t="s">
        <v>25</v>
      </c>
      <c r="H302" s="55">
        <v>46119</v>
      </c>
      <c r="I302" s="55"/>
      <c r="J302" s="50" t="str">
        <f t="shared" si="73"/>
        <v>Observação da despesa 300</v>
      </c>
      <c r="K302" s="43">
        <v>-20</v>
      </c>
      <c r="L302" s="43">
        <f t="shared" si="74"/>
        <v>889.72000000000082</v>
      </c>
      <c r="M302" s="183"/>
      <c r="N302" s="37" t="str">
        <f t="shared" si="75"/>
        <v>MCSOPF1CPF - Desp. Alimentação / Refeição</v>
      </c>
      <c r="O302" s="37" t="str">
        <f t="shared" si="76"/>
        <v>OPF1CPF - Desp. Alimentação / Refeição</v>
      </c>
      <c r="P302" s="37" t="str">
        <f t="shared" si="77"/>
        <v>MCSOPF1CPF - Desp. Alimentação / Refeição</v>
      </c>
      <c r="Q302" s="37" t="str">
        <f t="shared" si="78"/>
        <v>MCSOPF1</v>
      </c>
      <c r="R302" s="37" t="str">
        <f t="shared" si="79"/>
        <v>MCSOPF1</v>
      </c>
      <c r="S302" s="31"/>
      <c r="T302" s="185">
        <f t="shared" si="80"/>
        <v>46113</v>
      </c>
      <c r="U302" s="181">
        <v>300</v>
      </c>
    </row>
    <row r="303" spans="2:21" s="181" customFormat="1" x14ac:dyDescent="0.25">
      <c r="B303" s="182" t="s">
        <v>25</v>
      </c>
      <c r="C303" s="183"/>
      <c r="D303" s="54" t="str">
        <f>INDEX(Cad_Natureza!$B$3:$C$52,MATCH('2026'!F303,Cad_Natureza!$C$3:$C$52,0),MATCH('2026'!D$2,Cad_Natureza!$B$3:$C$3,0))</f>
        <v>PENS3</v>
      </c>
      <c r="E303" s="52" t="str">
        <f t="shared" si="72"/>
        <v>Despesa 301</v>
      </c>
      <c r="F303" s="53" t="s">
        <v>69</v>
      </c>
      <c r="G303" s="54" t="s">
        <v>25</v>
      </c>
      <c r="H303" s="55">
        <v>46120</v>
      </c>
      <c r="I303" s="55"/>
      <c r="J303" s="50" t="str">
        <f t="shared" si="73"/>
        <v>Observação da despesa 301</v>
      </c>
      <c r="K303" s="43">
        <v>-535.39</v>
      </c>
      <c r="L303" s="43">
        <f t="shared" si="74"/>
        <v>354.33000000000084</v>
      </c>
      <c r="M303" s="183"/>
      <c r="N303" s="37" t="str">
        <f t="shared" si="75"/>
        <v>MCSPENS3CPF - Pensão - Plano de saúde</v>
      </c>
      <c r="O303" s="37" t="str">
        <f t="shared" si="76"/>
        <v>PENS3CPF - Pensão - Plano de saúde</v>
      </c>
      <c r="P303" s="37" t="str">
        <f t="shared" si="77"/>
        <v>MCSPENS3CPF - Pensão - Plano de saúde</v>
      </c>
      <c r="Q303" s="37" t="str">
        <f t="shared" si="78"/>
        <v>MCSPENS3</v>
      </c>
      <c r="R303" s="37" t="str">
        <f t="shared" si="79"/>
        <v>MCSPENS3</v>
      </c>
      <c r="S303" s="31"/>
      <c r="T303" s="185">
        <f t="shared" si="80"/>
        <v>46113</v>
      </c>
      <c r="U303" s="181">
        <v>301</v>
      </c>
    </row>
    <row r="304" spans="2:21" s="181" customFormat="1" x14ac:dyDescent="0.25">
      <c r="B304" s="182" t="s">
        <v>25</v>
      </c>
      <c r="C304" s="183"/>
      <c r="D304" s="54" t="str">
        <f>INDEX(Cad_Natureza!$B$3:$C$52,MATCH('2026'!F304,Cad_Natureza!$C$3:$C$52,0),MATCH('2026'!D$2,Cad_Natureza!$B$3:$C$3,0))</f>
        <v>OPF1</v>
      </c>
      <c r="E304" s="52" t="str">
        <f t="shared" si="72"/>
        <v>Despesa 302</v>
      </c>
      <c r="F304" s="53" t="s">
        <v>67</v>
      </c>
      <c r="G304" s="54" t="s">
        <v>25</v>
      </c>
      <c r="H304" s="55">
        <v>46120</v>
      </c>
      <c r="I304" s="55"/>
      <c r="J304" s="50" t="str">
        <f t="shared" si="73"/>
        <v>Observação da despesa 302</v>
      </c>
      <c r="K304" s="43">
        <v>-24</v>
      </c>
      <c r="L304" s="43">
        <f t="shared" si="74"/>
        <v>330.33000000000084</v>
      </c>
      <c r="M304" s="183"/>
      <c r="N304" s="37" t="str">
        <f t="shared" si="75"/>
        <v>MCSOPF1CPF - Desp. Alimentação / Refeição</v>
      </c>
      <c r="O304" s="37" t="str">
        <f t="shared" si="76"/>
        <v>OPF1CPF - Desp. Alimentação / Refeição</v>
      </c>
      <c r="P304" s="37" t="str">
        <f t="shared" si="77"/>
        <v>MCSOPF1CPF - Desp. Alimentação / Refeição</v>
      </c>
      <c r="Q304" s="37" t="str">
        <f t="shared" si="78"/>
        <v>MCSOPF1</v>
      </c>
      <c r="R304" s="37" t="str">
        <f t="shared" si="79"/>
        <v>MCSOPF1</v>
      </c>
      <c r="S304" s="31"/>
      <c r="T304" s="185">
        <f t="shared" si="80"/>
        <v>46113</v>
      </c>
      <c r="U304" s="181">
        <v>302</v>
      </c>
    </row>
    <row r="305" spans="2:21" s="181" customFormat="1" x14ac:dyDescent="0.25">
      <c r="B305" s="182" t="s">
        <v>25</v>
      </c>
      <c r="C305" s="183"/>
      <c r="D305" s="54" t="str">
        <f>INDEX(Cad_Natureza!$B$3:$C$52,MATCH('2026'!F305,Cad_Natureza!$C$3:$C$52,0),MATCH('2026'!D$2,Cad_Natureza!$B$3:$C$3,0))</f>
        <v>OPF2</v>
      </c>
      <c r="E305" s="52" t="str">
        <f t="shared" si="72"/>
        <v>Despesa 303</v>
      </c>
      <c r="F305" s="53" t="s">
        <v>64</v>
      </c>
      <c r="G305" s="54" t="s">
        <v>25</v>
      </c>
      <c r="H305" s="55">
        <v>46120</v>
      </c>
      <c r="I305" s="55"/>
      <c r="J305" s="50" t="str">
        <f t="shared" si="73"/>
        <v>Observação da despesa 303</v>
      </c>
      <c r="K305" s="43">
        <v>-100</v>
      </c>
      <c r="L305" s="43">
        <f t="shared" si="74"/>
        <v>230.33000000000084</v>
      </c>
      <c r="M305" s="183"/>
      <c r="N305" s="37" t="str">
        <f t="shared" si="75"/>
        <v>MCSOPF2CPF - Desp. Transporte / Combustível</v>
      </c>
      <c r="O305" s="37" t="str">
        <f t="shared" si="76"/>
        <v>OPF2CPF - Desp. Transporte / Combustível</v>
      </c>
      <c r="P305" s="37" t="str">
        <f t="shared" si="77"/>
        <v>MCSOPF2CPF - Desp. Transporte / Combustível</v>
      </c>
      <c r="Q305" s="37" t="str">
        <f t="shared" si="78"/>
        <v>MCSOPF2</v>
      </c>
      <c r="R305" s="37" t="str">
        <f t="shared" si="79"/>
        <v>MCSOPF2</v>
      </c>
      <c r="S305" s="31"/>
      <c r="T305" s="185">
        <f t="shared" si="80"/>
        <v>46113</v>
      </c>
      <c r="U305" s="181">
        <v>303</v>
      </c>
    </row>
    <row r="306" spans="2:21" s="181" customFormat="1" x14ac:dyDescent="0.25">
      <c r="B306" s="182" t="s">
        <v>25</v>
      </c>
      <c r="C306" s="183"/>
      <c r="D306" s="54" t="str">
        <f>INDEX(Cad_Natureza!$B$3:$C$52,MATCH('2026'!F306,Cad_Natureza!$C$3:$C$52,0),MATCH('2026'!D$2,Cad_Natureza!$B$3:$C$3,0))</f>
        <v>OPF1</v>
      </c>
      <c r="E306" s="52" t="str">
        <f t="shared" si="72"/>
        <v>Despesa 304</v>
      </c>
      <c r="F306" s="53" t="s">
        <v>67</v>
      </c>
      <c r="G306" s="54" t="s">
        <v>25</v>
      </c>
      <c r="H306" s="55">
        <v>46121</v>
      </c>
      <c r="I306" s="55"/>
      <c r="J306" s="50" t="str">
        <f t="shared" si="73"/>
        <v>Observação da despesa 304</v>
      </c>
      <c r="K306" s="43">
        <v>-20</v>
      </c>
      <c r="L306" s="43">
        <f t="shared" si="74"/>
        <v>210.33000000000084</v>
      </c>
      <c r="M306" s="183"/>
      <c r="N306" s="37" t="str">
        <f t="shared" si="75"/>
        <v>MCSOPF1CPF - Desp. Alimentação / Refeição</v>
      </c>
      <c r="O306" s="37" t="str">
        <f t="shared" si="76"/>
        <v>OPF1CPF - Desp. Alimentação / Refeição</v>
      </c>
      <c r="P306" s="37" t="str">
        <f t="shared" si="77"/>
        <v>MCSOPF1CPF - Desp. Alimentação / Refeição</v>
      </c>
      <c r="Q306" s="37" t="str">
        <f t="shared" si="78"/>
        <v>MCSOPF1</v>
      </c>
      <c r="R306" s="37" t="str">
        <f t="shared" si="79"/>
        <v>MCSOPF1</v>
      </c>
      <c r="S306" s="31"/>
      <c r="T306" s="185">
        <f t="shared" si="80"/>
        <v>46113</v>
      </c>
      <c r="U306" s="181">
        <v>304</v>
      </c>
    </row>
    <row r="307" spans="2:21" s="181" customFormat="1" x14ac:dyDescent="0.25">
      <c r="B307" s="182" t="s">
        <v>25</v>
      </c>
      <c r="C307" s="183"/>
      <c r="D307" s="54" t="str">
        <f>INDEX(Cad_Natureza!$B$3:$C$52,MATCH('2026'!F307,Cad_Natureza!$C$3:$C$52,0),MATCH('2026'!D$2,Cad_Natureza!$B$3:$C$3,0))</f>
        <v>OUG1</v>
      </c>
      <c r="E307" s="52" t="str">
        <f t="shared" si="72"/>
        <v>Despesa 305</v>
      </c>
      <c r="F307" s="53" t="s">
        <v>70</v>
      </c>
      <c r="G307" s="54" t="s">
        <v>25</v>
      </c>
      <c r="H307" s="55">
        <v>46121</v>
      </c>
      <c r="I307" s="55"/>
      <c r="J307" s="50" t="str">
        <f t="shared" si="73"/>
        <v>Observação da despesa 305</v>
      </c>
      <c r="K307" s="43">
        <v>-20</v>
      </c>
      <c r="L307" s="43">
        <f t="shared" si="74"/>
        <v>190.33000000000084</v>
      </c>
      <c r="M307" s="183"/>
      <c r="N307" s="37" t="str">
        <f t="shared" si="75"/>
        <v>MCSOUG1CPF - Outros gastos</v>
      </c>
      <c r="O307" s="37" t="str">
        <f t="shared" si="76"/>
        <v>OUG1CPF - Outros gastos</v>
      </c>
      <c r="P307" s="37" t="str">
        <f t="shared" si="77"/>
        <v>MCSOUG1CPF - Outros gastos</v>
      </c>
      <c r="Q307" s="37" t="str">
        <f t="shared" si="78"/>
        <v>MCSOUG1</v>
      </c>
      <c r="R307" s="37" t="str">
        <f t="shared" si="79"/>
        <v>MCSOUG1</v>
      </c>
      <c r="S307" s="31"/>
      <c r="T307" s="185">
        <f t="shared" si="80"/>
        <v>46113</v>
      </c>
      <c r="U307" s="181">
        <v>305</v>
      </c>
    </row>
    <row r="308" spans="2:21" s="181" customFormat="1" x14ac:dyDescent="0.25">
      <c r="B308" s="182" t="s">
        <v>25</v>
      </c>
      <c r="C308" s="183"/>
      <c r="D308" s="54" t="str">
        <f>INDEX(Cad_Natureza!$B$3:$C$52,MATCH('2026'!F308,Cad_Natureza!$C$3:$C$52,0),MATCH('2026'!D$2,Cad_Natureza!$B$3:$C$3,0))</f>
        <v>OUG1</v>
      </c>
      <c r="E308" s="52" t="str">
        <f t="shared" si="72"/>
        <v>Despesa 306</v>
      </c>
      <c r="F308" s="53" t="s">
        <v>70</v>
      </c>
      <c r="G308" s="54" t="s">
        <v>25</v>
      </c>
      <c r="H308" s="55">
        <v>46121</v>
      </c>
      <c r="I308" s="55"/>
      <c r="J308" s="50" t="str">
        <f t="shared" si="73"/>
        <v>Observação da despesa 306</v>
      </c>
      <c r="K308" s="43">
        <v>-95</v>
      </c>
      <c r="L308" s="43">
        <f t="shared" si="74"/>
        <v>95.330000000000837</v>
      </c>
      <c r="M308" s="183"/>
      <c r="N308" s="37" t="str">
        <f t="shared" si="75"/>
        <v>MCSOUG1CPF - Outros gastos</v>
      </c>
      <c r="O308" s="37" t="str">
        <f t="shared" si="76"/>
        <v>OUG1CPF - Outros gastos</v>
      </c>
      <c r="P308" s="37" t="str">
        <f t="shared" si="77"/>
        <v>MCSOUG1CPF - Outros gastos</v>
      </c>
      <c r="Q308" s="37" t="str">
        <f t="shared" si="78"/>
        <v>MCSOUG1</v>
      </c>
      <c r="R308" s="37" t="str">
        <f t="shared" si="79"/>
        <v>MCSOUG1</v>
      </c>
      <c r="S308" s="31"/>
      <c r="T308" s="185">
        <f t="shared" si="80"/>
        <v>46113</v>
      </c>
      <c r="U308" s="181">
        <v>306</v>
      </c>
    </row>
    <row r="309" spans="2:21" s="181" customFormat="1" x14ac:dyDescent="0.25">
      <c r="B309" s="182" t="s">
        <v>25</v>
      </c>
      <c r="C309" s="183"/>
      <c r="D309" s="54" t="str">
        <f>INDEX(Cad_Natureza!$B$3:$C$52,MATCH('2026'!F309,Cad_Natureza!$C$3:$C$52,0),MATCH('2026'!D$2,Cad_Natureza!$B$3:$C$3,0))</f>
        <v>DESP4</v>
      </c>
      <c r="E309" s="52" t="str">
        <f t="shared" si="72"/>
        <v>Despesa 307</v>
      </c>
      <c r="F309" s="53" t="s">
        <v>74</v>
      </c>
      <c r="G309" s="54" t="s">
        <v>25</v>
      </c>
      <c r="H309" s="55">
        <v>46121</v>
      </c>
      <c r="I309" s="55"/>
      <c r="J309" s="50" t="str">
        <f t="shared" si="73"/>
        <v>Observação da despesa 307</v>
      </c>
      <c r="K309" s="43">
        <v>-18</v>
      </c>
      <c r="L309" s="43">
        <f t="shared" si="74"/>
        <v>77.330000000000837</v>
      </c>
      <c r="M309" s="183"/>
      <c r="N309" s="37" t="str">
        <f t="shared" si="75"/>
        <v>MCSDESP4CPF - Desp. Moradia</v>
      </c>
      <c r="O309" s="37" t="str">
        <f t="shared" si="76"/>
        <v>DESP4CPF - Desp. Moradia</v>
      </c>
      <c r="P309" s="37" t="str">
        <f t="shared" si="77"/>
        <v>MCSDESP4CPF - Desp. Moradia</v>
      </c>
      <c r="Q309" s="37" t="str">
        <f t="shared" si="78"/>
        <v>MCSDESP4</v>
      </c>
      <c r="R309" s="37" t="str">
        <f t="shared" si="79"/>
        <v>MCSDESP4</v>
      </c>
      <c r="S309" s="31"/>
      <c r="T309" s="185">
        <f t="shared" si="80"/>
        <v>46113</v>
      </c>
      <c r="U309" s="181">
        <v>307</v>
      </c>
    </row>
    <row r="310" spans="2:21" s="181" customFormat="1" x14ac:dyDescent="0.25">
      <c r="B310" s="182" t="s">
        <v>25</v>
      </c>
      <c r="C310" s="183"/>
      <c r="D310" s="54" t="str">
        <f>INDEX(Cad_Natureza!$B$3:$C$52,MATCH('2026'!F310,Cad_Natureza!$C$3:$C$52,0),MATCH('2026'!D$2,Cad_Natureza!$B$3:$C$3,0))</f>
        <v>FIN3</v>
      </c>
      <c r="E310" s="52" t="str">
        <f t="shared" si="72"/>
        <v>Despesa 308</v>
      </c>
      <c r="F310" s="53" t="s">
        <v>113</v>
      </c>
      <c r="G310" s="54" t="s">
        <v>25</v>
      </c>
      <c r="H310" s="55">
        <v>46122</v>
      </c>
      <c r="I310" s="55"/>
      <c r="J310" s="50" t="str">
        <f t="shared" si="73"/>
        <v>Observação da despesa 308</v>
      </c>
      <c r="K310" s="43">
        <v>-77.33</v>
      </c>
      <c r="L310" s="43">
        <f t="shared" si="74"/>
        <v>8.3844042819691822E-13</v>
      </c>
      <c r="M310" s="183"/>
      <c r="N310" s="37" t="str">
        <f t="shared" si="75"/>
        <v>MCSFIN3CPF - Desp. Financeiras - Empréstimos bancários</v>
      </c>
      <c r="O310" s="37" t="str">
        <f t="shared" si="76"/>
        <v>FIN3CPF - Desp. Financeiras - Empréstimos bancários</v>
      </c>
      <c r="P310" s="37" t="str">
        <f t="shared" si="77"/>
        <v>MCSFIN3CPF - Desp. Financeiras - Empréstimos bancários</v>
      </c>
      <c r="Q310" s="37" t="str">
        <f t="shared" si="78"/>
        <v>MCSFIN3</v>
      </c>
      <c r="R310" s="37" t="str">
        <f t="shared" si="79"/>
        <v>MCSFIN3</v>
      </c>
      <c r="S310" s="31"/>
      <c r="T310" s="185">
        <f t="shared" si="80"/>
        <v>46113</v>
      </c>
      <c r="U310" s="181">
        <v>308</v>
      </c>
    </row>
    <row r="311" spans="2:21" s="177" customFormat="1" x14ac:dyDescent="0.25">
      <c r="B311" s="174" t="s">
        <v>25</v>
      </c>
      <c r="C311" s="51"/>
      <c r="D311" s="44" t="str">
        <f>INDEX(Cad_Natureza!$B$3:$C$52,MATCH('2026'!F311,Cad_Natureza!$C$3:$C$52,0),MATCH('2026'!D$2,Cad_Natureza!$B$3:$C$3,0))</f>
        <v>REC4</v>
      </c>
      <c r="E311" s="45" t="str">
        <f t="shared" si="72"/>
        <v>Receita 309</v>
      </c>
      <c r="F311" s="46" t="s">
        <v>57</v>
      </c>
      <c r="G311" s="44" t="s">
        <v>25</v>
      </c>
      <c r="H311" s="47">
        <v>46122</v>
      </c>
      <c r="I311" s="47"/>
      <c r="J311" s="48" t="str">
        <f t="shared" si="73"/>
        <v>Observação da receita 309</v>
      </c>
      <c r="K311" s="49">
        <v>1000</v>
      </c>
      <c r="L311" s="49">
        <f t="shared" si="74"/>
        <v>1000.0000000000008</v>
      </c>
      <c r="M311" s="51"/>
      <c r="N311" s="37" t="str">
        <f t="shared" si="75"/>
        <v>MCSREC4CPF - Transf. Da conta PJ para a conta PF</v>
      </c>
      <c r="O311" s="37" t="str">
        <f t="shared" si="76"/>
        <v>REC4CPF - Transf. Da conta PJ para a conta PF</v>
      </c>
      <c r="P311" s="37" t="str">
        <f t="shared" si="77"/>
        <v>MCSREC4CPF - Transf. Da conta PJ para a conta PF</v>
      </c>
      <c r="Q311" s="37" t="str">
        <f t="shared" si="78"/>
        <v>MCSREC4</v>
      </c>
      <c r="R311" s="37" t="str">
        <f t="shared" si="79"/>
        <v>MCSREC4</v>
      </c>
      <c r="S311" s="31"/>
      <c r="T311" s="176">
        <f t="shared" si="80"/>
        <v>46113</v>
      </c>
      <c r="U311" s="181">
        <v>309</v>
      </c>
    </row>
    <row r="312" spans="2:21" s="181" customFormat="1" x14ac:dyDescent="0.25">
      <c r="B312" s="182" t="s">
        <v>25</v>
      </c>
      <c r="C312" s="183"/>
      <c r="D312" s="54" t="str">
        <f>INDEX(Cad_Natureza!$B$3:$C$52,MATCH('2026'!F312,Cad_Natureza!$C$3:$C$52,0),MATCH('2026'!D$2,Cad_Natureza!$B$3:$C$3,0))</f>
        <v>FIN3</v>
      </c>
      <c r="E312" s="52" t="str">
        <f t="shared" si="72"/>
        <v>Despesa 310</v>
      </c>
      <c r="F312" s="53" t="s">
        <v>113</v>
      </c>
      <c r="G312" s="54" t="s">
        <v>25</v>
      </c>
      <c r="H312" s="55">
        <v>46122</v>
      </c>
      <c r="I312" s="55"/>
      <c r="J312" s="50" t="str">
        <f t="shared" si="73"/>
        <v>Observação da despesa 310</v>
      </c>
      <c r="K312" s="43">
        <v>-212.93</v>
      </c>
      <c r="L312" s="43">
        <f t="shared" si="74"/>
        <v>787.07000000000085</v>
      </c>
      <c r="M312" s="183"/>
      <c r="N312" s="37" t="str">
        <f t="shared" si="75"/>
        <v>MCSFIN3CPF - Desp. Financeiras - Empréstimos bancários</v>
      </c>
      <c r="O312" s="37" t="str">
        <f t="shared" si="76"/>
        <v>FIN3CPF - Desp. Financeiras - Empréstimos bancários</v>
      </c>
      <c r="P312" s="37" t="str">
        <f t="shared" si="77"/>
        <v>MCSFIN3CPF - Desp. Financeiras - Empréstimos bancários</v>
      </c>
      <c r="Q312" s="37" t="str">
        <f t="shared" si="78"/>
        <v>MCSFIN3</v>
      </c>
      <c r="R312" s="37" t="str">
        <f t="shared" si="79"/>
        <v>MCSFIN3</v>
      </c>
      <c r="S312" s="31"/>
      <c r="T312" s="185">
        <f t="shared" si="80"/>
        <v>46113</v>
      </c>
      <c r="U312" s="181">
        <v>310</v>
      </c>
    </row>
    <row r="313" spans="2:21" s="181" customFormat="1" x14ac:dyDescent="0.25">
      <c r="B313" s="182" t="s">
        <v>25</v>
      </c>
      <c r="C313" s="183"/>
      <c r="D313" s="54" t="str">
        <f>INDEX(Cad_Natureza!$B$3:$C$52,MATCH('2026'!F313,Cad_Natureza!$C$3:$C$52,0),MATCH('2026'!D$2,Cad_Natureza!$B$3:$C$3,0))</f>
        <v>FIN3</v>
      </c>
      <c r="E313" s="52" t="str">
        <f t="shared" si="72"/>
        <v>Despesa 311</v>
      </c>
      <c r="F313" s="53" t="s">
        <v>113</v>
      </c>
      <c r="G313" s="54" t="s">
        <v>25</v>
      </c>
      <c r="H313" s="55">
        <v>46122</v>
      </c>
      <c r="I313" s="55"/>
      <c r="J313" s="50" t="str">
        <f t="shared" si="73"/>
        <v>Observação da despesa 311</v>
      </c>
      <c r="K313" s="43">
        <v>-6.79</v>
      </c>
      <c r="L313" s="43">
        <f t="shared" si="74"/>
        <v>780.28000000000088</v>
      </c>
      <c r="M313" s="183"/>
      <c r="N313" s="37" t="str">
        <f t="shared" si="75"/>
        <v>MCSFIN3CPF - Desp. Financeiras - Empréstimos bancários</v>
      </c>
      <c r="O313" s="37" t="str">
        <f t="shared" si="76"/>
        <v>FIN3CPF - Desp. Financeiras - Empréstimos bancários</v>
      </c>
      <c r="P313" s="37" t="str">
        <f t="shared" si="77"/>
        <v>MCSFIN3CPF - Desp. Financeiras - Empréstimos bancários</v>
      </c>
      <c r="Q313" s="37" t="str">
        <f t="shared" si="78"/>
        <v>MCSFIN3</v>
      </c>
      <c r="R313" s="37" t="str">
        <f t="shared" si="79"/>
        <v>MCSFIN3</v>
      </c>
      <c r="S313" s="31"/>
      <c r="T313" s="185">
        <f t="shared" si="80"/>
        <v>46113</v>
      </c>
      <c r="U313" s="181">
        <v>311</v>
      </c>
    </row>
    <row r="314" spans="2:21" s="181" customFormat="1" x14ac:dyDescent="0.25">
      <c r="B314" s="182" t="s">
        <v>25</v>
      </c>
      <c r="C314" s="183"/>
      <c r="D314" s="54" t="str">
        <f>INDEX(Cad_Natureza!$B$3:$C$52,MATCH('2026'!F314,Cad_Natureza!$C$3:$C$52,0),MATCH('2026'!D$2,Cad_Natureza!$B$3:$C$3,0))</f>
        <v>GAST1</v>
      </c>
      <c r="E314" s="52" t="str">
        <f t="shared" si="72"/>
        <v>Despesa 312</v>
      </c>
      <c r="F314" s="53" t="s">
        <v>65</v>
      </c>
      <c r="G314" s="54" t="s">
        <v>25</v>
      </c>
      <c r="H314" s="55">
        <v>46122</v>
      </c>
      <c r="I314" s="55"/>
      <c r="J314" s="50" t="str">
        <f t="shared" si="73"/>
        <v>Observação da despesa 312</v>
      </c>
      <c r="K314" s="43">
        <v>-9.98</v>
      </c>
      <c r="L314" s="43">
        <f t="shared" si="74"/>
        <v>770.30000000000086</v>
      </c>
      <c r="M314" s="183"/>
      <c r="N314" s="37" t="str">
        <f t="shared" si="75"/>
        <v>MCSGAST1CPF - Desp. Lazer e Entretenimento - Bares</v>
      </c>
      <c r="O314" s="37" t="str">
        <f t="shared" si="76"/>
        <v>GAST1CPF - Desp. Lazer e Entretenimento - Bares</v>
      </c>
      <c r="P314" s="37" t="str">
        <f t="shared" si="77"/>
        <v>MCSGAST1CPF - Desp. Lazer e Entretenimento - Bares</v>
      </c>
      <c r="Q314" s="37" t="str">
        <f t="shared" si="78"/>
        <v>MCSGAST1</v>
      </c>
      <c r="R314" s="37" t="str">
        <f t="shared" si="79"/>
        <v>MCSGAST1</v>
      </c>
      <c r="S314" s="31"/>
      <c r="T314" s="185">
        <f t="shared" si="80"/>
        <v>46113</v>
      </c>
      <c r="U314" s="181">
        <v>312</v>
      </c>
    </row>
    <row r="315" spans="2:21" s="181" customFormat="1" x14ac:dyDescent="0.25">
      <c r="B315" s="182" t="s">
        <v>25</v>
      </c>
      <c r="C315" s="183"/>
      <c r="D315" s="54" t="str">
        <f>INDEX(Cad_Natureza!$B$3:$C$52,MATCH('2026'!F315,Cad_Natureza!$C$3:$C$52,0),MATCH('2026'!D$2,Cad_Natureza!$B$3:$C$3,0))</f>
        <v>OUG1</v>
      </c>
      <c r="E315" s="52" t="str">
        <f t="shared" si="72"/>
        <v>Despesa 313</v>
      </c>
      <c r="F315" s="53" t="s">
        <v>70</v>
      </c>
      <c r="G315" s="54" t="s">
        <v>25</v>
      </c>
      <c r="H315" s="55">
        <v>46122</v>
      </c>
      <c r="I315" s="55"/>
      <c r="J315" s="50" t="str">
        <f t="shared" si="73"/>
        <v>Observação da despesa 313</v>
      </c>
      <c r="K315" s="43">
        <v>-100</v>
      </c>
      <c r="L315" s="43">
        <f t="shared" si="74"/>
        <v>670.30000000000086</v>
      </c>
      <c r="M315" s="183"/>
      <c r="N315" s="37" t="str">
        <f t="shared" si="75"/>
        <v>MCSOUG1CPF - Outros gastos</v>
      </c>
      <c r="O315" s="37" t="str">
        <f t="shared" si="76"/>
        <v>OUG1CPF - Outros gastos</v>
      </c>
      <c r="P315" s="37" t="str">
        <f t="shared" si="77"/>
        <v>MCSOUG1CPF - Outros gastos</v>
      </c>
      <c r="Q315" s="37" t="str">
        <f t="shared" si="78"/>
        <v>MCSOUG1</v>
      </c>
      <c r="R315" s="37" t="str">
        <f t="shared" si="79"/>
        <v>MCSOUG1</v>
      </c>
      <c r="S315" s="31"/>
      <c r="T315" s="185">
        <f t="shared" si="80"/>
        <v>46113</v>
      </c>
      <c r="U315" s="181">
        <v>313</v>
      </c>
    </row>
    <row r="316" spans="2:21" s="181" customFormat="1" x14ac:dyDescent="0.25">
      <c r="B316" s="182" t="s">
        <v>25</v>
      </c>
      <c r="C316" s="183"/>
      <c r="D316" s="54" t="str">
        <f>INDEX(Cad_Natureza!$B$3:$C$52,MATCH('2026'!F316,Cad_Natureza!$C$3:$C$52,0),MATCH('2026'!D$2,Cad_Natureza!$B$3:$C$3,0))</f>
        <v>OPF2</v>
      </c>
      <c r="E316" s="52" t="str">
        <f t="shared" si="72"/>
        <v>Despesa 314</v>
      </c>
      <c r="F316" s="53" t="s">
        <v>64</v>
      </c>
      <c r="G316" s="54" t="s">
        <v>25</v>
      </c>
      <c r="H316" s="55">
        <v>46122</v>
      </c>
      <c r="I316" s="55"/>
      <c r="J316" s="50" t="str">
        <f t="shared" si="73"/>
        <v>Observação da despesa 314</v>
      </c>
      <c r="K316" s="43">
        <v>-50</v>
      </c>
      <c r="L316" s="43">
        <f t="shared" si="74"/>
        <v>620.30000000000086</v>
      </c>
      <c r="M316" s="183"/>
      <c r="N316" s="37" t="str">
        <f t="shared" si="60"/>
        <v>MCSOPF2CPF - Desp. Transporte / Combustível</v>
      </c>
      <c r="O316" s="37" t="str">
        <f t="shared" si="61"/>
        <v>OPF2CPF - Desp. Transporte / Combustível</v>
      </c>
      <c r="P316" s="37" t="str">
        <f t="shared" si="62"/>
        <v>MCSOPF2CPF - Desp. Transporte / Combustível</v>
      </c>
      <c r="Q316" s="37" t="str">
        <f t="shared" si="63"/>
        <v>MCSOPF2</v>
      </c>
      <c r="R316" s="37" t="str">
        <f t="shared" si="64"/>
        <v>MCSOPF2</v>
      </c>
      <c r="S316" s="31"/>
      <c r="T316" s="185">
        <f t="shared" si="65"/>
        <v>46113</v>
      </c>
      <c r="U316" s="181">
        <v>314</v>
      </c>
    </row>
    <row r="317" spans="2:21" s="181" customFormat="1" x14ac:dyDescent="0.25">
      <c r="B317" s="182" t="s">
        <v>25</v>
      </c>
      <c r="C317" s="183"/>
      <c r="D317" s="54" t="str">
        <f>INDEX(Cad_Natureza!$B$3:$C$52,MATCH('2026'!F317,Cad_Natureza!$C$3:$C$52,0),MATCH('2026'!D$2,Cad_Natureza!$B$3:$C$3,0))</f>
        <v>GAST1</v>
      </c>
      <c r="E317" s="52" t="str">
        <f t="shared" si="72"/>
        <v>Despesa 315</v>
      </c>
      <c r="F317" s="53" t="s">
        <v>65</v>
      </c>
      <c r="G317" s="54" t="s">
        <v>25</v>
      </c>
      <c r="H317" s="55">
        <v>46125</v>
      </c>
      <c r="I317" s="55"/>
      <c r="J317" s="50" t="str">
        <f t="shared" si="73"/>
        <v>Observação da despesa 315</v>
      </c>
      <c r="K317" s="43">
        <v>-52</v>
      </c>
      <c r="L317" s="43">
        <f t="shared" si="74"/>
        <v>568.30000000000086</v>
      </c>
      <c r="M317" s="183"/>
      <c r="N317" s="37" t="str">
        <f t="shared" si="60"/>
        <v>MCSGAST1CPF - Desp. Lazer e Entretenimento - Bares</v>
      </c>
      <c r="O317" s="37" t="str">
        <f t="shared" si="61"/>
        <v>GAST1CPF - Desp. Lazer e Entretenimento - Bares</v>
      </c>
      <c r="P317" s="37" t="str">
        <f t="shared" si="62"/>
        <v>MCSGAST1CPF - Desp. Lazer e Entretenimento - Bares</v>
      </c>
      <c r="Q317" s="37" t="str">
        <f t="shared" si="63"/>
        <v>MCSGAST1</v>
      </c>
      <c r="R317" s="37" t="str">
        <f t="shared" si="64"/>
        <v>MCSGAST1</v>
      </c>
      <c r="S317" s="31"/>
      <c r="T317" s="185">
        <f t="shared" si="65"/>
        <v>46113</v>
      </c>
      <c r="U317" s="181">
        <v>315</v>
      </c>
    </row>
    <row r="318" spans="2:21" s="181" customFormat="1" x14ac:dyDescent="0.25">
      <c r="B318" s="182" t="s">
        <v>25</v>
      </c>
      <c r="C318" s="183"/>
      <c r="D318" s="54" t="str">
        <f>INDEX(Cad_Natureza!$B$3:$C$52,MATCH('2026'!F318,Cad_Natureza!$C$3:$C$52,0),MATCH('2026'!D$2,Cad_Natureza!$B$3:$C$3,0))</f>
        <v>GAST1</v>
      </c>
      <c r="E318" s="52" t="str">
        <f t="shared" si="72"/>
        <v>Despesa 316</v>
      </c>
      <c r="F318" s="53" t="s">
        <v>65</v>
      </c>
      <c r="G318" s="54" t="s">
        <v>25</v>
      </c>
      <c r="H318" s="55">
        <v>46125</v>
      </c>
      <c r="I318" s="55"/>
      <c r="J318" s="50" t="str">
        <f t="shared" si="73"/>
        <v>Observação da despesa 316</v>
      </c>
      <c r="K318" s="43">
        <v>-6.5</v>
      </c>
      <c r="L318" s="43">
        <f t="shared" si="74"/>
        <v>561.80000000000086</v>
      </c>
      <c r="M318" s="183"/>
      <c r="N318" s="37" t="str">
        <f t="shared" si="60"/>
        <v>MCSGAST1CPF - Desp. Lazer e Entretenimento - Bares</v>
      </c>
      <c r="O318" s="37" t="str">
        <f t="shared" si="61"/>
        <v>GAST1CPF - Desp. Lazer e Entretenimento - Bares</v>
      </c>
      <c r="P318" s="37" t="str">
        <f t="shared" si="62"/>
        <v>MCSGAST1CPF - Desp. Lazer e Entretenimento - Bares</v>
      </c>
      <c r="Q318" s="37" t="str">
        <f t="shared" si="63"/>
        <v>MCSGAST1</v>
      </c>
      <c r="R318" s="37" t="str">
        <f t="shared" si="64"/>
        <v>MCSGAST1</v>
      </c>
      <c r="S318" s="31"/>
      <c r="T318" s="185">
        <f t="shared" si="65"/>
        <v>46113</v>
      </c>
      <c r="U318" s="181">
        <v>316</v>
      </c>
    </row>
    <row r="319" spans="2:21" s="181" customFormat="1" x14ac:dyDescent="0.25">
      <c r="B319" s="182" t="s">
        <v>25</v>
      </c>
      <c r="C319" s="183"/>
      <c r="D319" s="54" t="str">
        <f>INDEX(Cad_Natureza!$B$3:$C$52,MATCH('2026'!F319,Cad_Natureza!$C$3:$C$52,0),MATCH('2026'!D$2,Cad_Natureza!$B$3:$C$3,0))</f>
        <v>GAST1</v>
      </c>
      <c r="E319" s="52" t="str">
        <f t="shared" si="72"/>
        <v>Despesa 317</v>
      </c>
      <c r="F319" s="53" t="s">
        <v>65</v>
      </c>
      <c r="G319" s="54" t="s">
        <v>25</v>
      </c>
      <c r="H319" s="55">
        <v>46125</v>
      </c>
      <c r="I319" s="55"/>
      <c r="J319" s="50" t="str">
        <f t="shared" si="73"/>
        <v>Observação da despesa 317</v>
      </c>
      <c r="K319" s="43">
        <v>-6.5</v>
      </c>
      <c r="L319" s="43">
        <f t="shared" si="74"/>
        <v>555.30000000000086</v>
      </c>
      <c r="M319" s="183"/>
      <c r="N319" s="37" t="str">
        <f t="shared" si="60"/>
        <v>MCSGAST1CPF - Desp. Lazer e Entretenimento - Bares</v>
      </c>
      <c r="O319" s="37" t="str">
        <f t="shared" si="61"/>
        <v>GAST1CPF - Desp. Lazer e Entretenimento - Bares</v>
      </c>
      <c r="P319" s="37" t="str">
        <f t="shared" si="62"/>
        <v>MCSGAST1CPF - Desp. Lazer e Entretenimento - Bares</v>
      </c>
      <c r="Q319" s="37" t="str">
        <f t="shared" si="63"/>
        <v>MCSGAST1</v>
      </c>
      <c r="R319" s="37" t="str">
        <f t="shared" si="64"/>
        <v>MCSGAST1</v>
      </c>
      <c r="S319" s="31"/>
      <c r="T319" s="185">
        <f t="shared" si="65"/>
        <v>46113</v>
      </c>
      <c r="U319" s="181">
        <v>317</v>
      </c>
    </row>
    <row r="320" spans="2:21" s="181" customFormat="1" x14ac:dyDescent="0.25">
      <c r="B320" s="182" t="s">
        <v>25</v>
      </c>
      <c r="C320" s="183"/>
      <c r="D320" s="54" t="str">
        <f>INDEX(Cad_Natureza!$B$3:$C$52,MATCH('2026'!F320,Cad_Natureza!$C$3:$C$52,0),MATCH('2026'!D$2,Cad_Natureza!$B$3:$C$3,0))</f>
        <v>GAST1</v>
      </c>
      <c r="E320" s="52" t="str">
        <f t="shared" si="72"/>
        <v>Despesa 318</v>
      </c>
      <c r="F320" s="53" t="s">
        <v>65</v>
      </c>
      <c r="G320" s="54" t="s">
        <v>25</v>
      </c>
      <c r="H320" s="55">
        <v>46125</v>
      </c>
      <c r="I320" s="55"/>
      <c r="J320" s="50" t="str">
        <f t="shared" si="73"/>
        <v>Observação da despesa 318</v>
      </c>
      <c r="K320" s="43">
        <v>-15</v>
      </c>
      <c r="L320" s="43">
        <f t="shared" si="74"/>
        <v>540.30000000000086</v>
      </c>
      <c r="M320" s="183"/>
      <c r="N320" s="37" t="str">
        <f t="shared" si="60"/>
        <v>MCSGAST1CPF - Desp. Lazer e Entretenimento - Bares</v>
      </c>
      <c r="O320" s="37" t="str">
        <f t="shared" si="61"/>
        <v>GAST1CPF - Desp. Lazer e Entretenimento - Bares</v>
      </c>
      <c r="P320" s="37" t="str">
        <f t="shared" si="62"/>
        <v>MCSGAST1CPF - Desp. Lazer e Entretenimento - Bares</v>
      </c>
      <c r="Q320" s="37" t="str">
        <f t="shared" si="63"/>
        <v>MCSGAST1</v>
      </c>
      <c r="R320" s="37" t="str">
        <f t="shared" si="64"/>
        <v>MCSGAST1</v>
      </c>
      <c r="S320" s="31"/>
      <c r="T320" s="185">
        <f t="shared" si="65"/>
        <v>46113</v>
      </c>
      <c r="U320" s="181">
        <v>318</v>
      </c>
    </row>
    <row r="321" spans="2:21" s="181" customFormat="1" x14ac:dyDescent="0.25">
      <c r="B321" s="182" t="s">
        <v>25</v>
      </c>
      <c r="C321" s="183"/>
      <c r="D321" s="54" t="str">
        <f>INDEX(Cad_Natureza!$B$3:$C$52,MATCH('2026'!F321,Cad_Natureza!$C$3:$C$52,0),MATCH('2026'!D$2,Cad_Natureza!$B$3:$C$3,0))</f>
        <v>GAST1</v>
      </c>
      <c r="E321" s="52" t="str">
        <f t="shared" si="72"/>
        <v>Despesa 319</v>
      </c>
      <c r="F321" s="53" t="s">
        <v>65</v>
      </c>
      <c r="G321" s="54" t="s">
        <v>25</v>
      </c>
      <c r="H321" s="55">
        <v>46125</v>
      </c>
      <c r="I321" s="55"/>
      <c r="J321" s="50" t="str">
        <f t="shared" si="73"/>
        <v>Observação da despesa 319</v>
      </c>
      <c r="K321" s="43">
        <v>-15</v>
      </c>
      <c r="L321" s="43">
        <f t="shared" si="74"/>
        <v>525.30000000000086</v>
      </c>
      <c r="M321" s="183"/>
      <c r="N321" s="37" t="str">
        <f t="shared" si="60"/>
        <v>MCSGAST1CPF - Desp. Lazer e Entretenimento - Bares</v>
      </c>
      <c r="O321" s="37" t="str">
        <f t="shared" si="61"/>
        <v>GAST1CPF - Desp. Lazer e Entretenimento - Bares</v>
      </c>
      <c r="P321" s="37" t="str">
        <f t="shared" si="62"/>
        <v>MCSGAST1CPF - Desp. Lazer e Entretenimento - Bares</v>
      </c>
      <c r="Q321" s="37" t="str">
        <f t="shared" si="63"/>
        <v>MCSGAST1</v>
      </c>
      <c r="R321" s="37" t="str">
        <f t="shared" si="64"/>
        <v>MCSGAST1</v>
      </c>
      <c r="S321" s="31"/>
      <c r="T321" s="185">
        <f t="shared" si="65"/>
        <v>46113</v>
      </c>
      <c r="U321" s="181">
        <v>319</v>
      </c>
    </row>
    <row r="322" spans="2:21" s="181" customFormat="1" x14ac:dyDescent="0.25">
      <c r="B322" s="182" t="s">
        <v>25</v>
      </c>
      <c r="C322" s="183"/>
      <c r="D322" s="54" t="str">
        <f>INDEX(Cad_Natureza!$B$3:$C$52,MATCH('2026'!F322,Cad_Natureza!$C$3:$C$52,0),MATCH('2026'!D$2,Cad_Natureza!$B$3:$C$3,0))</f>
        <v>GAST1</v>
      </c>
      <c r="E322" s="52" t="str">
        <f t="shared" si="72"/>
        <v>Despesa 320</v>
      </c>
      <c r="F322" s="53" t="s">
        <v>65</v>
      </c>
      <c r="G322" s="54" t="s">
        <v>25</v>
      </c>
      <c r="H322" s="55">
        <v>46125</v>
      </c>
      <c r="I322" s="55"/>
      <c r="J322" s="50" t="str">
        <f t="shared" si="73"/>
        <v>Observação da despesa 320</v>
      </c>
      <c r="K322" s="43">
        <v>-10</v>
      </c>
      <c r="L322" s="43">
        <f t="shared" si="74"/>
        <v>515.30000000000086</v>
      </c>
      <c r="M322" s="183"/>
      <c r="N322" s="37" t="str">
        <f t="shared" si="60"/>
        <v>MCSGAST1CPF - Desp. Lazer e Entretenimento - Bares</v>
      </c>
      <c r="O322" s="37" t="str">
        <f t="shared" si="61"/>
        <v>GAST1CPF - Desp. Lazer e Entretenimento - Bares</v>
      </c>
      <c r="P322" s="37" t="str">
        <f t="shared" si="62"/>
        <v>MCSGAST1CPF - Desp. Lazer e Entretenimento - Bares</v>
      </c>
      <c r="Q322" s="37" t="str">
        <f t="shared" si="63"/>
        <v>MCSGAST1</v>
      </c>
      <c r="R322" s="37" t="str">
        <f t="shared" si="64"/>
        <v>MCSGAST1</v>
      </c>
      <c r="S322" s="31"/>
      <c r="T322" s="185">
        <f t="shared" si="65"/>
        <v>46113</v>
      </c>
      <c r="U322" s="181">
        <v>320</v>
      </c>
    </row>
    <row r="323" spans="2:21" s="181" customFormat="1" x14ac:dyDescent="0.25">
      <c r="B323" s="182" t="s">
        <v>25</v>
      </c>
      <c r="C323" s="183"/>
      <c r="D323" s="54" t="str">
        <f>INDEX(Cad_Natureza!$B$3:$C$52,MATCH('2026'!F323,Cad_Natureza!$C$3:$C$52,0),MATCH('2026'!D$2,Cad_Natureza!$B$3:$C$3,0))</f>
        <v>GAST1</v>
      </c>
      <c r="E323" s="52" t="str">
        <f t="shared" si="72"/>
        <v>Despesa 321</v>
      </c>
      <c r="F323" s="53" t="s">
        <v>65</v>
      </c>
      <c r="G323" s="54" t="s">
        <v>25</v>
      </c>
      <c r="H323" s="55">
        <v>46125</v>
      </c>
      <c r="I323" s="55"/>
      <c r="J323" s="50" t="str">
        <f t="shared" si="73"/>
        <v>Observação da despesa 321</v>
      </c>
      <c r="K323" s="43">
        <v>-5</v>
      </c>
      <c r="L323" s="43">
        <f t="shared" si="74"/>
        <v>510.30000000000086</v>
      </c>
      <c r="M323" s="183"/>
      <c r="N323" s="37" t="str">
        <f t="shared" si="60"/>
        <v>MCSGAST1CPF - Desp. Lazer e Entretenimento - Bares</v>
      </c>
      <c r="O323" s="37" t="str">
        <f t="shared" si="61"/>
        <v>GAST1CPF - Desp. Lazer e Entretenimento - Bares</v>
      </c>
      <c r="P323" s="37" t="str">
        <f t="shared" si="62"/>
        <v>MCSGAST1CPF - Desp. Lazer e Entretenimento - Bares</v>
      </c>
      <c r="Q323" s="37" t="str">
        <f t="shared" si="63"/>
        <v>MCSGAST1</v>
      </c>
      <c r="R323" s="37" t="str">
        <f t="shared" si="64"/>
        <v>MCSGAST1</v>
      </c>
      <c r="S323" s="31"/>
      <c r="T323" s="185">
        <f t="shared" si="65"/>
        <v>46113</v>
      </c>
      <c r="U323" s="181">
        <v>321</v>
      </c>
    </row>
    <row r="324" spans="2:21" s="181" customFormat="1" x14ac:dyDescent="0.25">
      <c r="B324" s="182" t="s">
        <v>25</v>
      </c>
      <c r="C324" s="183"/>
      <c r="D324" s="54" t="str">
        <f>INDEX(Cad_Natureza!$B$3:$C$52,MATCH('2026'!F324,Cad_Natureza!$C$3:$C$52,0),MATCH('2026'!D$2,Cad_Natureza!$B$3:$C$3,0))</f>
        <v>DESP4</v>
      </c>
      <c r="E324" s="52" t="str">
        <f t="shared" ref="E324:E387" si="81">IF(K324&lt;0,"Despesa "&amp;U324,"Receita "&amp;U324)</f>
        <v>Despesa 322</v>
      </c>
      <c r="F324" s="53" t="s">
        <v>74</v>
      </c>
      <c r="G324" s="54" t="s">
        <v>25</v>
      </c>
      <c r="H324" s="55">
        <v>46125</v>
      </c>
      <c r="I324" s="55"/>
      <c r="J324" s="50" t="str">
        <f t="shared" ref="J324:J387" si="82">IF(K324&lt;0,"Observação da despesa "&amp;U324,"Observação da receita "&amp;U324)</f>
        <v>Observação da despesa 322</v>
      </c>
      <c r="K324" s="43">
        <v>-74.67</v>
      </c>
      <c r="L324" s="43">
        <f t="shared" ref="L324:L387" si="83">L323+K324</f>
        <v>435.63000000000085</v>
      </c>
      <c r="M324" s="183"/>
      <c r="N324" s="37" t="str">
        <f t="shared" si="60"/>
        <v>MCSDESP4CPF - Desp. Moradia</v>
      </c>
      <c r="O324" s="37" t="str">
        <f t="shared" si="61"/>
        <v>DESP4CPF - Desp. Moradia</v>
      </c>
      <c r="P324" s="37" t="str">
        <f t="shared" si="62"/>
        <v>MCSDESP4CPF - Desp. Moradia</v>
      </c>
      <c r="Q324" s="37" t="str">
        <f t="shared" si="63"/>
        <v>MCSDESP4</v>
      </c>
      <c r="R324" s="37" t="str">
        <f t="shared" si="64"/>
        <v>MCSDESP4</v>
      </c>
      <c r="S324" s="31"/>
      <c r="T324" s="185">
        <f t="shared" si="65"/>
        <v>46113</v>
      </c>
      <c r="U324" s="181">
        <v>322</v>
      </c>
    </row>
    <row r="325" spans="2:21" s="181" customFormat="1" x14ac:dyDescent="0.25">
      <c r="B325" s="182" t="s">
        <v>25</v>
      </c>
      <c r="C325" s="183"/>
      <c r="D325" s="54" t="str">
        <f>INDEX(Cad_Natureza!$B$3:$C$52,MATCH('2026'!F325,Cad_Natureza!$C$3:$C$52,0),MATCH('2026'!D$2,Cad_Natureza!$B$3:$C$3,0))</f>
        <v>PENS6</v>
      </c>
      <c r="E325" s="52" t="str">
        <f t="shared" si="81"/>
        <v>Despesa 323</v>
      </c>
      <c r="F325" s="53" t="s">
        <v>34</v>
      </c>
      <c r="G325" s="54" t="s">
        <v>25</v>
      </c>
      <c r="H325" s="55">
        <v>46125</v>
      </c>
      <c r="I325" s="55"/>
      <c r="J325" s="50" t="str">
        <f t="shared" si="82"/>
        <v>Observação da despesa 323</v>
      </c>
      <c r="K325" s="43">
        <v>-35.99</v>
      </c>
      <c r="L325" s="43">
        <f t="shared" si="83"/>
        <v>399.64000000000084</v>
      </c>
      <c r="M325" s="183"/>
      <c r="N325" s="37" t="str">
        <f t="shared" si="60"/>
        <v>MCSPENS6CPF - Pensão - Farmácia e Saúde</v>
      </c>
      <c r="O325" s="37" t="str">
        <f t="shared" si="61"/>
        <v>PENS6CPF - Pensão - Farmácia e Saúde</v>
      </c>
      <c r="P325" s="37" t="str">
        <f t="shared" si="62"/>
        <v>MCSPENS6CPF - Pensão - Farmácia e Saúde</v>
      </c>
      <c r="Q325" s="37" t="str">
        <f t="shared" si="63"/>
        <v>MCSPENS6</v>
      </c>
      <c r="R325" s="37" t="str">
        <f t="shared" si="64"/>
        <v>MCSPENS6</v>
      </c>
      <c r="S325" s="31"/>
      <c r="T325" s="185">
        <f t="shared" si="65"/>
        <v>46113</v>
      </c>
      <c r="U325" s="181">
        <v>323</v>
      </c>
    </row>
    <row r="326" spans="2:21" s="181" customFormat="1" x14ac:dyDescent="0.25">
      <c r="B326" s="182" t="s">
        <v>25</v>
      </c>
      <c r="C326" s="183"/>
      <c r="D326" s="54" t="str">
        <f>INDEX(Cad_Natureza!$B$3:$C$52,MATCH('2026'!F326,Cad_Natureza!$C$3:$C$52,0),MATCH('2026'!D$2,Cad_Natureza!$B$3:$C$3,0))</f>
        <v>GAST1</v>
      </c>
      <c r="E326" s="52" t="str">
        <f t="shared" si="81"/>
        <v>Despesa 324</v>
      </c>
      <c r="F326" s="53" t="s">
        <v>65</v>
      </c>
      <c r="G326" s="54" t="s">
        <v>25</v>
      </c>
      <c r="H326" s="55">
        <v>46125</v>
      </c>
      <c r="I326" s="55"/>
      <c r="J326" s="50" t="str">
        <f t="shared" si="82"/>
        <v>Observação da despesa 324</v>
      </c>
      <c r="K326" s="43">
        <v>-45.5</v>
      </c>
      <c r="L326" s="43">
        <f t="shared" si="83"/>
        <v>354.14000000000084</v>
      </c>
      <c r="M326" s="183"/>
      <c r="N326" s="37" t="str">
        <f t="shared" si="60"/>
        <v>MCSGAST1CPF - Desp. Lazer e Entretenimento - Bares</v>
      </c>
      <c r="O326" s="37" t="str">
        <f t="shared" si="61"/>
        <v>GAST1CPF - Desp. Lazer e Entretenimento - Bares</v>
      </c>
      <c r="P326" s="37" t="str">
        <f t="shared" si="62"/>
        <v>MCSGAST1CPF - Desp. Lazer e Entretenimento - Bares</v>
      </c>
      <c r="Q326" s="37" t="str">
        <f t="shared" si="63"/>
        <v>MCSGAST1</v>
      </c>
      <c r="R326" s="37" t="str">
        <f t="shared" si="64"/>
        <v>MCSGAST1</v>
      </c>
      <c r="S326" s="31"/>
      <c r="T326" s="185">
        <f t="shared" si="65"/>
        <v>46113</v>
      </c>
      <c r="U326" s="181">
        <v>324</v>
      </c>
    </row>
    <row r="327" spans="2:21" s="181" customFormat="1" x14ac:dyDescent="0.25">
      <c r="B327" s="182" t="s">
        <v>25</v>
      </c>
      <c r="C327" s="183"/>
      <c r="D327" s="54" t="str">
        <f>INDEX(Cad_Natureza!$B$3:$C$52,MATCH('2026'!F327,Cad_Natureza!$C$3:$C$52,0),MATCH('2026'!D$2,Cad_Natureza!$B$3:$C$3,0))</f>
        <v>GAST1</v>
      </c>
      <c r="E327" s="52" t="str">
        <f t="shared" si="81"/>
        <v>Despesa 325</v>
      </c>
      <c r="F327" s="53" t="s">
        <v>65</v>
      </c>
      <c r="G327" s="54" t="s">
        <v>25</v>
      </c>
      <c r="H327" s="55">
        <v>46125</v>
      </c>
      <c r="I327" s="55"/>
      <c r="J327" s="50" t="str">
        <f t="shared" si="82"/>
        <v>Observação da despesa 325</v>
      </c>
      <c r="K327" s="43">
        <v>-5</v>
      </c>
      <c r="L327" s="43">
        <f t="shared" si="83"/>
        <v>349.14000000000084</v>
      </c>
      <c r="M327" s="183"/>
      <c r="N327" s="37" t="str">
        <f t="shared" si="60"/>
        <v>MCSGAST1CPF - Desp. Lazer e Entretenimento - Bares</v>
      </c>
      <c r="O327" s="37" t="str">
        <f t="shared" si="61"/>
        <v>GAST1CPF - Desp. Lazer e Entretenimento - Bares</v>
      </c>
      <c r="P327" s="37" t="str">
        <f t="shared" si="62"/>
        <v>MCSGAST1CPF - Desp. Lazer e Entretenimento - Bares</v>
      </c>
      <c r="Q327" s="37" t="str">
        <f t="shared" si="63"/>
        <v>MCSGAST1</v>
      </c>
      <c r="R327" s="37" t="str">
        <f t="shared" si="64"/>
        <v>MCSGAST1</v>
      </c>
      <c r="S327" s="31"/>
      <c r="T327" s="185">
        <f t="shared" si="65"/>
        <v>46113</v>
      </c>
      <c r="U327" s="181">
        <v>325</v>
      </c>
    </row>
    <row r="328" spans="2:21" s="181" customFormat="1" x14ac:dyDescent="0.25">
      <c r="B328" s="182" t="s">
        <v>25</v>
      </c>
      <c r="C328" s="183"/>
      <c r="D328" s="54" t="str">
        <f>INDEX(Cad_Natureza!$B$3:$C$52,MATCH('2026'!F328,Cad_Natureza!$C$3:$C$52,0),MATCH('2026'!D$2,Cad_Natureza!$B$3:$C$3,0))</f>
        <v>DESP4</v>
      </c>
      <c r="E328" s="52" t="str">
        <f t="shared" si="81"/>
        <v>Despesa 326</v>
      </c>
      <c r="F328" s="53" t="s">
        <v>74</v>
      </c>
      <c r="G328" s="54" t="s">
        <v>25</v>
      </c>
      <c r="H328" s="55">
        <v>46125</v>
      </c>
      <c r="I328" s="55"/>
      <c r="J328" s="50" t="str">
        <f t="shared" si="82"/>
        <v>Observação da despesa 326</v>
      </c>
      <c r="K328" s="43">
        <v>-17.940000000000001</v>
      </c>
      <c r="L328" s="43">
        <f t="shared" si="83"/>
        <v>331.20000000000084</v>
      </c>
      <c r="M328" s="183"/>
      <c r="N328" s="37" t="str">
        <f t="shared" si="60"/>
        <v>MCSDESP4CPF - Desp. Moradia</v>
      </c>
      <c r="O328" s="37" t="str">
        <f t="shared" si="61"/>
        <v>DESP4CPF - Desp. Moradia</v>
      </c>
      <c r="P328" s="37" t="str">
        <f t="shared" si="62"/>
        <v>MCSDESP4CPF - Desp. Moradia</v>
      </c>
      <c r="Q328" s="37" t="str">
        <f t="shared" si="63"/>
        <v>MCSDESP4</v>
      </c>
      <c r="R328" s="37" t="str">
        <f t="shared" si="64"/>
        <v>MCSDESP4</v>
      </c>
      <c r="S328" s="31"/>
      <c r="T328" s="185">
        <f t="shared" si="65"/>
        <v>46113</v>
      </c>
      <c r="U328" s="181">
        <v>326</v>
      </c>
    </row>
    <row r="329" spans="2:21" s="181" customFormat="1" x14ac:dyDescent="0.25">
      <c r="B329" s="182" t="s">
        <v>25</v>
      </c>
      <c r="C329" s="183"/>
      <c r="D329" s="54" t="str">
        <f>INDEX(Cad_Natureza!$B$3:$C$52,MATCH('2026'!F329,Cad_Natureza!$C$3:$C$52,0),MATCH('2026'!D$2,Cad_Natureza!$B$3:$C$3,0))</f>
        <v>FIN1</v>
      </c>
      <c r="E329" s="52" t="str">
        <f t="shared" si="81"/>
        <v>Despesa 327</v>
      </c>
      <c r="F329" s="53" t="s">
        <v>36</v>
      </c>
      <c r="G329" s="54" t="s">
        <v>25</v>
      </c>
      <c r="H329" s="55">
        <v>46125</v>
      </c>
      <c r="I329" s="55"/>
      <c r="J329" s="50" t="str">
        <f t="shared" si="82"/>
        <v>Observação da despesa 327</v>
      </c>
      <c r="K329" s="43">
        <v>-30</v>
      </c>
      <c r="L329" s="43">
        <f t="shared" si="83"/>
        <v>301.20000000000084</v>
      </c>
      <c r="M329" s="183"/>
      <c r="N329" s="37" t="str">
        <f t="shared" si="60"/>
        <v>MCSFIN1CPF - Desp. Financeiras - Empréstimos</v>
      </c>
      <c r="O329" s="37" t="str">
        <f t="shared" si="61"/>
        <v>FIN1CPF - Desp. Financeiras - Empréstimos</v>
      </c>
      <c r="P329" s="37" t="str">
        <f t="shared" si="62"/>
        <v>MCSFIN1CPF - Desp. Financeiras - Empréstimos</v>
      </c>
      <c r="Q329" s="37" t="str">
        <f t="shared" si="63"/>
        <v>MCSFIN1</v>
      </c>
      <c r="R329" s="37" t="str">
        <f t="shared" si="64"/>
        <v>MCSFIN1</v>
      </c>
      <c r="S329" s="31"/>
      <c r="T329" s="185">
        <f t="shared" si="65"/>
        <v>46113</v>
      </c>
      <c r="U329" s="181">
        <v>327</v>
      </c>
    </row>
    <row r="330" spans="2:21" s="181" customFormat="1" x14ac:dyDescent="0.25">
      <c r="B330" s="182" t="s">
        <v>25</v>
      </c>
      <c r="C330" s="183"/>
      <c r="D330" s="54" t="str">
        <f>INDEX(Cad_Natureza!$B$3:$C$52,MATCH('2026'!F330,Cad_Natureza!$C$3:$C$52,0),MATCH('2026'!D$2,Cad_Natureza!$B$3:$C$3,0))</f>
        <v>GAST1</v>
      </c>
      <c r="E330" s="52" t="str">
        <f t="shared" si="81"/>
        <v>Despesa 328</v>
      </c>
      <c r="F330" s="53" t="s">
        <v>65</v>
      </c>
      <c r="G330" s="54" t="s">
        <v>25</v>
      </c>
      <c r="H330" s="55">
        <v>46125</v>
      </c>
      <c r="I330" s="55"/>
      <c r="J330" s="50" t="str">
        <f t="shared" si="82"/>
        <v>Observação da despesa 328</v>
      </c>
      <c r="K330" s="43">
        <v>-9</v>
      </c>
      <c r="L330" s="43">
        <f t="shared" si="83"/>
        <v>292.20000000000084</v>
      </c>
      <c r="M330" s="183"/>
      <c r="N330" s="37" t="str">
        <f t="shared" si="60"/>
        <v>MCSGAST1CPF - Desp. Lazer e Entretenimento - Bares</v>
      </c>
      <c r="O330" s="37" t="str">
        <f t="shared" si="61"/>
        <v>GAST1CPF - Desp. Lazer e Entretenimento - Bares</v>
      </c>
      <c r="P330" s="37" t="str">
        <f t="shared" si="62"/>
        <v>MCSGAST1CPF - Desp. Lazer e Entretenimento - Bares</v>
      </c>
      <c r="Q330" s="37" t="str">
        <f t="shared" si="63"/>
        <v>MCSGAST1</v>
      </c>
      <c r="R330" s="37" t="str">
        <f t="shared" si="64"/>
        <v>MCSGAST1</v>
      </c>
      <c r="S330" s="31"/>
      <c r="T330" s="185">
        <f t="shared" si="65"/>
        <v>46113</v>
      </c>
      <c r="U330" s="181">
        <v>328</v>
      </c>
    </row>
    <row r="331" spans="2:21" s="181" customFormat="1" x14ac:dyDescent="0.25">
      <c r="B331" s="182" t="s">
        <v>25</v>
      </c>
      <c r="C331" s="183"/>
      <c r="D331" s="54" t="str">
        <f>INDEX(Cad_Natureza!$B$3:$C$52,MATCH('2026'!F331,Cad_Natureza!$C$3:$C$52,0),MATCH('2026'!D$2,Cad_Natureza!$B$3:$C$3,0))</f>
        <v>GAST1</v>
      </c>
      <c r="E331" s="52" t="str">
        <f t="shared" si="81"/>
        <v>Despesa 329</v>
      </c>
      <c r="F331" s="53" t="s">
        <v>65</v>
      </c>
      <c r="G331" s="54" t="s">
        <v>25</v>
      </c>
      <c r="H331" s="55">
        <v>46125</v>
      </c>
      <c r="I331" s="55"/>
      <c r="J331" s="50" t="str">
        <f t="shared" si="82"/>
        <v>Observação da despesa 329</v>
      </c>
      <c r="K331" s="43">
        <v>-13</v>
      </c>
      <c r="L331" s="43">
        <f t="shared" si="83"/>
        <v>279.20000000000084</v>
      </c>
      <c r="M331" s="183"/>
      <c r="N331" s="37" t="str">
        <f t="shared" si="60"/>
        <v>MCSGAST1CPF - Desp. Lazer e Entretenimento - Bares</v>
      </c>
      <c r="O331" s="37" t="str">
        <f t="shared" si="61"/>
        <v>GAST1CPF - Desp. Lazer e Entretenimento - Bares</v>
      </c>
      <c r="P331" s="37" t="str">
        <f t="shared" si="62"/>
        <v>MCSGAST1CPF - Desp. Lazer e Entretenimento - Bares</v>
      </c>
      <c r="Q331" s="37" t="str">
        <f t="shared" si="63"/>
        <v>MCSGAST1</v>
      </c>
      <c r="R331" s="37" t="str">
        <f t="shared" si="64"/>
        <v>MCSGAST1</v>
      </c>
      <c r="S331" s="31"/>
      <c r="T331" s="185">
        <f t="shared" si="65"/>
        <v>46113</v>
      </c>
      <c r="U331" s="181">
        <v>329</v>
      </c>
    </row>
    <row r="332" spans="2:21" s="181" customFormat="1" x14ac:dyDescent="0.25">
      <c r="B332" s="182" t="s">
        <v>25</v>
      </c>
      <c r="C332" s="183"/>
      <c r="D332" s="54" t="str">
        <f>INDEX(Cad_Natureza!$B$3:$C$52,MATCH('2026'!F332,Cad_Natureza!$C$3:$C$52,0),MATCH('2026'!D$2,Cad_Natureza!$B$3:$C$3,0))</f>
        <v>GAST1</v>
      </c>
      <c r="E332" s="52" t="str">
        <f t="shared" si="81"/>
        <v>Despesa 330</v>
      </c>
      <c r="F332" s="53" t="s">
        <v>65</v>
      </c>
      <c r="G332" s="54" t="s">
        <v>25</v>
      </c>
      <c r="H332" s="55">
        <v>46125</v>
      </c>
      <c r="I332" s="55"/>
      <c r="J332" s="50" t="str">
        <f t="shared" si="82"/>
        <v>Observação da despesa 330</v>
      </c>
      <c r="K332" s="43">
        <v>-20</v>
      </c>
      <c r="L332" s="43">
        <f t="shared" si="83"/>
        <v>259.20000000000084</v>
      </c>
      <c r="M332" s="183"/>
      <c r="N332" s="37" t="str">
        <f t="shared" si="60"/>
        <v>MCSGAST1CPF - Desp. Lazer e Entretenimento - Bares</v>
      </c>
      <c r="O332" s="37" t="str">
        <f t="shared" si="61"/>
        <v>GAST1CPF - Desp. Lazer e Entretenimento - Bares</v>
      </c>
      <c r="P332" s="37" t="str">
        <f t="shared" si="62"/>
        <v>MCSGAST1CPF - Desp. Lazer e Entretenimento - Bares</v>
      </c>
      <c r="Q332" s="37" t="str">
        <f t="shared" si="63"/>
        <v>MCSGAST1</v>
      </c>
      <c r="R332" s="37" t="str">
        <f t="shared" si="64"/>
        <v>MCSGAST1</v>
      </c>
      <c r="S332" s="31"/>
      <c r="T332" s="185">
        <f t="shared" si="65"/>
        <v>46113</v>
      </c>
      <c r="U332" s="181">
        <v>330</v>
      </c>
    </row>
    <row r="333" spans="2:21" s="181" customFormat="1" x14ac:dyDescent="0.25">
      <c r="B333" s="182" t="s">
        <v>25</v>
      </c>
      <c r="C333" s="183"/>
      <c r="D333" s="54" t="str">
        <f>INDEX(Cad_Natureza!$B$3:$C$52,MATCH('2026'!F333,Cad_Natureza!$C$3:$C$52,0),MATCH('2026'!D$2,Cad_Natureza!$B$3:$C$3,0))</f>
        <v>GAST1</v>
      </c>
      <c r="E333" s="52" t="str">
        <f t="shared" si="81"/>
        <v>Despesa 331</v>
      </c>
      <c r="F333" s="53" t="s">
        <v>65</v>
      </c>
      <c r="G333" s="54" t="s">
        <v>25</v>
      </c>
      <c r="H333" s="55">
        <v>46125</v>
      </c>
      <c r="I333" s="55"/>
      <c r="J333" s="50" t="str">
        <f t="shared" si="82"/>
        <v>Observação da despesa 331</v>
      </c>
      <c r="K333" s="43">
        <v>-68</v>
      </c>
      <c r="L333" s="43">
        <f t="shared" si="83"/>
        <v>191.20000000000084</v>
      </c>
      <c r="M333" s="183"/>
      <c r="N333" s="37" t="str">
        <f t="shared" si="60"/>
        <v>MCSGAST1CPF - Desp. Lazer e Entretenimento - Bares</v>
      </c>
      <c r="O333" s="37" t="str">
        <f t="shared" si="61"/>
        <v>GAST1CPF - Desp. Lazer e Entretenimento - Bares</v>
      </c>
      <c r="P333" s="37" t="str">
        <f t="shared" si="62"/>
        <v>MCSGAST1CPF - Desp. Lazer e Entretenimento - Bares</v>
      </c>
      <c r="Q333" s="37" t="str">
        <f t="shared" si="63"/>
        <v>MCSGAST1</v>
      </c>
      <c r="R333" s="37" t="str">
        <f t="shared" si="64"/>
        <v>MCSGAST1</v>
      </c>
      <c r="S333" s="31"/>
      <c r="T333" s="185">
        <f t="shared" si="65"/>
        <v>46113</v>
      </c>
      <c r="U333" s="181">
        <v>331</v>
      </c>
    </row>
    <row r="334" spans="2:21" s="177" customFormat="1" x14ac:dyDescent="0.25">
      <c r="B334" s="174" t="s">
        <v>25</v>
      </c>
      <c r="C334" s="51"/>
      <c r="D334" s="44" t="str">
        <f>INDEX(Cad_Natureza!$B$3:$C$52,MATCH('2026'!F334,Cad_Natureza!$C$3:$C$52,0),MATCH('2026'!D$2,Cad_Natureza!$B$3:$C$3,0))</f>
        <v>REC5</v>
      </c>
      <c r="E334" s="45" t="str">
        <f t="shared" si="81"/>
        <v>Receita 332</v>
      </c>
      <c r="F334" s="46" t="s">
        <v>63</v>
      </c>
      <c r="G334" s="44" t="s">
        <v>25</v>
      </c>
      <c r="H334" s="47">
        <v>46125</v>
      </c>
      <c r="I334" s="47"/>
      <c r="J334" s="48" t="str">
        <f t="shared" si="82"/>
        <v>Observação da receita 332</v>
      </c>
      <c r="K334" s="49">
        <v>25</v>
      </c>
      <c r="L334" s="49">
        <f t="shared" si="83"/>
        <v>216.20000000000084</v>
      </c>
      <c r="M334" s="51"/>
      <c r="N334" s="37" t="str">
        <f t="shared" si="60"/>
        <v>MCSREC5CPF - Outras receitas</v>
      </c>
      <c r="O334" s="37" t="str">
        <f t="shared" si="61"/>
        <v>REC5CPF - Outras receitas</v>
      </c>
      <c r="P334" s="37" t="str">
        <f t="shared" si="62"/>
        <v>MCSREC5CPF - Outras receitas</v>
      </c>
      <c r="Q334" s="37" t="str">
        <f t="shared" si="63"/>
        <v>MCSREC5</v>
      </c>
      <c r="R334" s="37" t="str">
        <f t="shared" si="64"/>
        <v>MCSREC5</v>
      </c>
      <c r="S334" s="31"/>
      <c r="T334" s="176">
        <f t="shared" si="65"/>
        <v>46113</v>
      </c>
      <c r="U334" s="181">
        <v>332</v>
      </c>
    </row>
    <row r="335" spans="2:21" s="181" customFormat="1" x14ac:dyDescent="0.25">
      <c r="B335" s="182" t="s">
        <v>25</v>
      </c>
      <c r="C335" s="183"/>
      <c r="D335" s="54" t="str">
        <f>INDEX(Cad_Natureza!$B$3:$C$52,MATCH('2026'!F335,Cad_Natureza!$C$3:$C$52,0),MATCH('2026'!D$2,Cad_Natureza!$B$3:$C$3,0))</f>
        <v>GAST2</v>
      </c>
      <c r="E335" s="52" t="str">
        <f t="shared" si="81"/>
        <v>Despesa 333</v>
      </c>
      <c r="F335" s="53" t="s">
        <v>66</v>
      </c>
      <c r="G335" s="54" t="s">
        <v>25</v>
      </c>
      <c r="H335" s="55">
        <v>46125</v>
      </c>
      <c r="I335" s="55"/>
      <c r="J335" s="50" t="str">
        <f t="shared" si="82"/>
        <v>Observação da despesa 333</v>
      </c>
      <c r="K335" s="43">
        <v>-35</v>
      </c>
      <c r="L335" s="43">
        <f t="shared" si="83"/>
        <v>181.20000000000084</v>
      </c>
      <c r="M335" s="183"/>
      <c r="N335" s="37" t="str">
        <f t="shared" si="60"/>
        <v>MCSGAST2CPF - Desp. Lazer e Entretenimento - Cigarro</v>
      </c>
      <c r="O335" s="37" t="str">
        <f t="shared" si="61"/>
        <v>GAST2CPF - Desp. Lazer e Entretenimento - Cigarro</v>
      </c>
      <c r="P335" s="37" t="str">
        <f t="shared" si="62"/>
        <v>MCSGAST2CPF - Desp. Lazer e Entretenimento - Cigarro</v>
      </c>
      <c r="Q335" s="37" t="str">
        <f t="shared" si="63"/>
        <v>MCSGAST2</v>
      </c>
      <c r="R335" s="37" t="str">
        <f t="shared" si="64"/>
        <v>MCSGAST2</v>
      </c>
      <c r="S335" s="31"/>
      <c r="T335" s="185">
        <f t="shared" si="65"/>
        <v>46113</v>
      </c>
      <c r="U335" s="181">
        <v>333</v>
      </c>
    </row>
    <row r="336" spans="2:21" s="181" customFormat="1" x14ac:dyDescent="0.25">
      <c r="B336" s="182" t="s">
        <v>25</v>
      </c>
      <c r="C336" s="183"/>
      <c r="D336" s="54" t="str">
        <f>INDEX(Cad_Natureza!$B$3:$C$52,MATCH('2026'!F336,Cad_Natureza!$C$3:$C$52,0),MATCH('2026'!D$2,Cad_Natureza!$B$3:$C$3,0))</f>
        <v>OPF2</v>
      </c>
      <c r="E336" s="52" t="str">
        <f t="shared" si="81"/>
        <v>Despesa 334</v>
      </c>
      <c r="F336" s="53" t="s">
        <v>64</v>
      </c>
      <c r="G336" s="54" t="s">
        <v>25</v>
      </c>
      <c r="H336" s="55">
        <v>46125</v>
      </c>
      <c r="I336" s="55"/>
      <c r="J336" s="50" t="str">
        <f t="shared" si="82"/>
        <v>Observação da despesa 334</v>
      </c>
      <c r="K336" s="43">
        <v>-78.84</v>
      </c>
      <c r="L336" s="43">
        <f t="shared" si="83"/>
        <v>102.36000000000084</v>
      </c>
      <c r="M336" s="183"/>
      <c r="N336" s="37" t="str">
        <f t="shared" si="60"/>
        <v>MCSOPF2CPF - Desp. Transporte / Combustível</v>
      </c>
      <c r="O336" s="37" t="str">
        <f t="shared" si="61"/>
        <v>OPF2CPF - Desp. Transporte / Combustível</v>
      </c>
      <c r="P336" s="37" t="str">
        <f t="shared" si="62"/>
        <v>MCSOPF2CPF - Desp. Transporte / Combustível</v>
      </c>
      <c r="Q336" s="37" t="str">
        <f t="shared" si="63"/>
        <v>MCSOPF2</v>
      </c>
      <c r="R336" s="37" t="str">
        <f t="shared" si="64"/>
        <v>MCSOPF2</v>
      </c>
      <c r="S336" s="31"/>
      <c r="T336" s="185">
        <f t="shared" si="65"/>
        <v>46113</v>
      </c>
      <c r="U336" s="181">
        <v>334</v>
      </c>
    </row>
    <row r="337" spans="2:21" s="181" customFormat="1" x14ac:dyDescent="0.25">
      <c r="B337" s="182" t="s">
        <v>25</v>
      </c>
      <c r="C337" s="183"/>
      <c r="D337" s="54" t="str">
        <f>INDEX(Cad_Natureza!$B$3:$C$52,MATCH('2026'!F337,Cad_Natureza!$C$3:$C$52,0),MATCH('2026'!D$2,Cad_Natureza!$B$3:$C$3,0))</f>
        <v>OPF1</v>
      </c>
      <c r="E337" s="52" t="str">
        <f t="shared" si="81"/>
        <v>Despesa 335</v>
      </c>
      <c r="F337" s="53" t="s">
        <v>67</v>
      </c>
      <c r="G337" s="54" t="s">
        <v>25</v>
      </c>
      <c r="H337" s="55">
        <v>46125</v>
      </c>
      <c r="I337" s="55"/>
      <c r="J337" s="50" t="str">
        <f t="shared" si="82"/>
        <v>Observação da despesa 335</v>
      </c>
      <c r="K337" s="43">
        <v>-20</v>
      </c>
      <c r="L337" s="43">
        <f t="shared" si="83"/>
        <v>82.360000000000838</v>
      </c>
      <c r="M337" s="183"/>
      <c r="N337" s="37" t="str">
        <f t="shared" si="60"/>
        <v>MCSOPF1CPF - Desp. Alimentação / Refeição</v>
      </c>
      <c r="O337" s="37" t="str">
        <f t="shared" si="61"/>
        <v>OPF1CPF - Desp. Alimentação / Refeição</v>
      </c>
      <c r="P337" s="37" t="str">
        <f t="shared" si="62"/>
        <v>MCSOPF1CPF - Desp. Alimentação / Refeição</v>
      </c>
      <c r="Q337" s="37" t="str">
        <f t="shared" si="63"/>
        <v>MCSOPF1</v>
      </c>
      <c r="R337" s="37" t="str">
        <f t="shared" si="64"/>
        <v>MCSOPF1</v>
      </c>
      <c r="S337" s="31"/>
      <c r="T337" s="185">
        <f t="shared" si="65"/>
        <v>46113</v>
      </c>
      <c r="U337" s="181">
        <v>335</v>
      </c>
    </row>
    <row r="338" spans="2:21" s="181" customFormat="1" x14ac:dyDescent="0.25">
      <c r="B338" s="182" t="s">
        <v>25</v>
      </c>
      <c r="C338" s="183"/>
      <c r="D338" s="54" t="str">
        <f>INDEX(Cad_Natureza!$B$3:$C$52,MATCH('2026'!F338,Cad_Natureza!$C$3:$C$52,0),MATCH('2026'!D$2,Cad_Natureza!$B$3:$C$3,0))</f>
        <v>GAST1</v>
      </c>
      <c r="E338" s="52" t="str">
        <f t="shared" si="81"/>
        <v>Despesa 336</v>
      </c>
      <c r="F338" s="53" t="s">
        <v>65</v>
      </c>
      <c r="G338" s="54" t="s">
        <v>25</v>
      </c>
      <c r="H338" s="55">
        <v>46125</v>
      </c>
      <c r="I338" s="55"/>
      <c r="J338" s="50" t="str">
        <f t="shared" si="82"/>
        <v>Observação da despesa 336</v>
      </c>
      <c r="K338" s="43">
        <v>-3</v>
      </c>
      <c r="L338" s="43">
        <f t="shared" si="83"/>
        <v>79.360000000000838</v>
      </c>
      <c r="M338" s="183"/>
      <c r="N338" s="37" t="str">
        <f t="shared" si="60"/>
        <v>MCSGAST1CPF - Desp. Lazer e Entretenimento - Bares</v>
      </c>
      <c r="O338" s="37" t="str">
        <f t="shared" si="61"/>
        <v>GAST1CPF - Desp. Lazer e Entretenimento - Bares</v>
      </c>
      <c r="P338" s="37" t="str">
        <f t="shared" si="62"/>
        <v>MCSGAST1CPF - Desp. Lazer e Entretenimento - Bares</v>
      </c>
      <c r="Q338" s="37" t="str">
        <f t="shared" si="63"/>
        <v>MCSGAST1</v>
      </c>
      <c r="R338" s="37" t="str">
        <f t="shared" si="64"/>
        <v>MCSGAST1</v>
      </c>
      <c r="S338" s="31"/>
      <c r="T338" s="185">
        <f t="shared" si="65"/>
        <v>46113</v>
      </c>
      <c r="U338" s="181">
        <v>336</v>
      </c>
    </row>
    <row r="339" spans="2:21" s="181" customFormat="1" x14ac:dyDescent="0.25">
      <c r="B339" s="182" t="s">
        <v>25</v>
      </c>
      <c r="C339" s="183"/>
      <c r="D339" s="54" t="str">
        <f>INDEX(Cad_Natureza!$B$3:$C$52,MATCH('2026'!F339,Cad_Natureza!$C$3:$C$52,0),MATCH('2026'!D$2,Cad_Natureza!$B$3:$C$3,0))</f>
        <v>GAST1</v>
      </c>
      <c r="E339" s="52" t="str">
        <f t="shared" si="81"/>
        <v>Despesa 337</v>
      </c>
      <c r="F339" s="53" t="s">
        <v>65</v>
      </c>
      <c r="G339" s="54" t="s">
        <v>25</v>
      </c>
      <c r="H339" s="55">
        <v>46125</v>
      </c>
      <c r="I339" s="55"/>
      <c r="J339" s="50" t="str">
        <f t="shared" si="82"/>
        <v>Observação da despesa 337</v>
      </c>
      <c r="K339" s="43">
        <v>-9</v>
      </c>
      <c r="L339" s="43">
        <f t="shared" si="83"/>
        <v>70.360000000000838</v>
      </c>
      <c r="M339" s="183"/>
      <c r="N339" s="37" t="str">
        <f t="shared" si="60"/>
        <v>MCSGAST1CPF - Desp. Lazer e Entretenimento - Bares</v>
      </c>
      <c r="O339" s="37" t="str">
        <f t="shared" si="61"/>
        <v>GAST1CPF - Desp. Lazer e Entretenimento - Bares</v>
      </c>
      <c r="P339" s="37" t="str">
        <f t="shared" si="62"/>
        <v>MCSGAST1CPF - Desp. Lazer e Entretenimento - Bares</v>
      </c>
      <c r="Q339" s="37" t="str">
        <f t="shared" si="63"/>
        <v>MCSGAST1</v>
      </c>
      <c r="R339" s="37" t="str">
        <f t="shared" si="64"/>
        <v>MCSGAST1</v>
      </c>
      <c r="S339" s="31"/>
      <c r="T339" s="185">
        <f t="shared" si="65"/>
        <v>46113</v>
      </c>
      <c r="U339" s="181">
        <v>337</v>
      </c>
    </row>
    <row r="340" spans="2:21" s="181" customFormat="1" x14ac:dyDescent="0.25">
      <c r="B340" s="182" t="s">
        <v>25</v>
      </c>
      <c r="C340" s="183"/>
      <c r="D340" s="54" t="str">
        <f>INDEX(Cad_Natureza!$B$3:$C$52,MATCH('2026'!F340,Cad_Natureza!$C$3:$C$52,0),MATCH('2026'!D$2,Cad_Natureza!$B$3:$C$3,0))</f>
        <v>GAST1</v>
      </c>
      <c r="E340" s="52" t="str">
        <f t="shared" si="81"/>
        <v>Despesa 338</v>
      </c>
      <c r="F340" s="53" t="s">
        <v>65</v>
      </c>
      <c r="G340" s="54" t="s">
        <v>25</v>
      </c>
      <c r="H340" s="55">
        <v>46125</v>
      </c>
      <c r="I340" s="55"/>
      <c r="J340" s="50" t="str">
        <f t="shared" si="82"/>
        <v>Observação da despesa 338</v>
      </c>
      <c r="K340" s="43">
        <v>-16</v>
      </c>
      <c r="L340" s="43">
        <f t="shared" si="83"/>
        <v>54.360000000000838</v>
      </c>
      <c r="M340" s="183"/>
      <c r="N340" s="37" t="str">
        <f t="shared" si="60"/>
        <v>MCSGAST1CPF - Desp. Lazer e Entretenimento - Bares</v>
      </c>
      <c r="O340" s="37" t="str">
        <f t="shared" si="61"/>
        <v>GAST1CPF - Desp. Lazer e Entretenimento - Bares</v>
      </c>
      <c r="P340" s="37" t="str">
        <f t="shared" si="62"/>
        <v>MCSGAST1CPF - Desp. Lazer e Entretenimento - Bares</v>
      </c>
      <c r="Q340" s="37" t="str">
        <f t="shared" si="63"/>
        <v>MCSGAST1</v>
      </c>
      <c r="R340" s="37" t="str">
        <f t="shared" si="64"/>
        <v>MCSGAST1</v>
      </c>
      <c r="S340" s="31"/>
      <c r="T340" s="185">
        <f t="shared" si="65"/>
        <v>46113</v>
      </c>
      <c r="U340" s="181">
        <v>338</v>
      </c>
    </row>
    <row r="341" spans="2:21" s="181" customFormat="1" x14ac:dyDescent="0.25">
      <c r="B341" s="182" t="s">
        <v>25</v>
      </c>
      <c r="C341" s="183"/>
      <c r="D341" s="54" t="str">
        <f>INDEX(Cad_Natureza!$B$3:$C$52,MATCH('2026'!F341,Cad_Natureza!$C$3:$C$52,0),MATCH('2026'!D$2,Cad_Natureza!$B$3:$C$3,0))</f>
        <v>GAST1</v>
      </c>
      <c r="E341" s="52" t="str">
        <f t="shared" si="81"/>
        <v>Despesa 339</v>
      </c>
      <c r="F341" s="53" t="s">
        <v>65</v>
      </c>
      <c r="G341" s="54" t="s">
        <v>25</v>
      </c>
      <c r="H341" s="55">
        <v>46125</v>
      </c>
      <c r="I341" s="55"/>
      <c r="J341" s="50" t="str">
        <f t="shared" si="82"/>
        <v>Observação da despesa 339</v>
      </c>
      <c r="K341" s="43">
        <v>-12</v>
      </c>
      <c r="L341" s="43">
        <f t="shared" si="83"/>
        <v>42.360000000000838</v>
      </c>
      <c r="M341" s="183"/>
      <c r="N341" s="37" t="str">
        <f t="shared" si="60"/>
        <v>MCSGAST1CPF - Desp. Lazer e Entretenimento - Bares</v>
      </c>
      <c r="O341" s="37" t="str">
        <f t="shared" si="61"/>
        <v>GAST1CPF - Desp. Lazer e Entretenimento - Bares</v>
      </c>
      <c r="P341" s="37" t="str">
        <f t="shared" si="62"/>
        <v>MCSGAST1CPF - Desp. Lazer e Entretenimento - Bares</v>
      </c>
      <c r="Q341" s="37" t="str">
        <f t="shared" si="63"/>
        <v>MCSGAST1</v>
      </c>
      <c r="R341" s="37" t="str">
        <f t="shared" si="64"/>
        <v>MCSGAST1</v>
      </c>
      <c r="S341" s="31"/>
      <c r="T341" s="185">
        <f t="shared" si="65"/>
        <v>46113</v>
      </c>
      <c r="U341" s="181">
        <v>339</v>
      </c>
    </row>
    <row r="342" spans="2:21" s="177" customFormat="1" x14ac:dyDescent="0.25">
      <c r="B342" s="174" t="s">
        <v>25</v>
      </c>
      <c r="C342" s="51"/>
      <c r="D342" s="44" t="str">
        <f>INDEX(Cad_Natureza!$B$3:$C$52,MATCH('2026'!F342,Cad_Natureza!$C$3:$C$52,0),MATCH('2026'!D$2,Cad_Natureza!$B$3:$C$3,0))</f>
        <v>REC4</v>
      </c>
      <c r="E342" s="45" t="str">
        <f t="shared" si="81"/>
        <v>Receita 340</v>
      </c>
      <c r="F342" s="46" t="s">
        <v>57</v>
      </c>
      <c r="G342" s="44" t="s">
        <v>25</v>
      </c>
      <c r="H342" s="47">
        <v>46126</v>
      </c>
      <c r="I342" s="47"/>
      <c r="J342" s="48" t="str">
        <f t="shared" si="82"/>
        <v>Observação da receita 340</v>
      </c>
      <c r="K342" s="49">
        <v>1000</v>
      </c>
      <c r="L342" s="49">
        <f t="shared" si="83"/>
        <v>1042.3600000000008</v>
      </c>
      <c r="M342" s="51"/>
      <c r="N342" s="37" t="str">
        <f t="shared" si="60"/>
        <v>MCSREC4CPF - Transf. Da conta PJ para a conta PF</v>
      </c>
      <c r="O342" s="37" t="str">
        <f t="shared" si="61"/>
        <v>REC4CPF - Transf. Da conta PJ para a conta PF</v>
      </c>
      <c r="P342" s="37" t="str">
        <f t="shared" si="62"/>
        <v>MCSREC4CPF - Transf. Da conta PJ para a conta PF</v>
      </c>
      <c r="Q342" s="37" t="str">
        <f t="shared" si="63"/>
        <v>MCSREC4</v>
      </c>
      <c r="R342" s="37" t="str">
        <f t="shared" si="64"/>
        <v>MCSREC4</v>
      </c>
      <c r="S342" s="31"/>
      <c r="T342" s="176">
        <f t="shared" si="65"/>
        <v>46113</v>
      </c>
      <c r="U342" s="181">
        <v>340</v>
      </c>
    </row>
    <row r="343" spans="2:21" s="181" customFormat="1" x14ac:dyDescent="0.25">
      <c r="B343" s="182" t="s">
        <v>25</v>
      </c>
      <c r="C343" s="183"/>
      <c r="D343" s="54" t="str">
        <f>INDEX(Cad_Natureza!$B$3:$C$52,MATCH('2026'!F343,Cad_Natureza!$C$3:$C$52,0),MATCH('2026'!D$2,Cad_Natureza!$B$3:$C$3,0))</f>
        <v>OPF2</v>
      </c>
      <c r="E343" s="52" t="str">
        <f t="shared" si="81"/>
        <v>Despesa 341</v>
      </c>
      <c r="F343" s="53" t="s">
        <v>64</v>
      </c>
      <c r="G343" s="54" t="s">
        <v>25</v>
      </c>
      <c r="H343" s="55">
        <v>46126</v>
      </c>
      <c r="I343" s="55"/>
      <c r="J343" s="50" t="str">
        <f t="shared" si="82"/>
        <v>Observação da despesa 341</v>
      </c>
      <c r="K343" s="43">
        <v>-80</v>
      </c>
      <c r="L343" s="43">
        <f t="shared" si="83"/>
        <v>962.36000000000081</v>
      </c>
      <c r="M343" s="183"/>
      <c r="N343" s="37" t="str">
        <f t="shared" si="60"/>
        <v>MCSOPF2CPF - Desp. Transporte / Combustível</v>
      </c>
      <c r="O343" s="37" t="str">
        <f t="shared" si="61"/>
        <v>OPF2CPF - Desp. Transporte / Combustível</v>
      </c>
      <c r="P343" s="37" t="str">
        <f t="shared" si="62"/>
        <v>MCSOPF2CPF - Desp. Transporte / Combustível</v>
      </c>
      <c r="Q343" s="37" t="str">
        <f t="shared" si="63"/>
        <v>MCSOPF2</v>
      </c>
      <c r="R343" s="37" t="str">
        <f t="shared" si="64"/>
        <v>MCSOPF2</v>
      </c>
      <c r="S343" s="31"/>
      <c r="T343" s="185">
        <f t="shared" si="65"/>
        <v>46113</v>
      </c>
      <c r="U343" s="181">
        <v>341</v>
      </c>
    </row>
    <row r="344" spans="2:21" s="181" customFormat="1" x14ac:dyDescent="0.25">
      <c r="B344" s="182" t="s">
        <v>25</v>
      </c>
      <c r="C344" s="183"/>
      <c r="D344" s="54" t="str">
        <f>INDEX(Cad_Natureza!$B$3:$C$52,MATCH('2026'!F344,Cad_Natureza!$C$3:$C$52,0),MATCH('2026'!D$2,Cad_Natureza!$B$3:$C$3,0))</f>
        <v>PENS1</v>
      </c>
      <c r="E344" s="52" t="str">
        <f t="shared" si="81"/>
        <v>Despesa 342</v>
      </c>
      <c r="F344" s="53" t="s">
        <v>40</v>
      </c>
      <c r="G344" s="54" t="s">
        <v>25</v>
      </c>
      <c r="H344" s="55">
        <v>46126</v>
      </c>
      <c r="I344" s="55"/>
      <c r="J344" s="50" t="str">
        <f t="shared" si="82"/>
        <v>Observação da despesa 342</v>
      </c>
      <c r="K344" s="43">
        <v>-700</v>
      </c>
      <c r="L344" s="43">
        <f t="shared" si="83"/>
        <v>262.36000000000081</v>
      </c>
      <c r="M344" s="183"/>
      <c r="N344" s="37" t="str">
        <f t="shared" si="60"/>
        <v>MCSPENS1CPF - Pensão - Aluguel</v>
      </c>
      <c r="O344" s="37" t="str">
        <f t="shared" si="61"/>
        <v>PENS1CPF - Pensão - Aluguel</v>
      </c>
      <c r="P344" s="37" t="str">
        <f t="shared" si="62"/>
        <v>MCSPENS1CPF - Pensão - Aluguel</v>
      </c>
      <c r="Q344" s="37" t="str">
        <f t="shared" si="63"/>
        <v>MCSPENS1</v>
      </c>
      <c r="R344" s="37" t="str">
        <f t="shared" si="64"/>
        <v>MCSPENS1</v>
      </c>
      <c r="S344" s="31"/>
      <c r="T344" s="185">
        <f t="shared" si="65"/>
        <v>46113</v>
      </c>
      <c r="U344" s="181">
        <v>342</v>
      </c>
    </row>
    <row r="345" spans="2:21" s="181" customFormat="1" x14ac:dyDescent="0.25">
      <c r="B345" s="182" t="s">
        <v>25</v>
      </c>
      <c r="C345" s="183"/>
      <c r="D345" s="54" t="str">
        <f>INDEX(Cad_Natureza!$B$3:$C$52,MATCH('2026'!F345,Cad_Natureza!$C$3:$C$52,0),MATCH('2026'!D$2,Cad_Natureza!$B$3:$C$3,0))</f>
        <v>GAST1</v>
      </c>
      <c r="E345" s="52" t="str">
        <f t="shared" si="81"/>
        <v>Despesa 343</v>
      </c>
      <c r="F345" s="53" t="s">
        <v>65</v>
      </c>
      <c r="G345" s="54" t="s">
        <v>25</v>
      </c>
      <c r="H345" s="55">
        <v>46126</v>
      </c>
      <c r="I345" s="55"/>
      <c r="J345" s="50" t="str">
        <f t="shared" si="82"/>
        <v>Observação da despesa 343</v>
      </c>
      <c r="K345" s="43">
        <v>-10</v>
      </c>
      <c r="L345" s="43">
        <f t="shared" si="83"/>
        <v>252.36000000000081</v>
      </c>
      <c r="M345" s="183"/>
      <c r="N345" s="37" t="str">
        <f t="shared" si="60"/>
        <v>MCSGAST1CPF - Desp. Lazer e Entretenimento - Bares</v>
      </c>
      <c r="O345" s="37" t="str">
        <f t="shared" si="61"/>
        <v>GAST1CPF - Desp. Lazer e Entretenimento - Bares</v>
      </c>
      <c r="P345" s="37" t="str">
        <f t="shared" si="62"/>
        <v>MCSGAST1CPF - Desp. Lazer e Entretenimento - Bares</v>
      </c>
      <c r="Q345" s="37" t="str">
        <f t="shared" si="63"/>
        <v>MCSGAST1</v>
      </c>
      <c r="R345" s="37" t="str">
        <f t="shared" si="64"/>
        <v>MCSGAST1</v>
      </c>
      <c r="S345" s="31"/>
      <c r="T345" s="185">
        <f t="shared" si="65"/>
        <v>46113</v>
      </c>
      <c r="U345" s="181">
        <v>343</v>
      </c>
    </row>
    <row r="346" spans="2:21" s="181" customFormat="1" x14ac:dyDescent="0.25">
      <c r="B346" s="182" t="s">
        <v>25</v>
      </c>
      <c r="C346" s="183"/>
      <c r="D346" s="54" t="str">
        <f>INDEX(Cad_Natureza!$B$3:$C$52,MATCH('2026'!F346,Cad_Natureza!$C$3:$C$52,0),MATCH('2026'!D$2,Cad_Natureza!$B$3:$C$3,0))</f>
        <v>OPF1</v>
      </c>
      <c r="E346" s="52" t="str">
        <f t="shared" si="81"/>
        <v>Despesa 344</v>
      </c>
      <c r="F346" s="53" t="s">
        <v>67</v>
      </c>
      <c r="G346" s="54" t="s">
        <v>25</v>
      </c>
      <c r="H346" s="55">
        <v>46127</v>
      </c>
      <c r="I346" s="55"/>
      <c r="J346" s="50" t="str">
        <f t="shared" si="82"/>
        <v>Observação da despesa 344</v>
      </c>
      <c r="K346" s="43">
        <v>-20</v>
      </c>
      <c r="L346" s="43">
        <f t="shared" si="83"/>
        <v>232.36000000000081</v>
      </c>
      <c r="M346" s="183"/>
      <c r="N346" s="37" t="str">
        <f t="shared" ref="N346:N375" si="84">B346&amp;D346&amp;F346</f>
        <v>MCSOPF1CPF - Desp. Alimentação / Refeição</v>
      </c>
      <c r="O346" s="37" t="str">
        <f t="shared" ref="O346:O375" si="85">D346&amp;F346</f>
        <v>OPF1CPF - Desp. Alimentação / Refeição</v>
      </c>
      <c r="P346" s="37" t="str">
        <f t="shared" ref="P346:P375" si="86">"MCS"&amp;D346&amp;F346</f>
        <v>MCSOPF1CPF - Desp. Alimentação / Refeição</v>
      </c>
      <c r="Q346" s="37" t="str">
        <f t="shared" ref="Q346:Q375" si="87">"MCS"&amp;D346</f>
        <v>MCSOPF1</v>
      </c>
      <c r="R346" s="37" t="str">
        <f t="shared" ref="R346:R375" si="88">B346&amp;D346</f>
        <v>MCSOPF1</v>
      </c>
      <c r="S346" s="31"/>
      <c r="T346" s="185">
        <f t="shared" ref="T346:T375" si="89">(1&amp;"/"&amp;MONTH(H346)&amp;"/"&amp;YEAR(H346))*1</f>
        <v>46113</v>
      </c>
      <c r="U346" s="181">
        <v>344</v>
      </c>
    </row>
    <row r="347" spans="2:21" s="181" customFormat="1" x14ac:dyDescent="0.25">
      <c r="B347" s="182" t="s">
        <v>25</v>
      </c>
      <c r="C347" s="183"/>
      <c r="D347" s="54" t="str">
        <f>INDEX(Cad_Natureza!$B$3:$C$52,MATCH('2026'!F347,Cad_Natureza!$C$3:$C$52,0),MATCH('2026'!D$2,Cad_Natureza!$B$3:$C$3,0))</f>
        <v>GAST1</v>
      </c>
      <c r="E347" s="52" t="str">
        <f t="shared" si="81"/>
        <v>Despesa 345</v>
      </c>
      <c r="F347" s="53" t="s">
        <v>65</v>
      </c>
      <c r="G347" s="54" t="s">
        <v>25</v>
      </c>
      <c r="H347" s="55">
        <v>46127</v>
      </c>
      <c r="I347" s="55"/>
      <c r="J347" s="50" t="str">
        <f t="shared" si="82"/>
        <v>Observação da despesa 345</v>
      </c>
      <c r="K347" s="43">
        <v>-26</v>
      </c>
      <c r="L347" s="43">
        <f t="shared" si="83"/>
        <v>206.36000000000081</v>
      </c>
      <c r="M347" s="183"/>
      <c r="N347" s="37" t="str">
        <f t="shared" si="84"/>
        <v>MCSGAST1CPF - Desp. Lazer e Entretenimento - Bares</v>
      </c>
      <c r="O347" s="37" t="str">
        <f t="shared" si="85"/>
        <v>GAST1CPF - Desp. Lazer e Entretenimento - Bares</v>
      </c>
      <c r="P347" s="37" t="str">
        <f t="shared" si="86"/>
        <v>MCSGAST1CPF - Desp. Lazer e Entretenimento - Bares</v>
      </c>
      <c r="Q347" s="37" t="str">
        <f t="shared" si="87"/>
        <v>MCSGAST1</v>
      </c>
      <c r="R347" s="37" t="str">
        <f t="shared" si="88"/>
        <v>MCSGAST1</v>
      </c>
      <c r="S347" s="31"/>
      <c r="T347" s="185">
        <f t="shared" si="89"/>
        <v>46113</v>
      </c>
      <c r="U347" s="181">
        <v>345</v>
      </c>
    </row>
    <row r="348" spans="2:21" s="181" customFormat="1" x14ac:dyDescent="0.25">
      <c r="B348" s="182" t="s">
        <v>25</v>
      </c>
      <c r="C348" s="183"/>
      <c r="D348" s="54" t="str">
        <f>INDEX(Cad_Natureza!$B$3:$C$52,MATCH('2026'!F348,Cad_Natureza!$C$3:$C$52,0),MATCH('2026'!D$2,Cad_Natureza!$B$3:$C$3,0))</f>
        <v>DESP4</v>
      </c>
      <c r="E348" s="52" t="str">
        <f t="shared" si="81"/>
        <v>Despesa 346</v>
      </c>
      <c r="F348" s="53" t="s">
        <v>74</v>
      </c>
      <c r="G348" s="54" t="s">
        <v>25</v>
      </c>
      <c r="H348" s="55">
        <v>46127</v>
      </c>
      <c r="I348" s="55"/>
      <c r="J348" s="50" t="str">
        <f t="shared" si="82"/>
        <v>Observação da despesa 346</v>
      </c>
      <c r="K348" s="43">
        <v>-9</v>
      </c>
      <c r="L348" s="43">
        <f t="shared" si="83"/>
        <v>197.36000000000081</v>
      </c>
      <c r="M348" s="183"/>
      <c r="N348" s="37" t="str">
        <f t="shared" si="84"/>
        <v>MCSDESP4CPF - Desp. Moradia</v>
      </c>
      <c r="O348" s="37" t="str">
        <f t="shared" si="85"/>
        <v>DESP4CPF - Desp. Moradia</v>
      </c>
      <c r="P348" s="37" t="str">
        <f t="shared" si="86"/>
        <v>MCSDESP4CPF - Desp. Moradia</v>
      </c>
      <c r="Q348" s="37" t="str">
        <f t="shared" si="87"/>
        <v>MCSDESP4</v>
      </c>
      <c r="R348" s="37" t="str">
        <f t="shared" si="88"/>
        <v>MCSDESP4</v>
      </c>
      <c r="S348" s="31"/>
      <c r="T348" s="185">
        <f t="shared" si="89"/>
        <v>46113</v>
      </c>
      <c r="U348" s="181">
        <v>346</v>
      </c>
    </row>
    <row r="349" spans="2:21" s="181" customFormat="1" x14ac:dyDescent="0.25">
      <c r="B349" s="182" t="s">
        <v>25</v>
      </c>
      <c r="C349" s="183"/>
      <c r="D349" s="54" t="str">
        <f>INDEX(Cad_Natureza!$B$3:$C$52,MATCH('2026'!F349,Cad_Natureza!$C$3:$C$52,0),MATCH('2026'!D$2,Cad_Natureza!$B$3:$C$3,0))</f>
        <v>OPF1</v>
      </c>
      <c r="E349" s="52" t="str">
        <f t="shared" si="81"/>
        <v>Despesa 347</v>
      </c>
      <c r="F349" s="53" t="s">
        <v>67</v>
      </c>
      <c r="G349" s="54" t="s">
        <v>25</v>
      </c>
      <c r="H349" s="55">
        <v>46128</v>
      </c>
      <c r="I349" s="55"/>
      <c r="J349" s="50" t="str">
        <f t="shared" si="82"/>
        <v>Observação da despesa 347</v>
      </c>
      <c r="K349" s="43">
        <v>-22.16</v>
      </c>
      <c r="L349" s="43">
        <f t="shared" si="83"/>
        <v>175.20000000000081</v>
      </c>
      <c r="M349" s="183"/>
      <c r="N349" s="37" t="str">
        <f t="shared" si="84"/>
        <v>MCSOPF1CPF - Desp. Alimentação / Refeição</v>
      </c>
      <c r="O349" s="37" t="str">
        <f t="shared" si="85"/>
        <v>OPF1CPF - Desp. Alimentação / Refeição</v>
      </c>
      <c r="P349" s="37" t="str">
        <f t="shared" si="86"/>
        <v>MCSOPF1CPF - Desp. Alimentação / Refeição</v>
      </c>
      <c r="Q349" s="37" t="str">
        <f t="shared" si="87"/>
        <v>MCSOPF1</v>
      </c>
      <c r="R349" s="37" t="str">
        <f t="shared" si="88"/>
        <v>MCSOPF1</v>
      </c>
      <c r="S349" s="31"/>
      <c r="T349" s="185">
        <f t="shared" si="89"/>
        <v>46113</v>
      </c>
      <c r="U349" s="181">
        <v>347</v>
      </c>
    </row>
    <row r="350" spans="2:21" s="181" customFormat="1" x14ac:dyDescent="0.25">
      <c r="B350" s="182" t="s">
        <v>25</v>
      </c>
      <c r="C350" s="183"/>
      <c r="D350" s="54" t="str">
        <f>INDEX(Cad_Natureza!$B$3:$C$52,MATCH('2026'!F350,Cad_Natureza!$C$3:$C$52,0),MATCH('2026'!D$2,Cad_Natureza!$B$3:$C$3,0))</f>
        <v>OUG1</v>
      </c>
      <c r="E350" s="52" t="str">
        <f t="shared" si="81"/>
        <v>Despesa 348</v>
      </c>
      <c r="F350" s="53" t="s">
        <v>70</v>
      </c>
      <c r="G350" s="54" t="s">
        <v>25</v>
      </c>
      <c r="H350" s="55">
        <v>46128</v>
      </c>
      <c r="I350" s="55"/>
      <c r="J350" s="50" t="str">
        <f t="shared" si="82"/>
        <v>Observação da despesa 348</v>
      </c>
      <c r="K350" s="43">
        <v>-20</v>
      </c>
      <c r="L350" s="43">
        <f t="shared" si="83"/>
        <v>155.20000000000081</v>
      </c>
      <c r="M350" s="183"/>
      <c r="N350" s="37" t="str">
        <f t="shared" si="84"/>
        <v>MCSOUG1CPF - Outros gastos</v>
      </c>
      <c r="O350" s="37" t="str">
        <f t="shared" si="85"/>
        <v>OUG1CPF - Outros gastos</v>
      </c>
      <c r="P350" s="37" t="str">
        <f t="shared" si="86"/>
        <v>MCSOUG1CPF - Outros gastos</v>
      </c>
      <c r="Q350" s="37" t="str">
        <f t="shared" si="87"/>
        <v>MCSOUG1</v>
      </c>
      <c r="R350" s="37" t="str">
        <f t="shared" si="88"/>
        <v>MCSOUG1</v>
      </c>
      <c r="S350" s="31"/>
      <c r="T350" s="185">
        <f t="shared" si="89"/>
        <v>46113</v>
      </c>
      <c r="U350" s="181">
        <v>348</v>
      </c>
    </row>
    <row r="351" spans="2:21" s="181" customFormat="1" x14ac:dyDescent="0.25">
      <c r="B351" s="182" t="s">
        <v>25</v>
      </c>
      <c r="C351" s="183"/>
      <c r="D351" s="54" t="str">
        <f>INDEX(Cad_Natureza!$B$3:$C$52,MATCH('2026'!F351,Cad_Natureza!$C$3:$C$52,0),MATCH('2026'!D$2,Cad_Natureza!$B$3:$C$3,0))</f>
        <v>GAST2</v>
      </c>
      <c r="E351" s="52" t="str">
        <f t="shared" si="81"/>
        <v>Despesa 349</v>
      </c>
      <c r="F351" s="53" t="s">
        <v>66</v>
      </c>
      <c r="G351" s="54" t="s">
        <v>25</v>
      </c>
      <c r="H351" s="55">
        <v>46128</v>
      </c>
      <c r="I351" s="55"/>
      <c r="J351" s="50" t="str">
        <f t="shared" si="82"/>
        <v>Observação da despesa 349</v>
      </c>
      <c r="K351" s="43">
        <v>-35</v>
      </c>
      <c r="L351" s="43">
        <f t="shared" si="83"/>
        <v>120.20000000000081</v>
      </c>
      <c r="M351" s="183"/>
      <c r="N351" s="37" t="str">
        <f t="shared" si="84"/>
        <v>MCSGAST2CPF - Desp. Lazer e Entretenimento - Cigarro</v>
      </c>
      <c r="O351" s="37" t="str">
        <f t="shared" si="85"/>
        <v>GAST2CPF - Desp. Lazer e Entretenimento - Cigarro</v>
      </c>
      <c r="P351" s="37" t="str">
        <f t="shared" si="86"/>
        <v>MCSGAST2CPF - Desp. Lazer e Entretenimento - Cigarro</v>
      </c>
      <c r="Q351" s="37" t="str">
        <f t="shared" si="87"/>
        <v>MCSGAST2</v>
      </c>
      <c r="R351" s="37" t="str">
        <f t="shared" si="88"/>
        <v>MCSGAST2</v>
      </c>
      <c r="S351" s="31"/>
      <c r="T351" s="185">
        <f t="shared" si="89"/>
        <v>46113</v>
      </c>
      <c r="U351" s="181">
        <v>349</v>
      </c>
    </row>
    <row r="352" spans="2:21" s="181" customFormat="1" x14ac:dyDescent="0.25">
      <c r="B352" s="182" t="s">
        <v>25</v>
      </c>
      <c r="C352" s="183"/>
      <c r="D352" s="54" t="str">
        <f>INDEX(Cad_Natureza!$B$3:$C$52,MATCH('2026'!F352,Cad_Natureza!$C$3:$C$52,0),MATCH('2026'!D$2,Cad_Natureza!$B$3:$C$3,0))</f>
        <v>OUG1</v>
      </c>
      <c r="E352" s="52" t="str">
        <f t="shared" si="81"/>
        <v>Despesa 350</v>
      </c>
      <c r="F352" s="53" t="s">
        <v>70</v>
      </c>
      <c r="G352" s="54" t="s">
        <v>25</v>
      </c>
      <c r="H352" s="55">
        <v>46128</v>
      </c>
      <c r="I352" s="55"/>
      <c r="J352" s="50" t="str">
        <f t="shared" si="82"/>
        <v>Observação da despesa 350</v>
      </c>
      <c r="K352" s="43">
        <v>-20</v>
      </c>
      <c r="L352" s="43">
        <f t="shared" si="83"/>
        <v>100.20000000000081</v>
      </c>
      <c r="M352" s="183"/>
      <c r="N352" s="37" t="str">
        <f t="shared" si="84"/>
        <v>MCSOUG1CPF - Outros gastos</v>
      </c>
      <c r="O352" s="37" t="str">
        <f t="shared" si="85"/>
        <v>OUG1CPF - Outros gastos</v>
      </c>
      <c r="P352" s="37" t="str">
        <f t="shared" si="86"/>
        <v>MCSOUG1CPF - Outros gastos</v>
      </c>
      <c r="Q352" s="37" t="str">
        <f t="shared" si="87"/>
        <v>MCSOUG1</v>
      </c>
      <c r="R352" s="37" t="str">
        <f t="shared" si="88"/>
        <v>MCSOUG1</v>
      </c>
      <c r="S352" s="31"/>
      <c r="T352" s="185">
        <f t="shared" si="89"/>
        <v>46113</v>
      </c>
      <c r="U352" s="181">
        <v>350</v>
      </c>
    </row>
    <row r="353" spans="2:21" s="177" customFormat="1" x14ac:dyDescent="0.25">
      <c r="B353" s="174" t="s">
        <v>25</v>
      </c>
      <c r="C353" s="51"/>
      <c r="D353" s="44" t="str">
        <f>INDEX(Cad_Natureza!$B$3:$C$52,MATCH('2026'!F353,Cad_Natureza!$C$3:$C$52,0),MATCH('2026'!D$2,Cad_Natureza!$B$3:$C$3,0))</f>
        <v>REC4</v>
      </c>
      <c r="E353" s="45" t="str">
        <f t="shared" si="81"/>
        <v>Receita 351</v>
      </c>
      <c r="F353" s="46" t="s">
        <v>57</v>
      </c>
      <c r="G353" s="44" t="s">
        <v>25</v>
      </c>
      <c r="H353" s="47">
        <v>46128</v>
      </c>
      <c r="I353" s="47"/>
      <c r="J353" s="48" t="str">
        <f t="shared" si="82"/>
        <v>Observação da receita 351</v>
      </c>
      <c r="K353" s="49">
        <v>1000</v>
      </c>
      <c r="L353" s="49">
        <f t="shared" si="83"/>
        <v>1100.2000000000007</v>
      </c>
      <c r="M353" s="51"/>
      <c r="N353" s="37" t="str">
        <f t="shared" si="84"/>
        <v>MCSREC4CPF - Transf. Da conta PJ para a conta PF</v>
      </c>
      <c r="O353" s="37" t="str">
        <f t="shared" si="85"/>
        <v>REC4CPF - Transf. Da conta PJ para a conta PF</v>
      </c>
      <c r="P353" s="37" t="str">
        <f t="shared" si="86"/>
        <v>MCSREC4CPF - Transf. Da conta PJ para a conta PF</v>
      </c>
      <c r="Q353" s="37" t="str">
        <f t="shared" si="87"/>
        <v>MCSREC4</v>
      </c>
      <c r="R353" s="37" t="str">
        <f t="shared" si="88"/>
        <v>MCSREC4</v>
      </c>
      <c r="S353" s="31"/>
      <c r="T353" s="176">
        <f t="shared" si="89"/>
        <v>46113</v>
      </c>
      <c r="U353" s="181">
        <v>351</v>
      </c>
    </row>
    <row r="354" spans="2:21" s="181" customFormat="1" x14ac:dyDescent="0.25">
      <c r="B354" s="182" t="s">
        <v>25</v>
      </c>
      <c r="C354" s="183"/>
      <c r="D354" s="54" t="str">
        <f>INDEX(Cad_Natureza!$B$3:$C$52,MATCH('2026'!F354,Cad_Natureza!$C$3:$C$52,0),MATCH('2026'!D$2,Cad_Natureza!$B$3:$C$3,0))</f>
        <v>OPF2</v>
      </c>
      <c r="E354" s="52" t="str">
        <f t="shared" si="81"/>
        <v>Despesa 352</v>
      </c>
      <c r="F354" s="53" t="s">
        <v>64</v>
      </c>
      <c r="G354" s="54" t="s">
        <v>25</v>
      </c>
      <c r="H354" s="55">
        <v>46129</v>
      </c>
      <c r="I354" s="55"/>
      <c r="J354" s="50" t="str">
        <f t="shared" si="82"/>
        <v>Observação da despesa 352</v>
      </c>
      <c r="K354" s="43">
        <v>-80</v>
      </c>
      <c r="L354" s="43">
        <f t="shared" si="83"/>
        <v>1020.2000000000007</v>
      </c>
      <c r="M354" s="183"/>
      <c r="N354" s="37" t="str">
        <f t="shared" si="84"/>
        <v>MCSOPF2CPF - Desp. Transporte / Combustível</v>
      </c>
      <c r="O354" s="37" t="str">
        <f t="shared" si="85"/>
        <v>OPF2CPF - Desp. Transporte / Combustível</v>
      </c>
      <c r="P354" s="37" t="str">
        <f t="shared" si="86"/>
        <v>MCSOPF2CPF - Desp. Transporte / Combustível</v>
      </c>
      <c r="Q354" s="37" t="str">
        <f t="shared" si="87"/>
        <v>MCSOPF2</v>
      </c>
      <c r="R354" s="37" t="str">
        <f t="shared" si="88"/>
        <v>MCSOPF2</v>
      </c>
      <c r="S354" s="31"/>
      <c r="T354" s="185">
        <f t="shared" si="89"/>
        <v>46113</v>
      </c>
      <c r="U354" s="181">
        <v>352</v>
      </c>
    </row>
    <row r="355" spans="2:21" s="181" customFormat="1" x14ac:dyDescent="0.25">
      <c r="B355" s="182" t="s">
        <v>25</v>
      </c>
      <c r="C355" s="183"/>
      <c r="D355" s="54" t="str">
        <f>INDEX(Cad_Natureza!$B$3:$C$52,MATCH('2026'!F355,Cad_Natureza!$C$3:$C$52,0),MATCH('2026'!D$2,Cad_Natureza!$B$3:$C$3,0))</f>
        <v>GAST1</v>
      </c>
      <c r="E355" s="52" t="str">
        <f t="shared" si="81"/>
        <v>Despesa 353</v>
      </c>
      <c r="F355" s="53" t="s">
        <v>65</v>
      </c>
      <c r="G355" s="54" t="s">
        <v>25</v>
      </c>
      <c r="H355" s="55">
        <v>46129</v>
      </c>
      <c r="I355" s="55"/>
      <c r="J355" s="50" t="str">
        <f t="shared" si="82"/>
        <v>Observação da despesa 353</v>
      </c>
      <c r="K355" s="43">
        <v>-18.600000000000001</v>
      </c>
      <c r="L355" s="43">
        <f t="shared" si="83"/>
        <v>1001.6000000000007</v>
      </c>
      <c r="M355" s="183"/>
      <c r="N355" s="37" t="str">
        <f t="shared" si="84"/>
        <v>MCSGAST1CPF - Desp. Lazer e Entretenimento - Bares</v>
      </c>
      <c r="O355" s="37" t="str">
        <f t="shared" si="85"/>
        <v>GAST1CPF - Desp. Lazer e Entretenimento - Bares</v>
      </c>
      <c r="P355" s="37" t="str">
        <f t="shared" si="86"/>
        <v>MCSGAST1CPF - Desp. Lazer e Entretenimento - Bares</v>
      </c>
      <c r="Q355" s="37" t="str">
        <f t="shared" si="87"/>
        <v>MCSGAST1</v>
      </c>
      <c r="R355" s="37" t="str">
        <f t="shared" si="88"/>
        <v>MCSGAST1</v>
      </c>
      <c r="S355" s="31"/>
      <c r="T355" s="185">
        <f t="shared" si="89"/>
        <v>46113</v>
      </c>
      <c r="U355" s="181">
        <v>353</v>
      </c>
    </row>
    <row r="356" spans="2:21" s="181" customFormat="1" x14ac:dyDescent="0.25">
      <c r="B356" s="182" t="s">
        <v>25</v>
      </c>
      <c r="C356" s="183"/>
      <c r="D356" s="54" t="str">
        <f>INDEX(Cad_Natureza!$B$3:$C$52,MATCH('2026'!F356,Cad_Natureza!$C$3:$C$52,0),MATCH('2026'!D$2,Cad_Natureza!$B$3:$C$3,0))</f>
        <v>GAST1</v>
      </c>
      <c r="E356" s="52" t="str">
        <f t="shared" si="81"/>
        <v>Despesa 354</v>
      </c>
      <c r="F356" s="53" t="s">
        <v>65</v>
      </c>
      <c r="G356" s="54" t="s">
        <v>25</v>
      </c>
      <c r="H356" s="55">
        <v>46132</v>
      </c>
      <c r="I356" s="55"/>
      <c r="J356" s="50" t="str">
        <f t="shared" si="82"/>
        <v>Observação da despesa 354</v>
      </c>
      <c r="K356" s="43">
        <v>-52</v>
      </c>
      <c r="L356" s="43">
        <f t="shared" si="83"/>
        <v>949.6000000000007</v>
      </c>
      <c r="M356" s="183"/>
      <c r="N356" s="37" t="str">
        <f t="shared" si="84"/>
        <v>MCSGAST1CPF - Desp. Lazer e Entretenimento - Bares</v>
      </c>
      <c r="O356" s="37" t="str">
        <f t="shared" si="85"/>
        <v>GAST1CPF - Desp. Lazer e Entretenimento - Bares</v>
      </c>
      <c r="P356" s="37" t="str">
        <f t="shared" si="86"/>
        <v>MCSGAST1CPF - Desp. Lazer e Entretenimento - Bares</v>
      </c>
      <c r="Q356" s="37" t="str">
        <f t="shared" si="87"/>
        <v>MCSGAST1</v>
      </c>
      <c r="R356" s="37" t="str">
        <f t="shared" si="88"/>
        <v>MCSGAST1</v>
      </c>
      <c r="S356" s="31"/>
      <c r="T356" s="185">
        <f t="shared" si="89"/>
        <v>46113</v>
      </c>
      <c r="U356" s="181">
        <v>354</v>
      </c>
    </row>
    <row r="357" spans="2:21" s="181" customFormat="1" x14ac:dyDescent="0.25">
      <c r="B357" s="182" t="s">
        <v>25</v>
      </c>
      <c r="C357" s="183"/>
      <c r="D357" s="54" t="str">
        <f>INDEX(Cad_Natureza!$B$3:$C$52,MATCH('2026'!F357,Cad_Natureza!$C$3:$C$52,0),MATCH('2026'!D$2,Cad_Natureza!$B$3:$C$3,0))</f>
        <v>GAST1</v>
      </c>
      <c r="E357" s="52" t="str">
        <f t="shared" si="81"/>
        <v>Despesa 355</v>
      </c>
      <c r="F357" s="53" t="s">
        <v>65</v>
      </c>
      <c r="G357" s="54" t="s">
        <v>25</v>
      </c>
      <c r="H357" s="55">
        <v>46132</v>
      </c>
      <c r="I357" s="55"/>
      <c r="J357" s="50" t="str">
        <f t="shared" si="82"/>
        <v>Observação da despesa 355</v>
      </c>
      <c r="K357" s="43">
        <v>-12.5</v>
      </c>
      <c r="L357" s="43">
        <f t="shared" si="83"/>
        <v>937.1000000000007</v>
      </c>
      <c r="M357" s="183"/>
      <c r="N357" s="37" t="str">
        <f t="shared" si="84"/>
        <v>MCSGAST1CPF - Desp. Lazer e Entretenimento - Bares</v>
      </c>
      <c r="O357" s="37" t="str">
        <f t="shared" si="85"/>
        <v>GAST1CPF - Desp. Lazer e Entretenimento - Bares</v>
      </c>
      <c r="P357" s="37" t="str">
        <f t="shared" si="86"/>
        <v>MCSGAST1CPF - Desp. Lazer e Entretenimento - Bares</v>
      </c>
      <c r="Q357" s="37" t="str">
        <f t="shared" si="87"/>
        <v>MCSGAST1</v>
      </c>
      <c r="R357" s="37" t="str">
        <f t="shared" si="88"/>
        <v>MCSGAST1</v>
      </c>
      <c r="S357" s="31"/>
      <c r="T357" s="185">
        <f t="shared" si="89"/>
        <v>46113</v>
      </c>
      <c r="U357" s="181">
        <v>355</v>
      </c>
    </row>
    <row r="358" spans="2:21" s="181" customFormat="1" x14ac:dyDescent="0.25">
      <c r="B358" s="182" t="s">
        <v>25</v>
      </c>
      <c r="C358" s="183"/>
      <c r="D358" s="54" t="str">
        <f>INDEX(Cad_Natureza!$B$3:$C$52,MATCH('2026'!F358,Cad_Natureza!$C$3:$C$52,0),MATCH('2026'!D$2,Cad_Natureza!$B$3:$C$3,0))</f>
        <v>GAST1</v>
      </c>
      <c r="E358" s="52" t="str">
        <f t="shared" si="81"/>
        <v>Despesa 356</v>
      </c>
      <c r="F358" s="53" t="s">
        <v>65</v>
      </c>
      <c r="G358" s="54" t="s">
        <v>25</v>
      </c>
      <c r="H358" s="55">
        <v>46132</v>
      </c>
      <c r="I358" s="55"/>
      <c r="J358" s="50" t="str">
        <f t="shared" si="82"/>
        <v>Observação da despesa 356</v>
      </c>
      <c r="K358" s="43">
        <v>-13</v>
      </c>
      <c r="L358" s="43">
        <f t="shared" si="83"/>
        <v>924.1000000000007</v>
      </c>
      <c r="M358" s="183"/>
      <c r="N358" s="37" t="str">
        <f t="shared" si="84"/>
        <v>MCSGAST1CPF - Desp. Lazer e Entretenimento - Bares</v>
      </c>
      <c r="O358" s="37" t="str">
        <f t="shared" si="85"/>
        <v>GAST1CPF - Desp. Lazer e Entretenimento - Bares</v>
      </c>
      <c r="P358" s="37" t="str">
        <f t="shared" si="86"/>
        <v>MCSGAST1CPF - Desp. Lazer e Entretenimento - Bares</v>
      </c>
      <c r="Q358" s="37" t="str">
        <f t="shared" si="87"/>
        <v>MCSGAST1</v>
      </c>
      <c r="R358" s="37" t="str">
        <f t="shared" si="88"/>
        <v>MCSGAST1</v>
      </c>
      <c r="S358" s="31"/>
      <c r="T358" s="185">
        <f t="shared" si="89"/>
        <v>46113</v>
      </c>
      <c r="U358" s="181">
        <v>356</v>
      </c>
    </row>
    <row r="359" spans="2:21" s="181" customFormat="1" x14ac:dyDescent="0.25">
      <c r="B359" s="182" t="s">
        <v>25</v>
      </c>
      <c r="C359" s="183"/>
      <c r="D359" s="54" t="str">
        <f>INDEX(Cad_Natureza!$B$3:$C$52,MATCH('2026'!F359,Cad_Natureza!$C$3:$C$52,0),MATCH('2026'!D$2,Cad_Natureza!$B$3:$C$3,0))</f>
        <v>GAST1</v>
      </c>
      <c r="E359" s="52" t="str">
        <f t="shared" si="81"/>
        <v>Despesa 357</v>
      </c>
      <c r="F359" s="53" t="s">
        <v>65</v>
      </c>
      <c r="G359" s="54" t="s">
        <v>25</v>
      </c>
      <c r="H359" s="55">
        <v>46132</v>
      </c>
      <c r="I359" s="55"/>
      <c r="J359" s="50" t="str">
        <f t="shared" si="82"/>
        <v>Observação da despesa 357</v>
      </c>
      <c r="K359" s="43">
        <v>-15</v>
      </c>
      <c r="L359" s="43">
        <f t="shared" si="83"/>
        <v>909.1000000000007</v>
      </c>
      <c r="M359" s="183"/>
      <c r="N359" s="37" t="str">
        <f t="shared" si="84"/>
        <v>MCSGAST1CPF - Desp. Lazer e Entretenimento - Bares</v>
      </c>
      <c r="O359" s="37" t="str">
        <f t="shared" si="85"/>
        <v>GAST1CPF - Desp. Lazer e Entretenimento - Bares</v>
      </c>
      <c r="P359" s="37" t="str">
        <f t="shared" si="86"/>
        <v>MCSGAST1CPF - Desp. Lazer e Entretenimento - Bares</v>
      </c>
      <c r="Q359" s="37" t="str">
        <f t="shared" si="87"/>
        <v>MCSGAST1</v>
      </c>
      <c r="R359" s="37" t="str">
        <f t="shared" si="88"/>
        <v>MCSGAST1</v>
      </c>
      <c r="S359" s="31"/>
      <c r="T359" s="185">
        <f t="shared" si="89"/>
        <v>46113</v>
      </c>
      <c r="U359" s="181">
        <v>357</v>
      </c>
    </row>
    <row r="360" spans="2:21" s="181" customFormat="1" x14ac:dyDescent="0.25">
      <c r="B360" s="182" t="s">
        <v>25</v>
      </c>
      <c r="C360" s="183"/>
      <c r="D360" s="54" t="str">
        <f>INDEX(Cad_Natureza!$B$3:$C$52,MATCH('2026'!F360,Cad_Natureza!$C$3:$C$52,0),MATCH('2026'!D$2,Cad_Natureza!$B$3:$C$3,0))</f>
        <v>GAST1</v>
      </c>
      <c r="E360" s="52" t="str">
        <f t="shared" si="81"/>
        <v>Despesa 358</v>
      </c>
      <c r="F360" s="53" t="s">
        <v>65</v>
      </c>
      <c r="G360" s="54" t="s">
        <v>25</v>
      </c>
      <c r="H360" s="55">
        <v>46132</v>
      </c>
      <c r="I360" s="55"/>
      <c r="J360" s="50" t="str">
        <f t="shared" si="82"/>
        <v>Observação da despesa 358</v>
      </c>
      <c r="K360" s="43">
        <v>-10</v>
      </c>
      <c r="L360" s="43">
        <f t="shared" si="83"/>
        <v>899.1000000000007</v>
      </c>
      <c r="M360" s="183"/>
      <c r="N360" s="37" t="str">
        <f t="shared" si="84"/>
        <v>MCSGAST1CPF - Desp. Lazer e Entretenimento - Bares</v>
      </c>
      <c r="O360" s="37" t="str">
        <f t="shared" si="85"/>
        <v>GAST1CPF - Desp. Lazer e Entretenimento - Bares</v>
      </c>
      <c r="P360" s="37" t="str">
        <f t="shared" si="86"/>
        <v>MCSGAST1CPF - Desp. Lazer e Entretenimento - Bares</v>
      </c>
      <c r="Q360" s="37" t="str">
        <f t="shared" si="87"/>
        <v>MCSGAST1</v>
      </c>
      <c r="R360" s="37" t="str">
        <f t="shared" si="88"/>
        <v>MCSGAST1</v>
      </c>
      <c r="S360" s="31"/>
      <c r="T360" s="185">
        <f t="shared" si="89"/>
        <v>46113</v>
      </c>
      <c r="U360" s="181">
        <v>358</v>
      </c>
    </row>
    <row r="361" spans="2:21" s="181" customFormat="1" x14ac:dyDescent="0.25">
      <c r="B361" s="182" t="s">
        <v>25</v>
      </c>
      <c r="C361" s="183"/>
      <c r="D361" s="54" t="str">
        <f>INDEX(Cad_Natureza!$B$3:$C$52,MATCH('2026'!F361,Cad_Natureza!$C$3:$C$52,0),MATCH('2026'!D$2,Cad_Natureza!$B$3:$C$3,0))</f>
        <v>GAST1</v>
      </c>
      <c r="E361" s="52" t="str">
        <f t="shared" si="81"/>
        <v>Despesa 359</v>
      </c>
      <c r="F361" s="53" t="s">
        <v>65</v>
      </c>
      <c r="G361" s="54" t="s">
        <v>25</v>
      </c>
      <c r="H361" s="55">
        <v>46132</v>
      </c>
      <c r="I361" s="55"/>
      <c r="J361" s="50" t="str">
        <f t="shared" si="82"/>
        <v>Observação da despesa 359</v>
      </c>
      <c r="K361" s="43">
        <v>-12</v>
      </c>
      <c r="L361" s="43">
        <f t="shared" si="83"/>
        <v>887.1000000000007</v>
      </c>
      <c r="M361" s="183"/>
      <c r="N361" s="37" t="str">
        <f t="shared" si="84"/>
        <v>MCSGAST1CPF - Desp. Lazer e Entretenimento - Bares</v>
      </c>
      <c r="O361" s="37" t="str">
        <f t="shared" si="85"/>
        <v>GAST1CPF - Desp. Lazer e Entretenimento - Bares</v>
      </c>
      <c r="P361" s="37" t="str">
        <f t="shared" si="86"/>
        <v>MCSGAST1CPF - Desp. Lazer e Entretenimento - Bares</v>
      </c>
      <c r="Q361" s="37" t="str">
        <f t="shared" si="87"/>
        <v>MCSGAST1</v>
      </c>
      <c r="R361" s="37" t="str">
        <f t="shared" si="88"/>
        <v>MCSGAST1</v>
      </c>
      <c r="S361" s="31"/>
      <c r="T361" s="185">
        <f t="shared" si="89"/>
        <v>46113</v>
      </c>
      <c r="U361" s="181">
        <v>359</v>
      </c>
    </row>
    <row r="362" spans="2:21" s="181" customFormat="1" x14ac:dyDescent="0.25">
      <c r="B362" s="182" t="s">
        <v>25</v>
      </c>
      <c r="C362" s="183"/>
      <c r="D362" s="54" t="str">
        <f>INDEX(Cad_Natureza!$B$3:$C$52,MATCH('2026'!F362,Cad_Natureza!$C$3:$C$52,0),MATCH('2026'!D$2,Cad_Natureza!$B$3:$C$3,0))</f>
        <v>GAST1</v>
      </c>
      <c r="E362" s="52" t="str">
        <f t="shared" si="81"/>
        <v>Despesa 360</v>
      </c>
      <c r="F362" s="53" t="s">
        <v>65</v>
      </c>
      <c r="G362" s="54" t="s">
        <v>25</v>
      </c>
      <c r="H362" s="55">
        <v>46132</v>
      </c>
      <c r="I362" s="55"/>
      <c r="J362" s="50" t="str">
        <f t="shared" si="82"/>
        <v>Observação da despesa 360</v>
      </c>
      <c r="K362" s="43">
        <v>-4</v>
      </c>
      <c r="L362" s="43">
        <f t="shared" si="83"/>
        <v>883.1000000000007</v>
      </c>
      <c r="M362" s="183"/>
      <c r="N362" s="37" t="str">
        <f t="shared" si="84"/>
        <v>MCSGAST1CPF - Desp. Lazer e Entretenimento - Bares</v>
      </c>
      <c r="O362" s="37" t="str">
        <f t="shared" si="85"/>
        <v>GAST1CPF - Desp. Lazer e Entretenimento - Bares</v>
      </c>
      <c r="P362" s="37" t="str">
        <f t="shared" si="86"/>
        <v>MCSGAST1CPF - Desp. Lazer e Entretenimento - Bares</v>
      </c>
      <c r="Q362" s="37" t="str">
        <f t="shared" si="87"/>
        <v>MCSGAST1</v>
      </c>
      <c r="R362" s="37" t="str">
        <f t="shared" si="88"/>
        <v>MCSGAST1</v>
      </c>
      <c r="S362" s="31"/>
      <c r="T362" s="185">
        <f t="shared" si="89"/>
        <v>46113</v>
      </c>
      <c r="U362" s="181">
        <v>360</v>
      </c>
    </row>
    <row r="363" spans="2:21" s="181" customFormat="1" x14ac:dyDescent="0.25">
      <c r="B363" s="182" t="s">
        <v>25</v>
      </c>
      <c r="C363" s="183"/>
      <c r="D363" s="54" t="str">
        <f>INDEX(Cad_Natureza!$B$3:$C$52,MATCH('2026'!F363,Cad_Natureza!$C$3:$C$52,0),MATCH('2026'!D$2,Cad_Natureza!$B$3:$C$3,0))</f>
        <v>GAST1</v>
      </c>
      <c r="E363" s="52" t="str">
        <f t="shared" si="81"/>
        <v>Despesa 361</v>
      </c>
      <c r="F363" s="53" t="s">
        <v>65</v>
      </c>
      <c r="G363" s="54" t="s">
        <v>25</v>
      </c>
      <c r="H363" s="55">
        <v>46132</v>
      </c>
      <c r="I363" s="55"/>
      <c r="J363" s="50" t="str">
        <f t="shared" si="82"/>
        <v>Observação da despesa 361</v>
      </c>
      <c r="K363" s="43">
        <v>-13</v>
      </c>
      <c r="L363" s="43">
        <f t="shared" si="83"/>
        <v>870.1000000000007</v>
      </c>
      <c r="M363" s="183"/>
      <c r="N363" s="37" t="str">
        <f t="shared" si="84"/>
        <v>MCSGAST1CPF - Desp. Lazer e Entretenimento - Bares</v>
      </c>
      <c r="O363" s="37" t="str">
        <f t="shared" si="85"/>
        <v>GAST1CPF - Desp. Lazer e Entretenimento - Bares</v>
      </c>
      <c r="P363" s="37" t="str">
        <f t="shared" si="86"/>
        <v>MCSGAST1CPF - Desp. Lazer e Entretenimento - Bares</v>
      </c>
      <c r="Q363" s="37" t="str">
        <f t="shared" si="87"/>
        <v>MCSGAST1</v>
      </c>
      <c r="R363" s="37" t="str">
        <f t="shared" si="88"/>
        <v>MCSGAST1</v>
      </c>
      <c r="S363" s="31"/>
      <c r="T363" s="185">
        <f t="shared" si="89"/>
        <v>46113</v>
      </c>
      <c r="U363" s="181">
        <v>361</v>
      </c>
    </row>
    <row r="364" spans="2:21" s="181" customFormat="1" x14ac:dyDescent="0.25">
      <c r="B364" s="182" t="s">
        <v>25</v>
      </c>
      <c r="C364" s="183"/>
      <c r="D364" s="54" t="str">
        <f>INDEX(Cad_Natureza!$B$3:$C$52,MATCH('2026'!F364,Cad_Natureza!$C$3:$C$52,0),MATCH('2026'!D$2,Cad_Natureza!$B$3:$C$3,0))</f>
        <v>GAST1</v>
      </c>
      <c r="E364" s="52" t="str">
        <f t="shared" si="81"/>
        <v>Despesa 362</v>
      </c>
      <c r="F364" s="53" t="s">
        <v>65</v>
      </c>
      <c r="G364" s="54" t="s">
        <v>25</v>
      </c>
      <c r="H364" s="55">
        <v>46132</v>
      </c>
      <c r="I364" s="55"/>
      <c r="J364" s="50" t="str">
        <f t="shared" si="82"/>
        <v>Observação da despesa 362</v>
      </c>
      <c r="K364" s="43">
        <v>-60</v>
      </c>
      <c r="L364" s="43">
        <f t="shared" si="83"/>
        <v>810.1000000000007</v>
      </c>
      <c r="M364" s="183"/>
      <c r="N364" s="37" t="str">
        <f t="shared" si="84"/>
        <v>MCSGAST1CPF - Desp. Lazer e Entretenimento - Bares</v>
      </c>
      <c r="O364" s="37" t="str">
        <f t="shared" si="85"/>
        <v>GAST1CPF - Desp. Lazer e Entretenimento - Bares</v>
      </c>
      <c r="P364" s="37" t="str">
        <f t="shared" si="86"/>
        <v>MCSGAST1CPF - Desp. Lazer e Entretenimento - Bares</v>
      </c>
      <c r="Q364" s="37" t="str">
        <f t="shared" si="87"/>
        <v>MCSGAST1</v>
      </c>
      <c r="R364" s="37" t="str">
        <f t="shared" si="88"/>
        <v>MCSGAST1</v>
      </c>
      <c r="S364" s="31"/>
      <c r="T364" s="185">
        <f t="shared" si="89"/>
        <v>46113</v>
      </c>
      <c r="U364" s="181">
        <v>362</v>
      </c>
    </row>
    <row r="365" spans="2:21" s="181" customFormat="1" x14ac:dyDescent="0.25">
      <c r="B365" s="182" t="s">
        <v>25</v>
      </c>
      <c r="C365" s="183"/>
      <c r="D365" s="54" t="str">
        <f>INDEX(Cad_Natureza!$B$3:$C$52,MATCH('2026'!F365,Cad_Natureza!$C$3:$C$52,0),MATCH('2026'!D$2,Cad_Natureza!$B$3:$C$3,0))</f>
        <v>GAST1</v>
      </c>
      <c r="E365" s="52" t="str">
        <f t="shared" si="81"/>
        <v>Despesa 363</v>
      </c>
      <c r="F365" s="53" t="s">
        <v>65</v>
      </c>
      <c r="G365" s="54" t="s">
        <v>25</v>
      </c>
      <c r="H365" s="55">
        <v>46132</v>
      </c>
      <c r="I365" s="55"/>
      <c r="J365" s="50" t="str">
        <f t="shared" si="82"/>
        <v>Observação da despesa 363</v>
      </c>
      <c r="K365" s="43">
        <v>-6.5</v>
      </c>
      <c r="L365" s="43">
        <f t="shared" si="83"/>
        <v>803.6000000000007</v>
      </c>
      <c r="M365" s="183"/>
      <c r="N365" s="37" t="str">
        <f t="shared" si="84"/>
        <v>MCSGAST1CPF - Desp. Lazer e Entretenimento - Bares</v>
      </c>
      <c r="O365" s="37" t="str">
        <f t="shared" si="85"/>
        <v>GAST1CPF - Desp. Lazer e Entretenimento - Bares</v>
      </c>
      <c r="P365" s="37" t="str">
        <f t="shared" si="86"/>
        <v>MCSGAST1CPF - Desp. Lazer e Entretenimento - Bares</v>
      </c>
      <c r="Q365" s="37" t="str">
        <f t="shared" si="87"/>
        <v>MCSGAST1</v>
      </c>
      <c r="R365" s="37" t="str">
        <f t="shared" si="88"/>
        <v>MCSGAST1</v>
      </c>
      <c r="S365" s="31"/>
      <c r="T365" s="185">
        <f t="shared" si="89"/>
        <v>46113</v>
      </c>
      <c r="U365" s="181">
        <v>363</v>
      </c>
    </row>
    <row r="366" spans="2:21" s="181" customFormat="1" x14ac:dyDescent="0.25">
      <c r="B366" s="182" t="s">
        <v>25</v>
      </c>
      <c r="C366" s="183"/>
      <c r="D366" s="54" t="str">
        <f>INDEX(Cad_Natureza!$B$3:$C$52,MATCH('2026'!F366,Cad_Natureza!$C$3:$C$52,0),MATCH('2026'!D$2,Cad_Natureza!$B$3:$C$3,0))</f>
        <v>GAST1</v>
      </c>
      <c r="E366" s="52" t="str">
        <f t="shared" si="81"/>
        <v>Despesa 364</v>
      </c>
      <c r="F366" s="53" t="s">
        <v>65</v>
      </c>
      <c r="G366" s="54" t="s">
        <v>25</v>
      </c>
      <c r="H366" s="55">
        <v>46132</v>
      </c>
      <c r="I366" s="55"/>
      <c r="J366" s="50" t="str">
        <f t="shared" si="82"/>
        <v>Observação da despesa 364</v>
      </c>
      <c r="K366" s="43">
        <v>-52</v>
      </c>
      <c r="L366" s="43">
        <f t="shared" si="83"/>
        <v>751.6000000000007</v>
      </c>
      <c r="M366" s="183"/>
      <c r="N366" s="37" t="str">
        <f t="shared" si="84"/>
        <v>MCSGAST1CPF - Desp. Lazer e Entretenimento - Bares</v>
      </c>
      <c r="O366" s="37" t="str">
        <f t="shared" si="85"/>
        <v>GAST1CPF - Desp. Lazer e Entretenimento - Bares</v>
      </c>
      <c r="P366" s="37" t="str">
        <f t="shared" si="86"/>
        <v>MCSGAST1CPF - Desp. Lazer e Entretenimento - Bares</v>
      </c>
      <c r="Q366" s="37" t="str">
        <f t="shared" si="87"/>
        <v>MCSGAST1</v>
      </c>
      <c r="R366" s="37" t="str">
        <f t="shared" si="88"/>
        <v>MCSGAST1</v>
      </c>
      <c r="S366" s="31"/>
      <c r="T366" s="185">
        <f t="shared" si="89"/>
        <v>46113</v>
      </c>
      <c r="U366" s="181">
        <v>364</v>
      </c>
    </row>
    <row r="367" spans="2:21" s="177" customFormat="1" x14ac:dyDescent="0.25">
      <c r="B367" s="174" t="s">
        <v>25</v>
      </c>
      <c r="C367" s="51"/>
      <c r="D367" s="44" t="str">
        <f>INDEX(Cad_Natureza!$B$3:$C$52,MATCH('2026'!F367,Cad_Natureza!$C$3:$C$52,0),MATCH('2026'!D$2,Cad_Natureza!$B$3:$C$3,0))</f>
        <v>REC4</v>
      </c>
      <c r="E367" s="45" t="str">
        <f t="shared" si="81"/>
        <v>Receita 365</v>
      </c>
      <c r="F367" s="46" t="s">
        <v>57</v>
      </c>
      <c r="G367" s="44" t="s">
        <v>25</v>
      </c>
      <c r="H367" s="47">
        <v>46132</v>
      </c>
      <c r="I367" s="47"/>
      <c r="J367" s="48" t="str">
        <f t="shared" si="82"/>
        <v>Observação da receita 365</v>
      </c>
      <c r="K367" s="49">
        <v>1000</v>
      </c>
      <c r="L367" s="49">
        <f t="shared" si="83"/>
        <v>1751.6000000000008</v>
      </c>
      <c r="M367" s="51"/>
      <c r="N367" s="37" t="str">
        <f t="shared" si="84"/>
        <v>MCSREC4CPF - Transf. Da conta PJ para a conta PF</v>
      </c>
      <c r="O367" s="37" t="str">
        <f t="shared" si="85"/>
        <v>REC4CPF - Transf. Da conta PJ para a conta PF</v>
      </c>
      <c r="P367" s="37" t="str">
        <f t="shared" si="86"/>
        <v>MCSREC4CPF - Transf. Da conta PJ para a conta PF</v>
      </c>
      <c r="Q367" s="37" t="str">
        <f t="shared" si="87"/>
        <v>MCSREC4</v>
      </c>
      <c r="R367" s="37" t="str">
        <f t="shared" si="88"/>
        <v>MCSREC4</v>
      </c>
      <c r="S367" s="31"/>
      <c r="T367" s="176">
        <f t="shared" si="89"/>
        <v>46113</v>
      </c>
      <c r="U367" s="181">
        <v>365</v>
      </c>
    </row>
    <row r="368" spans="2:21" s="181" customFormat="1" x14ac:dyDescent="0.25">
      <c r="B368" s="182" t="s">
        <v>25</v>
      </c>
      <c r="C368" s="183"/>
      <c r="D368" s="54" t="str">
        <f>INDEX(Cad_Natureza!$B$3:$C$52,MATCH('2026'!F368,Cad_Natureza!$C$3:$C$52,0),MATCH('2026'!D$2,Cad_Natureza!$B$3:$C$3,0))</f>
        <v>OPF2</v>
      </c>
      <c r="E368" s="52" t="str">
        <f t="shared" si="81"/>
        <v>Despesa 366</v>
      </c>
      <c r="F368" s="53" t="s">
        <v>64</v>
      </c>
      <c r="G368" s="54" t="s">
        <v>25</v>
      </c>
      <c r="H368" s="55">
        <v>46132</v>
      </c>
      <c r="I368" s="55"/>
      <c r="J368" s="50" t="str">
        <f t="shared" si="82"/>
        <v>Observação da despesa 366</v>
      </c>
      <c r="K368" s="43">
        <v>-80</v>
      </c>
      <c r="L368" s="43">
        <f t="shared" si="83"/>
        <v>1671.6000000000008</v>
      </c>
      <c r="M368" s="183"/>
      <c r="N368" s="37" t="str">
        <f t="shared" si="84"/>
        <v>MCSOPF2CPF - Desp. Transporte / Combustível</v>
      </c>
      <c r="O368" s="37" t="str">
        <f t="shared" si="85"/>
        <v>OPF2CPF - Desp. Transporte / Combustível</v>
      </c>
      <c r="P368" s="37" t="str">
        <f t="shared" si="86"/>
        <v>MCSOPF2CPF - Desp. Transporte / Combustível</v>
      </c>
      <c r="Q368" s="37" t="str">
        <f t="shared" si="87"/>
        <v>MCSOPF2</v>
      </c>
      <c r="R368" s="37" t="str">
        <f t="shared" si="88"/>
        <v>MCSOPF2</v>
      </c>
      <c r="S368" s="31"/>
      <c r="T368" s="185">
        <f t="shared" si="89"/>
        <v>46113</v>
      </c>
      <c r="U368" s="181">
        <v>366</v>
      </c>
    </row>
    <row r="369" spans="2:21" s="181" customFormat="1" x14ac:dyDescent="0.25">
      <c r="B369" s="182" t="s">
        <v>25</v>
      </c>
      <c r="C369" s="183"/>
      <c r="D369" s="54" t="str">
        <f>INDEX(Cad_Natureza!$B$3:$C$52,MATCH('2026'!F369,Cad_Natureza!$C$3:$C$52,0),MATCH('2026'!D$2,Cad_Natureza!$B$3:$C$3,0))</f>
        <v>GAST1</v>
      </c>
      <c r="E369" s="52" t="str">
        <f t="shared" si="81"/>
        <v>Despesa 367</v>
      </c>
      <c r="F369" s="53" t="s">
        <v>65</v>
      </c>
      <c r="G369" s="54" t="s">
        <v>25</v>
      </c>
      <c r="H369" s="55">
        <v>46132</v>
      </c>
      <c r="I369" s="55"/>
      <c r="J369" s="50" t="str">
        <f t="shared" si="82"/>
        <v>Observação da despesa 367</v>
      </c>
      <c r="K369" s="43">
        <v>-106.08</v>
      </c>
      <c r="L369" s="43">
        <f t="shared" si="83"/>
        <v>1565.5200000000009</v>
      </c>
      <c r="M369" s="183"/>
      <c r="N369" s="37" t="str">
        <f t="shared" si="84"/>
        <v>MCSGAST1CPF - Desp. Lazer e Entretenimento - Bares</v>
      </c>
      <c r="O369" s="37" t="str">
        <f t="shared" si="85"/>
        <v>GAST1CPF - Desp. Lazer e Entretenimento - Bares</v>
      </c>
      <c r="P369" s="37" t="str">
        <f t="shared" si="86"/>
        <v>MCSGAST1CPF - Desp. Lazer e Entretenimento - Bares</v>
      </c>
      <c r="Q369" s="37" t="str">
        <f t="shared" si="87"/>
        <v>MCSGAST1</v>
      </c>
      <c r="R369" s="37" t="str">
        <f t="shared" si="88"/>
        <v>MCSGAST1</v>
      </c>
      <c r="S369" s="31"/>
      <c r="T369" s="185">
        <f t="shared" si="89"/>
        <v>46113</v>
      </c>
      <c r="U369" s="181">
        <v>367</v>
      </c>
    </row>
    <row r="370" spans="2:21" s="181" customFormat="1" x14ac:dyDescent="0.25">
      <c r="B370" s="182" t="s">
        <v>25</v>
      </c>
      <c r="C370" s="183"/>
      <c r="D370" s="54" t="str">
        <f>INDEX(Cad_Natureza!$B$3:$C$52,MATCH('2026'!F370,Cad_Natureza!$C$3:$C$52,0),MATCH('2026'!D$2,Cad_Natureza!$B$3:$C$3,0))</f>
        <v>GAST1</v>
      </c>
      <c r="E370" s="52" t="str">
        <f t="shared" si="81"/>
        <v>Despesa 368</v>
      </c>
      <c r="F370" s="53" t="s">
        <v>65</v>
      </c>
      <c r="G370" s="54" t="s">
        <v>25</v>
      </c>
      <c r="H370" s="55">
        <v>46132</v>
      </c>
      <c r="I370" s="55"/>
      <c r="J370" s="50" t="str">
        <f t="shared" si="82"/>
        <v>Observação da despesa 368</v>
      </c>
      <c r="K370" s="43">
        <v>-45</v>
      </c>
      <c r="L370" s="43">
        <f t="shared" si="83"/>
        <v>1520.5200000000009</v>
      </c>
      <c r="M370" s="183"/>
      <c r="N370" s="37" t="str">
        <f t="shared" si="84"/>
        <v>MCSGAST1CPF - Desp. Lazer e Entretenimento - Bares</v>
      </c>
      <c r="O370" s="37" t="str">
        <f t="shared" si="85"/>
        <v>GAST1CPF - Desp. Lazer e Entretenimento - Bares</v>
      </c>
      <c r="P370" s="37" t="str">
        <f t="shared" si="86"/>
        <v>MCSGAST1CPF - Desp. Lazer e Entretenimento - Bares</v>
      </c>
      <c r="Q370" s="37" t="str">
        <f t="shared" si="87"/>
        <v>MCSGAST1</v>
      </c>
      <c r="R370" s="37" t="str">
        <f t="shared" si="88"/>
        <v>MCSGAST1</v>
      </c>
      <c r="S370" s="31"/>
      <c r="T370" s="185">
        <f t="shared" si="89"/>
        <v>46113</v>
      </c>
      <c r="U370" s="181">
        <v>368</v>
      </c>
    </row>
    <row r="371" spans="2:21" s="181" customFormat="1" x14ac:dyDescent="0.25">
      <c r="B371" s="182" t="s">
        <v>25</v>
      </c>
      <c r="C371" s="183"/>
      <c r="D371" s="54" t="str">
        <f>INDEX(Cad_Natureza!$B$3:$C$52,MATCH('2026'!F371,Cad_Natureza!$C$3:$C$52,0),MATCH('2026'!D$2,Cad_Natureza!$B$3:$C$3,0))</f>
        <v>OUG1</v>
      </c>
      <c r="E371" s="52" t="str">
        <f t="shared" si="81"/>
        <v>Despesa 369</v>
      </c>
      <c r="F371" s="53" t="s">
        <v>70</v>
      </c>
      <c r="G371" s="54" t="s">
        <v>25</v>
      </c>
      <c r="H371" s="55">
        <v>46132</v>
      </c>
      <c r="I371" s="55"/>
      <c r="J371" s="50" t="str">
        <f t="shared" si="82"/>
        <v>Observação da despesa 369</v>
      </c>
      <c r="K371" s="43">
        <v>-88</v>
      </c>
      <c r="L371" s="43">
        <f t="shared" si="83"/>
        <v>1432.5200000000009</v>
      </c>
      <c r="M371" s="183"/>
      <c r="N371" s="37" t="str">
        <f t="shared" si="84"/>
        <v>MCSOUG1CPF - Outros gastos</v>
      </c>
      <c r="O371" s="37" t="str">
        <f t="shared" si="85"/>
        <v>OUG1CPF - Outros gastos</v>
      </c>
      <c r="P371" s="37" t="str">
        <f t="shared" si="86"/>
        <v>MCSOUG1CPF - Outros gastos</v>
      </c>
      <c r="Q371" s="37" t="str">
        <f t="shared" si="87"/>
        <v>MCSOUG1</v>
      </c>
      <c r="R371" s="37" t="str">
        <f t="shared" si="88"/>
        <v>MCSOUG1</v>
      </c>
      <c r="S371" s="31"/>
      <c r="T371" s="185">
        <f t="shared" si="89"/>
        <v>46113</v>
      </c>
      <c r="U371" s="181">
        <v>369</v>
      </c>
    </row>
    <row r="372" spans="2:21" s="181" customFormat="1" x14ac:dyDescent="0.25">
      <c r="B372" s="182" t="s">
        <v>25</v>
      </c>
      <c r="C372" s="183"/>
      <c r="D372" s="54" t="str">
        <f>INDEX(Cad_Natureza!$B$3:$C$52,MATCH('2026'!F372,Cad_Natureza!$C$3:$C$52,0),MATCH('2026'!D$2,Cad_Natureza!$B$3:$C$3,0))</f>
        <v>GAST1</v>
      </c>
      <c r="E372" s="52" t="str">
        <f t="shared" si="81"/>
        <v>Despesa 370</v>
      </c>
      <c r="F372" s="53" t="s">
        <v>65</v>
      </c>
      <c r="G372" s="54" t="s">
        <v>25</v>
      </c>
      <c r="H372" s="55">
        <v>46132</v>
      </c>
      <c r="I372" s="55"/>
      <c r="J372" s="50" t="str">
        <f t="shared" si="82"/>
        <v>Observação da despesa 370</v>
      </c>
      <c r="K372" s="43">
        <v>-3</v>
      </c>
      <c r="L372" s="43">
        <f t="shared" si="83"/>
        <v>1429.5200000000009</v>
      </c>
      <c r="M372" s="183"/>
      <c r="N372" s="37" t="str">
        <f t="shared" si="84"/>
        <v>MCSGAST1CPF - Desp. Lazer e Entretenimento - Bares</v>
      </c>
      <c r="O372" s="37" t="str">
        <f t="shared" si="85"/>
        <v>GAST1CPF - Desp. Lazer e Entretenimento - Bares</v>
      </c>
      <c r="P372" s="37" t="str">
        <f t="shared" si="86"/>
        <v>MCSGAST1CPF - Desp. Lazer e Entretenimento - Bares</v>
      </c>
      <c r="Q372" s="37" t="str">
        <f t="shared" si="87"/>
        <v>MCSGAST1</v>
      </c>
      <c r="R372" s="37" t="str">
        <f t="shared" si="88"/>
        <v>MCSGAST1</v>
      </c>
      <c r="S372" s="31"/>
      <c r="T372" s="185">
        <f t="shared" si="89"/>
        <v>46113</v>
      </c>
      <c r="U372" s="181">
        <v>370</v>
      </c>
    </row>
    <row r="373" spans="2:21" s="181" customFormat="1" x14ac:dyDescent="0.25">
      <c r="B373" s="182" t="s">
        <v>25</v>
      </c>
      <c r="C373" s="183"/>
      <c r="D373" s="54" t="str">
        <f>INDEX(Cad_Natureza!$B$3:$C$52,MATCH('2026'!F373,Cad_Natureza!$C$3:$C$52,0),MATCH('2026'!D$2,Cad_Natureza!$B$3:$C$3,0))</f>
        <v>DESP4</v>
      </c>
      <c r="E373" s="52" t="str">
        <f t="shared" si="81"/>
        <v>Despesa 371</v>
      </c>
      <c r="F373" s="53" t="s">
        <v>74</v>
      </c>
      <c r="G373" s="54" t="s">
        <v>25</v>
      </c>
      <c r="H373" s="55">
        <v>46132</v>
      </c>
      <c r="I373" s="55"/>
      <c r="J373" s="50" t="str">
        <f t="shared" si="82"/>
        <v>Observação da despesa 371</v>
      </c>
      <c r="K373" s="43">
        <v>-9</v>
      </c>
      <c r="L373" s="43">
        <f t="shared" si="83"/>
        <v>1420.5200000000009</v>
      </c>
      <c r="M373" s="183"/>
      <c r="N373" s="37" t="str">
        <f t="shared" si="84"/>
        <v>MCSDESP4CPF - Desp. Moradia</v>
      </c>
      <c r="O373" s="37" t="str">
        <f t="shared" si="85"/>
        <v>DESP4CPF - Desp. Moradia</v>
      </c>
      <c r="P373" s="37" t="str">
        <f t="shared" si="86"/>
        <v>MCSDESP4CPF - Desp. Moradia</v>
      </c>
      <c r="Q373" s="37" t="str">
        <f t="shared" si="87"/>
        <v>MCSDESP4</v>
      </c>
      <c r="R373" s="37" t="str">
        <f t="shared" si="88"/>
        <v>MCSDESP4</v>
      </c>
      <c r="S373" s="31"/>
      <c r="T373" s="185">
        <f t="shared" si="89"/>
        <v>46113</v>
      </c>
      <c r="U373" s="181">
        <v>371</v>
      </c>
    </row>
    <row r="374" spans="2:21" s="181" customFormat="1" x14ac:dyDescent="0.25">
      <c r="B374" s="182" t="s">
        <v>25</v>
      </c>
      <c r="C374" s="183"/>
      <c r="D374" s="54" t="str">
        <f>INDEX(Cad_Natureza!$B$3:$C$52,MATCH('2026'!F374,Cad_Natureza!$C$3:$C$52,0),MATCH('2026'!D$2,Cad_Natureza!$B$3:$C$3,0))</f>
        <v>PENS6</v>
      </c>
      <c r="E374" s="52" t="str">
        <f t="shared" si="81"/>
        <v>Despesa 372</v>
      </c>
      <c r="F374" s="53" t="s">
        <v>34</v>
      </c>
      <c r="G374" s="54" t="s">
        <v>25</v>
      </c>
      <c r="H374" s="55">
        <v>46134</v>
      </c>
      <c r="I374" s="55"/>
      <c r="J374" s="50" t="str">
        <f t="shared" si="82"/>
        <v>Observação da despesa 372</v>
      </c>
      <c r="K374" s="43">
        <v>-19.98</v>
      </c>
      <c r="L374" s="43">
        <f t="shared" si="83"/>
        <v>1400.5400000000009</v>
      </c>
      <c r="M374" s="183"/>
      <c r="N374" s="37" t="str">
        <f t="shared" si="84"/>
        <v>MCSPENS6CPF - Pensão - Farmácia e Saúde</v>
      </c>
      <c r="O374" s="37" t="str">
        <f t="shared" si="85"/>
        <v>PENS6CPF - Pensão - Farmácia e Saúde</v>
      </c>
      <c r="P374" s="37" t="str">
        <f t="shared" si="86"/>
        <v>MCSPENS6CPF - Pensão - Farmácia e Saúde</v>
      </c>
      <c r="Q374" s="37" t="str">
        <f t="shared" si="87"/>
        <v>MCSPENS6</v>
      </c>
      <c r="R374" s="37" t="str">
        <f t="shared" si="88"/>
        <v>MCSPENS6</v>
      </c>
      <c r="S374" s="31"/>
      <c r="T374" s="185">
        <f t="shared" si="89"/>
        <v>46113</v>
      </c>
      <c r="U374" s="181">
        <v>372</v>
      </c>
    </row>
    <row r="375" spans="2:21" s="181" customFormat="1" x14ac:dyDescent="0.25">
      <c r="B375" s="182" t="s">
        <v>25</v>
      </c>
      <c r="C375" s="183"/>
      <c r="D375" s="54" t="str">
        <f>INDEX(Cad_Natureza!$B$3:$C$52,MATCH('2026'!F375,Cad_Natureza!$C$3:$C$52,0),MATCH('2026'!D$2,Cad_Natureza!$B$3:$C$3,0))</f>
        <v>GAST1</v>
      </c>
      <c r="E375" s="52" t="str">
        <f t="shared" si="81"/>
        <v>Despesa 373</v>
      </c>
      <c r="F375" s="53" t="s">
        <v>65</v>
      </c>
      <c r="G375" s="54" t="s">
        <v>25</v>
      </c>
      <c r="H375" s="55">
        <v>46134</v>
      </c>
      <c r="I375" s="55"/>
      <c r="J375" s="50" t="str">
        <f t="shared" si="82"/>
        <v>Observação da despesa 373</v>
      </c>
      <c r="K375" s="43">
        <v>-20</v>
      </c>
      <c r="L375" s="43">
        <f t="shared" si="83"/>
        <v>1380.5400000000009</v>
      </c>
      <c r="M375" s="183"/>
      <c r="N375" s="37" t="str">
        <f t="shared" si="84"/>
        <v>MCSGAST1CPF - Desp. Lazer e Entretenimento - Bares</v>
      </c>
      <c r="O375" s="37" t="str">
        <f t="shared" si="85"/>
        <v>GAST1CPF - Desp. Lazer e Entretenimento - Bares</v>
      </c>
      <c r="P375" s="37" t="str">
        <f t="shared" si="86"/>
        <v>MCSGAST1CPF - Desp. Lazer e Entretenimento - Bares</v>
      </c>
      <c r="Q375" s="37" t="str">
        <f t="shared" si="87"/>
        <v>MCSGAST1</v>
      </c>
      <c r="R375" s="37" t="str">
        <f t="shared" si="88"/>
        <v>MCSGAST1</v>
      </c>
      <c r="S375" s="31"/>
      <c r="T375" s="185">
        <f t="shared" si="89"/>
        <v>46113</v>
      </c>
      <c r="U375" s="181">
        <v>373</v>
      </c>
    </row>
    <row r="376" spans="2:21" s="181" customFormat="1" x14ac:dyDescent="0.25">
      <c r="B376" s="182" t="s">
        <v>25</v>
      </c>
      <c r="C376" s="183"/>
      <c r="D376" s="54" t="str">
        <f>INDEX(Cad_Natureza!$B$3:$C$52,MATCH('2026'!F376,Cad_Natureza!$C$3:$C$52,0),MATCH('2026'!D$2,Cad_Natureza!$B$3:$C$3,0))</f>
        <v>OUG1</v>
      </c>
      <c r="E376" s="52" t="str">
        <f t="shared" si="81"/>
        <v>Despesa 374</v>
      </c>
      <c r="F376" s="53" t="s">
        <v>70</v>
      </c>
      <c r="G376" s="54" t="s">
        <v>25</v>
      </c>
      <c r="H376" s="55">
        <v>46134</v>
      </c>
      <c r="I376" s="55"/>
      <c r="J376" s="50" t="str">
        <f t="shared" si="82"/>
        <v>Observação da despesa 374</v>
      </c>
      <c r="K376" s="43">
        <v>-8.49</v>
      </c>
      <c r="L376" s="43">
        <f t="shared" si="83"/>
        <v>1372.0500000000009</v>
      </c>
      <c r="M376" s="183"/>
      <c r="N376" s="37" t="str">
        <f t="shared" si="60"/>
        <v>MCSOUG1CPF - Outros gastos</v>
      </c>
      <c r="O376" s="37" t="str">
        <f t="shared" si="61"/>
        <v>OUG1CPF - Outros gastos</v>
      </c>
      <c r="P376" s="37" t="str">
        <f t="shared" si="62"/>
        <v>MCSOUG1CPF - Outros gastos</v>
      </c>
      <c r="Q376" s="37" t="str">
        <f t="shared" si="63"/>
        <v>MCSOUG1</v>
      </c>
      <c r="R376" s="37" t="str">
        <f t="shared" si="64"/>
        <v>MCSOUG1</v>
      </c>
      <c r="S376" s="31"/>
      <c r="T376" s="185">
        <f t="shared" si="65"/>
        <v>46113</v>
      </c>
      <c r="U376" s="181">
        <v>374</v>
      </c>
    </row>
    <row r="377" spans="2:21" s="181" customFormat="1" x14ac:dyDescent="0.25">
      <c r="B377" s="182" t="s">
        <v>25</v>
      </c>
      <c r="C377" s="183"/>
      <c r="D377" s="54" t="str">
        <f>INDEX(Cad_Natureza!$B$3:$C$52,MATCH('2026'!F377,Cad_Natureza!$C$3:$C$52,0),MATCH('2026'!D$2,Cad_Natureza!$B$3:$C$3,0))</f>
        <v>OPF2</v>
      </c>
      <c r="E377" s="52" t="str">
        <f t="shared" si="81"/>
        <v>Despesa 375</v>
      </c>
      <c r="F377" s="53" t="s">
        <v>64</v>
      </c>
      <c r="G377" s="54" t="s">
        <v>25</v>
      </c>
      <c r="H377" s="55">
        <v>46134</v>
      </c>
      <c r="I377" s="55"/>
      <c r="J377" s="50" t="str">
        <f t="shared" si="82"/>
        <v>Observação da despesa 375</v>
      </c>
      <c r="K377" s="43">
        <v>-80</v>
      </c>
      <c r="L377" s="43">
        <f t="shared" si="83"/>
        <v>1292.0500000000009</v>
      </c>
      <c r="M377" s="183"/>
      <c r="N377" s="37" t="str">
        <f t="shared" si="60"/>
        <v>MCSOPF2CPF - Desp. Transporte / Combustível</v>
      </c>
      <c r="O377" s="37" t="str">
        <f t="shared" si="61"/>
        <v>OPF2CPF - Desp. Transporte / Combustível</v>
      </c>
      <c r="P377" s="37" t="str">
        <f t="shared" si="62"/>
        <v>MCSOPF2CPF - Desp. Transporte / Combustível</v>
      </c>
      <c r="Q377" s="37" t="str">
        <f t="shared" si="63"/>
        <v>MCSOPF2</v>
      </c>
      <c r="R377" s="37" t="str">
        <f t="shared" si="64"/>
        <v>MCSOPF2</v>
      </c>
      <c r="S377" s="31"/>
      <c r="T377" s="185">
        <f t="shared" si="65"/>
        <v>46113</v>
      </c>
      <c r="U377" s="181">
        <v>375</v>
      </c>
    </row>
    <row r="378" spans="2:21" s="181" customFormat="1" x14ac:dyDescent="0.25">
      <c r="B378" s="182" t="s">
        <v>25</v>
      </c>
      <c r="C378" s="183"/>
      <c r="D378" s="54" t="str">
        <f>INDEX(Cad_Natureza!$B$3:$C$52,MATCH('2026'!F378,Cad_Natureza!$C$3:$C$52,0),MATCH('2026'!D$2,Cad_Natureza!$B$3:$C$3,0))</f>
        <v>PENS6</v>
      </c>
      <c r="E378" s="52" t="str">
        <f t="shared" si="81"/>
        <v>Despesa 376</v>
      </c>
      <c r="F378" s="53" t="s">
        <v>34</v>
      </c>
      <c r="G378" s="54" t="s">
        <v>25</v>
      </c>
      <c r="H378" s="55">
        <v>46134</v>
      </c>
      <c r="I378" s="55"/>
      <c r="J378" s="50" t="str">
        <f t="shared" si="82"/>
        <v>Observação da despesa 376</v>
      </c>
      <c r="K378" s="43">
        <v>-35.99</v>
      </c>
      <c r="L378" s="43">
        <f t="shared" si="83"/>
        <v>1256.0600000000009</v>
      </c>
      <c r="M378" s="183"/>
      <c r="N378" s="37" t="str">
        <f t="shared" si="60"/>
        <v>MCSPENS6CPF - Pensão - Farmácia e Saúde</v>
      </c>
      <c r="O378" s="37" t="str">
        <f t="shared" si="61"/>
        <v>PENS6CPF - Pensão - Farmácia e Saúde</v>
      </c>
      <c r="P378" s="37" t="str">
        <f t="shared" si="62"/>
        <v>MCSPENS6CPF - Pensão - Farmácia e Saúde</v>
      </c>
      <c r="Q378" s="37" t="str">
        <f t="shared" si="63"/>
        <v>MCSPENS6</v>
      </c>
      <c r="R378" s="37" t="str">
        <f t="shared" si="64"/>
        <v>MCSPENS6</v>
      </c>
      <c r="S378" s="31"/>
      <c r="T378" s="185">
        <f t="shared" si="65"/>
        <v>46113</v>
      </c>
      <c r="U378" s="181">
        <v>376</v>
      </c>
    </row>
    <row r="379" spans="2:21" s="181" customFormat="1" x14ac:dyDescent="0.25">
      <c r="B379" s="182" t="s">
        <v>25</v>
      </c>
      <c r="C379" s="183"/>
      <c r="D379" s="54" t="str">
        <f>INDEX(Cad_Natureza!$B$3:$C$52,MATCH('2026'!F379,Cad_Natureza!$C$3:$C$52,0),MATCH('2026'!D$2,Cad_Natureza!$B$3:$C$3,0))</f>
        <v>DESP4</v>
      </c>
      <c r="E379" s="52" t="str">
        <f t="shared" si="81"/>
        <v>Despesa 377</v>
      </c>
      <c r="F379" s="53" t="s">
        <v>74</v>
      </c>
      <c r="G379" s="54" t="s">
        <v>25</v>
      </c>
      <c r="H379" s="55">
        <v>46134</v>
      </c>
      <c r="I379" s="55"/>
      <c r="J379" s="50" t="str">
        <f t="shared" si="82"/>
        <v>Observação da despesa 377</v>
      </c>
      <c r="K379" s="43">
        <v>-82.46</v>
      </c>
      <c r="L379" s="43">
        <f t="shared" si="83"/>
        <v>1173.6000000000008</v>
      </c>
      <c r="M379" s="183"/>
      <c r="N379" s="37" t="str">
        <f t="shared" si="60"/>
        <v>MCSDESP4CPF - Desp. Moradia</v>
      </c>
      <c r="O379" s="37" t="str">
        <f t="shared" si="61"/>
        <v>DESP4CPF - Desp. Moradia</v>
      </c>
      <c r="P379" s="37" t="str">
        <f t="shared" si="62"/>
        <v>MCSDESP4CPF - Desp. Moradia</v>
      </c>
      <c r="Q379" s="37" t="str">
        <f t="shared" si="63"/>
        <v>MCSDESP4</v>
      </c>
      <c r="R379" s="37" t="str">
        <f t="shared" si="64"/>
        <v>MCSDESP4</v>
      </c>
      <c r="S379" s="31"/>
      <c r="T379" s="185">
        <f t="shared" si="65"/>
        <v>46113</v>
      </c>
      <c r="U379" s="181">
        <v>377</v>
      </c>
    </row>
    <row r="380" spans="2:21" s="181" customFormat="1" x14ac:dyDescent="0.25">
      <c r="B380" s="182" t="s">
        <v>25</v>
      </c>
      <c r="C380" s="183"/>
      <c r="D380" s="54" t="str">
        <f>INDEX(Cad_Natureza!$B$3:$C$52,MATCH('2026'!F380,Cad_Natureza!$C$3:$C$52,0),MATCH('2026'!D$2,Cad_Natureza!$B$3:$C$3,0))</f>
        <v>TRI1</v>
      </c>
      <c r="E380" s="52" t="str">
        <f t="shared" si="81"/>
        <v>Despesa 378</v>
      </c>
      <c r="F380" s="53" t="s">
        <v>32</v>
      </c>
      <c r="G380" s="54" t="s">
        <v>25</v>
      </c>
      <c r="H380" s="55">
        <v>46134</v>
      </c>
      <c r="I380" s="55"/>
      <c r="J380" s="50" t="str">
        <f t="shared" si="82"/>
        <v>Observação da despesa 378</v>
      </c>
      <c r="K380" s="43">
        <v>-271</v>
      </c>
      <c r="L380" s="43">
        <f t="shared" si="83"/>
        <v>902.60000000000082</v>
      </c>
      <c r="M380" s="183"/>
      <c r="N380" s="37" t="str">
        <f t="shared" si="60"/>
        <v>MCSTRI1CPF - Desp. Impostos e Obrigações</v>
      </c>
      <c r="O380" s="37" t="str">
        <f t="shared" si="61"/>
        <v>TRI1CPF - Desp. Impostos e Obrigações</v>
      </c>
      <c r="P380" s="37" t="str">
        <f t="shared" si="62"/>
        <v>MCSTRI1CPF - Desp. Impostos e Obrigações</v>
      </c>
      <c r="Q380" s="37" t="str">
        <f t="shared" si="63"/>
        <v>MCSTRI1</v>
      </c>
      <c r="R380" s="37" t="str">
        <f t="shared" si="64"/>
        <v>MCSTRI1</v>
      </c>
      <c r="S380" s="31"/>
      <c r="T380" s="185">
        <f t="shared" si="65"/>
        <v>46113</v>
      </c>
      <c r="U380" s="181">
        <v>378</v>
      </c>
    </row>
    <row r="381" spans="2:21" s="181" customFormat="1" x14ac:dyDescent="0.25">
      <c r="B381" s="182" t="s">
        <v>25</v>
      </c>
      <c r="C381" s="183"/>
      <c r="D381" s="54" t="str">
        <f>INDEX(Cad_Natureza!$B$3:$C$52,MATCH('2026'!F381,Cad_Natureza!$C$3:$C$52,0),MATCH('2026'!D$2,Cad_Natureza!$B$3:$C$3,0))</f>
        <v>TRI1</v>
      </c>
      <c r="E381" s="52" t="str">
        <f t="shared" si="81"/>
        <v>Despesa 379</v>
      </c>
      <c r="F381" s="53" t="s">
        <v>32</v>
      </c>
      <c r="G381" s="54" t="s">
        <v>25</v>
      </c>
      <c r="H381" s="55">
        <v>46134</v>
      </c>
      <c r="I381" s="55"/>
      <c r="J381" s="50" t="str">
        <f t="shared" si="82"/>
        <v>Observação da despesa 379</v>
      </c>
      <c r="K381" s="43">
        <v>-25</v>
      </c>
      <c r="L381" s="43">
        <f t="shared" si="83"/>
        <v>877.60000000000082</v>
      </c>
      <c r="M381" s="183"/>
      <c r="N381" s="37" t="str">
        <f t="shared" si="60"/>
        <v>MCSTRI1CPF - Desp. Impostos e Obrigações</v>
      </c>
      <c r="O381" s="37" t="str">
        <f t="shared" si="61"/>
        <v>TRI1CPF - Desp. Impostos e Obrigações</v>
      </c>
      <c r="P381" s="37" t="str">
        <f t="shared" si="62"/>
        <v>MCSTRI1CPF - Desp. Impostos e Obrigações</v>
      </c>
      <c r="Q381" s="37" t="str">
        <f t="shared" si="63"/>
        <v>MCSTRI1</v>
      </c>
      <c r="R381" s="37" t="str">
        <f t="shared" si="64"/>
        <v>MCSTRI1</v>
      </c>
      <c r="S381" s="31"/>
      <c r="T381" s="185">
        <f t="shared" si="65"/>
        <v>46113</v>
      </c>
      <c r="U381" s="181">
        <v>379</v>
      </c>
    </row>
    <row r="382" spans="2:21" s="181" customFormat="1" x14ac:dyDescent="0.25">
      <c r="B382" s="182" t="s">
        <v>25</v>
      </c>
      <c r="C382" s="183"/>
      <c r="D382" s="54" t="str">
        <f>INDEX(Cad_Natureza!$B$3:$C$52,MATCH('2026'!F382,Cad_Natureza!$C$3:$C$52,0),MATCH('2026'!D$2,Cad_Natureza!$B$3:$C$3,0))</f>
        <v>OPF1</v>
      </c>
      <c r="E382" s="52" t="str">
        <f t="shared" si="81"/>
        <v>Despesa 380</v>
      </c>
      <c r="F382" s="53" t="s">
        <v>67</v>
      </c>
      <c r="G382" s="54" t="s">
        <v>25</v>
      </c>
      <c r="H382" s="55">
        <v>46135</v>
      </c>
      <c r="I382" s="55"/>
      <c r="J382" s="50" t="str">
        <f t="shared" si="82"/>
        <v>Observação da despesa 380</v>
      </c>
      <c r="K382" s="43">
        <v>-20</v>
      </c>
      <c r="L382" s="43">
        <f t="shared" si="83"/>
        <v>857.60000000000082</v>
      </c>
      <c r="M382" s="183"/>
      <c r="N382" s="37" t="str">
        <f t="shared" si="60"/>
        <v>MCSOPF1CPF - Desp. Alimentação / Refeição</v>
      </c>
      <c r="O382" s="37" t="str">
        <f t="shared" si="61"/>
        <v>OPF1CPF - Desp. Alimentação / Refeição</v>
      </c>
      <c r="P382" s="37" t="str">
        <f t="shared" si="62"/>
        <v>MCSOPF1CPF - Desp. Alimentação / Refeição</v>
      </c>
      <c r="Q382" s="37" t="str">
        <f t="shared" si="63"/>
        <v>MCSOPF1</v>
      </c>
      <c r="R382" s="37" t="str">
        <f t="shared" si="64"/>
        <v>MCSOPF1</v>
      </c>
      <c r="S382" s="31"/>
      <c r="T382" s="185">
        <f t="shared" si="65"/>
        <v>46113</v>
      </c>
      <c r="U382" s="181">
        <v>380</v>
      </c>
    </row>
    <row r="383" spans="2:21" s="181" customFormat="1" x14ac:dyDescent="0.25">
      <c r="B383" s="182" t="s">
        <v>25</v>
      </c>
      <c r="C383" s="183"/>
      <c r="D383" s="54" t="str">
        <f>INDEX(Cad_Natureza!$B$3:$C$52,MATCH('2026'!F383,Cad_Natureza!$C$3:$C$52,0),MATCH('2026'!D$2,Cad_Natureza!$B$3:$C$3,0))</f>
        <v>GAST1</v>
      </c>
      <c r="E383" s="52" t="str">
        <f t="shared" si="81"/>
        <v>Despesa 381</v>
      </c>
      <c r="F383" s="53" t="s">
        <v>65</v>
      </c>
      <c r="G383" s="54" t="s">
        <v>25</v>
      </c>
      <c r="H383" s="55">
        <v>46135</v>
      </c>
      <c r="I383" s="55"/>
      <c r="J383" s="50" t="str">
        <f t="shared" si="82"/>
        <v>Observação da despesa 381</v>
      </c>
      <c r="K383" s="43">
        <v>-20</v>
      </c>
      <c r="L383" s="43">
        <f t="shared" si="83"/>
        <v>837.60000000000082</v>
      </c>
      <c r="M383" s="183"/>
      <c r="N383" s="37" t="str">
        <f t="shared" si="60"/>
        <v>MCSGAST1CPF - Desp. Lazer e Entretenimento - Bares</v>
      </c>
      <c r="O383" s="37" t="str">
        <f t="shared" si="61"/>
        <v>GAST1CPF - Desp. Lazer e Entretenimento - Bares</v>
      </c>
      <c r="P383" s="37" t="str">
        <f t="shared" si="62"/>
        <v>MCSGAST1CPF - Desp. Lazer e Entretenimento - Bares</v>
      </c>
      <c r="Q383" s="37" t="str">
        <f t="shared" si="63"/>
        <v>MCSGAST1</v>
      </c>
      <c r="R383" s="37" t="str">
        <f t="shared" si="64"/>
        <v>MCSGAST1</v>
      </c>
      <c r="S383" s="31"/>
      <c r="T383" s="185">
        <f t="shared" si="65"/>
        <v>46113</v>
      </c>
      <c r="U383" s="181">
        <v>381</v>
      </c>
    </row>
    <row r="384" spans="2:21" s="181" customFormat="1" x14ac:dyDescent="0.25">
      <c r="B384" s="182" t="s">
        <v>25</v>
      </c>
      <c r="C384" s="183"/>
      <c r="D384" s="54" t="str">
        <f>INDEX(Cad_Natureza!$B$3:$C$52,MATCH('2026'!F384,Cad_Natureza!$C$3:$C$52,0),MATCH('2026'!D$2,Cad_Natureza!$B$3:$C$3,0))</f>
        <v>GAST1</v>
      </c>
      <c r="E384" s="52" t="str">
        <f t="shared" si="81"/>
        <v>Despesa 382</v>
      </c>
      <c r="F384" s="53" t="s">
        <v>65</v>
      </c>
      <c r="G384" s="54" t="s">
        <v>25</v>
      </c>
      <c r="H384" s="55">
        <v>46135</v>
      </c>
      <c r="I384" s="55"/>
      <c r="J384" s="50" t="str">
        <f t="shared" si="82"/>
        <v>Observação da despesa 382</v>
      </c>
      <c r="K384" s="43">
        <v>-9</v>
      </c>
      <c r="L384" s="43">
        <f t="shared" si="83"/>
        <v>828.60000000000082</v>
      </c>
      <c r="M384" s="183"/>
      <c r="N384" s="37" t="str">
        <f t="shared" si="60"/>
        <v>MCSGAST1CPF - Desp. Lazer e Entretenimento - Bares</v>
      </c>
      <c r="O384" s="37" t="str">
        <f t="shared" si="61"/>
        <v>GAST1CPF - Desp. Lazer e Entretenimento - Bares</v>
      </c>
      <c r="P384" s="37" t="str">
        <f t="shared" si="62"/>
        <v>MCSGAST1CPF - Desp. Lazer e Entretenimento - Bares</v>
      </c>
      <c r="Q384" s="37" t="str">
        <f t="shared" si="63"/>
        <v>MCSGAST1</v>
      </c>
      <c r="R384" s="37" t="str">
        <f t="shared" si="64"/>
        <v>MCSGAST1</v>
      </c>
      <c r="S384" s="31"/>
      <c r="T384" s="185">
        <f t="shared" si="65"/>
        <v>46113</v>
      </c>
      <c r="U384" s="181">
        <v>382</v>
      </c>
    </row>
    <row r="385" spans="2:21" s="181" customFormat="1" x14ac:dyDescent="0.25">
      <c r="B385" s="182" t="s">
        <v>25</v>
      </c>
      <c r="C385" s="183"/>
      <c r="D385" s="54" t="str">
        <f>INDEX(Cad_Natureza!$B$3:$C$52,MATCH('2026'!F385,Cad_Natureza!$C$3:$C$52,0),MATCH('2026'!D$2,Cad_Natureza!$B$3:$C$3,0))</f>
        <v>GAST1</v>
      </c>
      <c r="E385" s="52" t="str">
        <f t="shared" si="81"/>
        <v>Despesa 383</v>
      </c>
      <c r="F385" s="53" t="s">
        <v>65</v>
      </c>
      <c r="G385" s="54" t="s">
        <v>25</v>
      </c>
      <c r="H385" s="55">
        <v>46135</v>
      </c>
      <c r="I385" s="55"/>
      <c r="J385" s="50" t="str">
        <f t="shared" si="82"/>
        <v>Observação da despesa 383</v>
      </c>
      <c r="K385" s="43">
        <v>-9</v>
      </c>
      <c r="L385" s="43">
        <f t="shared" si="83"/>
        <v>819.60000000000082</v>
      </c>
      <c r="M385" s="183"/>
      <c r="N385" s="37" t="str">
        <f t="shared" ref="N385:N390" si="90">B385&amp;D385&amp;F385</f>
        <v>MCSGAST1CPF - Desp. Lazer e Entretenimento - Bares</v>
      </c>
      <c r="O385" s="37" t="str">
        <f t="shared" ref="O385:O390" si="91">D385&amp;F385</f>
        <v>GAST1CPF - Desp. Lazer e Entretenimento - Bares</v>
      </c>
      <c r="P385" s="37" t="str">
        <f t="shared" ref="P385:P390" si="92">"MCS"&amp;D385&amp;F385</f>
        <v>MCSGAST1CPF - Desp. Lazer e Entretenimento - Bares</v>
      </c>
      <c r="Q385" s="37" t="str">
        <f t="shared" ref="Q385:Q390" si="93">"MCS"&amp;D385</f>
        <v>MCSGAST1</v>
      </c>
      <c r="R385" s="37" t="str">
        <f t="shared" ref="R385:R390" si="94">B385&amp;D385</f>
        <v>MCSGAST1</v>
      </c>
      <c r="S385" s="31"/>
      <c r="T385" s="185">
        <f t="shared" ref="T385:T390" si="95">(1&amp;"/"&amp;MONTH(H385)&amp;"/"&amp;YEAR(H385))*1</f>
        <v>46113</v>
      </c>
      <c r="U385" s="181">
        <v>383</v>
      </c>
    </row>
    <row r="386" spans="2:21" s="181" customFormat="1" x14ac:dyDescent="0.25">
      <c r="B386" s="182" t="s">
        <v>25</v>
      </c>
      <c r="C386" s="183"/>
      <c r="D386" s="54" t="str">
        <f>INDEX(Cad_Natureza!$B$3:$C$52,MATCH('2026'!F386,Cad_Natureza!$C$3:$C$52,0),MATCH('2026'!D$2,Cad_Natureza!$B$3:$C$3,0))</f>
        <v>OPF1</v>
      </c>
      <c r="E386" s="52" t="str">
        <f t="shared" si="81"/>
        <v>Despesa 384</v>
      </c>
      <c r="F386" s="53" t="s">
        <v>67</v>
      </c>
      <c r="G386" s="54" t="s">
        <v>25</v>
      </c>
      <c r="H386" s="55">
        <v>46136</v>
      </c>
      <c r="I386" s="55"/>
      <c r="J386" s="50" t="str">
        <f t="shared" si="82"/>
        <v>Observação da despesa 384</v>
      </c>
      <c r="K386" s="43">
        <v>-20</v>
      </c>
      <c r="L386" s="43">
        <f t="shared" si="83"/>
        <v>799.60000000000082</v>
      </c>
      <c r="M386" s="183"/>
      <c r="N386" s="37" t="str">
        <f t="shared" si="90"/>
        <v>MCSOPF1CPF - Desp. Alimentação / Refeição</v>
      </c>
      <c r="O386" s="37" t="str">
        <f t="shared" si="91"/>
        <v>OPF1CPF - Desp. Alimentação / Refeição</v>
      </c>
      <c r="P386" s="37" t="str">
        <f t="shared" si="92"/>
        <v>MCSOPF1CPF - Desp. Alimentação / Refeição</v>
      </c>
      <c r="Q386" s="37" t="str">
        <f t="shared" si="93"/>
        <v>MCSOPF1</v>
      </c>
      <c r="R386" s="37" t="str">
        <f t="shared" si="94"/>
        <v>MCSOPF1</v>
      </c>
      <c r="S386" s="31"/>
      <c r="T386" s="185">
        <f t="shared" si="95"/>
        <v>46113</v>
      </c>
      <c r="U386" s="181">
        <v>384</v>
      </c>
    </row>
    <row r="387" spans="2:21" s="181" customFormat="1" x14ac:dyDescent="0.25">
      <c r="B387" s="182" t="s">
        <v>25</v>
      </c>
      <c r="C387" s="183"/>
      <c r="D387" s="54" t="str">
        <f>INDEX(Cad_Natureza!$B$3:$C$52,MATCH('2026'!F387,Cad_Natureza!$C$3:$C$52,0),MATCH('2026'!D$2,Cad_Natureza!$B$3:$C$3,0))</f>
        <v>OUG1</v>
      </c>
      <c r="E387" s="52" t="str">
        <f t="shared" si="81"/>
        <v>Despesa 385</v>
      </c>
      <c r="F387" s="53" t="s">
        <v>70</v>
      </c>
      <c r="G387" s="54" t="s">
        <v>25</v>
      </c>
      <c r="H387" s="55">
        <v>46136</v>
      </c>
      <c r="I387" s="55"/>
      <c r="J387" s="50" t="str">
        <f t="shared" si="82"/>
        <v>Observação da despesa 385</v>
      </c>
      <c r="K387" s="43">
        <v>-22.5</v>
      </c>
      <c r="L387" s="43">
        <f t="shared" si="83"/>
        <v>777.10000000000082</v>
      </c>
      <c r="M387" s="183"/>
      <c r="N387" s="37" t="str">
        <f t="shared" si="90"/>
        <v>MCSOUG1CPF - Outros gastos</v>
      </c>
      <c r="O387" s="37" t="str">
        <f t="shared" si="91"/>
        <v>OUG1CPF - Outros gastos</v>
      </c>
      <c r="P387" s="37" t="str">
        <f t="shared" si="92"/>
        <v>MCSOUG1CPF - Outros gastos</v>
      </c>
      <c r="Q387" s="37" t="str">
        <f t="shared" si="93"/>
        <v>MCSOUG1</v>
      </c>
      <c r="R387" s="37" t="str">
        <f t="shared" si="94"/>
        <v>MCSOUG1</v>
      </c>
      <c r="S387" s="31"/>
      <c r="T387" s="185">
        <f t="shared" si="95"/>
        <v>46113</v>
      </c>
      <c r="U387" s="181">
        <v>385</v>
      </c>
    </row>
    <row r="388" spans="2:21" s="181" customFormat="1" x14ac:dyDescent="0.25">
      <c r="B388" s="182" t="s">
        <v>25</v>
      </c>
      <c r="C388" s="183"/>
      <c r="D388" s="54" t="str">
        <f>INDEX(Cad_Natureza!$B$3:$C$52,MATCH('2026'!F388,Cad_Natureza!$C$3:$C$52,0),MATCH('2026'!D$2,Cad_Natureza!$B$3:$C$3,0))</f>
        <v>GAST2</v>
      </c>
      <c r="E388" s="52" t="str">
        <f t="shared" ref="E388:E451" si="96">IF(K388&lt;0,"Despesa "&amp;U388,"Receita "&amp;U388)</f>
        <v>Despesa 386</v>
      </c>
      <c r="F388" s="53" t="s">
        <v>66</v>
      </c>
      <c r="G388" s="54" t="s">
        <v>25</v>
      </c>
      <c r="H388" s="55">
        <v>46136</v>
      </c>
      <c r="I388" s="55"/>
      <c r="J388" s="50" t="str">
        <f t="shared" ref="J388:J451" si="97">IF(K388&lt;0,"Observação da despesa "&amp;U388,"Observação da receita "&amp;U388)</f>
        <v>Observação da despesa 386</v>
      </c>
      <c r="K388" s="43">
        <v>-34</v>
      </c>
      <c r="L388" s="43">
        <f t="shared" ref="L388:L451" si="98">L387+K388</f>
        <v>743.10000000000082</v>
      </c>
      <c r="M388" s="183"/>
      <c r="N388" s="37" t="str">
        <f t="shared" si="90"/>
        <v>MCSGAST2CPF - Desp. Lazer e Entretenimento - Cigarro</v>
      </c>
      <c r="O388" s="37" t="str">
        <f t="shared" si="91"/>
        <v>GAST2CPF - Desp. Lazer e Entretenimento - Cigarro</v>
      </c>
      <c r="P388" s="37" t="str">
        <f t="shared" si="92"/>
        <v>MCSGAST2CPF - Desp. Lazer e Entretenimento - Cigarro</v>
      </c>
      <c r="Q388" s="37" t="str">
        <f t="shared" si="93"/>
        <v>MCSGAST2</v>
      </c>
      <c r="R388" s="37" t="str">
        <f t="shared" si="94"/>
        <v>MCSGAST2</v>
      </c>
      <c r="S388" s="31"/>
      <c r="T388" s="185">
        <f t="shared" si="95"/>
        <v>46113</v>
      </c>
      <c r="U388" s="181">
        <v>386</v>
      </c>
    </row>
    <row r="389" spans="2:21" s="181" customFormat="1" x14ac:dyDescent="0.25">
      <c r="B389" s="182" t="s">
        <v>25</v>
      </c>
      <c r="C389" s="183"/>
      <c r="D389" s="54" t="str">
        <f>INDEX(Cad_Natureza!$B$3:$C$52,MATCH('2026'!F389,Cad_Natureza!$C$3:$C$52,0),MATCH('2026'!D$2,Cad_Natureza!$B$3:$C$3,0))</f>
        <v>GAST1</v>
      </c>
      <c r="E389" s="52" t="str">
        <f t="shared" si="96"/>
        <v>Despesa 387</v>
      </c>
      <c r="F389" s="53" t="s">
        <v>65</v>
      </c>
      <c r="G389" s="54" t="s">
        <v>25</v>
      </c>
      <c r="H389" s="55">
        <v>46136</v>
      </c>
      <c r="I389" s="55"/>
      <c r="J389" s="50" t="str">
        <f t="shared" si="97"/>
        <v>Observação da despesa 387</v>
      </c>
      <c r="K389" s="43">
        <v>-18.55</v>
      </c>
      <c r="L389" s="43">
        <f t="shared" si="98"/>
        <v>724.55000000000086</v>
      </c>
      <c r="M389" s="183"/>
      <c r="N389" s="37" t="str">
        <f t="shared" si="90"/>
        <v>MCSGAST1CPF - Desp. Lazer e Entretenimento - Bares</v>
      </c>
      <c r="O389" s="37" t="str">
        <f t="shared" si="91"/>
        <v>GAST1CPF - Desp. Lazer e Entretenimento - Bares</v>
      </c>
      <c r="P389" s="37" t="str">
        <f t="shared" si="92"/>
        <v>MCSGAST1CPF - Desp. Lazer e Entretenimento - Bares</v>
      </c>
      <c r="Q389" s="37" t="str">
        <f t="shared" si="93"/>
        <v>MCSGAST1</v>
      </c>
      <c r="R389" s="37" t="str">
        <f t="shared" si="94"/>
        <v>MCSGAST1</v>
      </c>
      <c r="S389" s="31"/>
      <c r="T389" s="185">
        <f t="shared" si="95"/>
        <v>46113</v>
      </c>
      <c r="U389" s="181">
        <v>387</v>
      </c>
    </row>
    <row r="390" spans="2:21" s="181" customFormat="1" x14ac:dyDescent="0.25">
      <c r="B390" s="182" t="s">
        <v>25</v>
      </c>
      <c r="C390" s="183"/>
      <c r="D390" s="54" t="str">
        <f>INDEX(Cad_Natureza!$B$3:$C$52,MATCH('2026'!F390,Cad_Natureza!$C$3:$C$52,0),MATCH('2026'!D$2,Cad_Natureza!$B$3:$C$3,0))</f>
        <v>GAST1</v>
      </c>
      <c r="E390" s="52" t="str">
        <f t="shared" si="96"/>
        <v>Despesa 388</v>
      </c>
      <c r="F390" s="53" t="s">
        <v>65</v>
      </c>
      <c r="G390" s="54" t="s">
        <v>25</v>
      </c>
      <c r="H390" s="55">
        <v>46136</v>
      </c>
      <c r="I390" s="55"/>
      <c r="J390" s="50" t="str">
        <f t="shared" si="97"/>
        <v>Observação da despesa 388</v>
      </c>
      <c r="K390" s="43">
        <v>-3</v>
      </c>
      <c r="L390" s="43">
        <f t="shared" si="98"/>
        <v>721.55000000000086</v>
      </c>
      <c r="M390" s="183"/>
      <c r="N390" s="37" t="str">
        <f t="shared" si="90"/>
        <v>MCSGAST1CPF - Desp. Lazer e Entretenimento - Bares</v>
      </c>
      <c r="O390" s="37" t="str">
        <f t="shared" si="91"/>
        <v>GAST1CPF - Desp. Lazer e Entretenimento - Bares</v>
      </c>
      <c r="P390" s="37" t="str">
        <f t="shared" si="92"/>
        <v>MCSGAST1CPF - Desp. Lazer e Entretenimento - Bares</v>
      </c>
      <c r="Q390" s="37" t="str">
        <f t="shared" si="93"/>
        <v>MCSGAST1</v>
      </c>
      <c r="R390" s="37" t="str">
        <f t="shared" si="94"/>
        <v>MCSGAST1</v>
      </c>
      <c r="S390" s="31"/>
      <c r="T390" s="185">
        <f t="shared" si="95"/>
        <v>46113</v>
      </c>
      <c r="U390" s="181">
        <v>388</v>
      </c>
    </row>
    <row r="391" spans="2:21" s="181" customFormat="1" x14ac:dyDescent="0.25">
      <c r="B391" s="182" t="s">
        <v>25</v>
      </c>
      <c r="C391" s="183"/>
      <c r="D391" s="54" t="str">
        <f>INDEX(Cad_Natureza!$B$3:$C$52,MATCH('2026'!F391,Cad_Natureza!$C$3:$C$52,0),MATCH('2026'!D$2,Cad_Natureza!$B$3:$C$3,0))</f>
        <v>GAST1</v>
      </c>
      <c r="E391" s="52" t="str">
        <f t="shared" si="96"/>
        <v>Despesa 389</v>
      </c>
      <c r="F391" s="53" t="s">
        <v>65</v>
      </c>
      <c r="G391" s="54" t="s">
        <v>25</v>
      </c>
      <c r="H391" s="55">
        <v>46139</v>
      </c>
      <c r="I391" s="55"/>
      <c r="J391" s="50" t="str">
        <f t="shared" si="97"/>
        <v>Observação da despesa 389</v>
      </c>
      <c r="K391" s="43">
        <v>-12</v>
      </c>
      <c r="L391" s="43">
        <f t="shared" si="98"/>
        <v>709.55000000000086</v>
      </c>
      <c r="M391" s="183"/>
      <c r="N391" s="37" t="str">
        <f t="shared" ref="N391:N399" si="99">B391&amp;D391&amp;F391</f>
        <v>MCSGAST1CPF - Desp. Lazer e Entretenimento - Bares</v>
      </c>
      <c r="O391" s="37" t="str">
        <f t="shared" ref="O391:O399" si="100">D391&amp;F391</f>
        <v>GAST1CPF - Desp. Lazer e Entretenimento - Bares</v>
      </c>
      <c r="P391" s="37" t="str">
        <f t="shared" ref="P391:P399" si="101">"MCS"&amp;D391&amp;F391</f>
        <v>MCSGAST1CPF - Desp. Lazer e Entretenimento - Bares</v>
      </c>
      <c r="Q391" s="37" t="str">
        <f t="shared" ref="Q391:Q399" si="102">"MCS"&amp;D391</f>
        <v>MCSGAST1</v>
      </c>
      <c r="R391" s="37" t="str">
        <f t="shared" ref="R391:R399" si="103">B391&amp;D391</f>
        <v>MCSGAST1</v>
      </c>
      <c r="S391" s="31"/>
      <c r="T391" s="185">
        <f t="shared" ref="T391:T399" si="104">(1&amp;"/"&amp;MONTH(H391)&amp;"/"&amp;YEAR(H391))*1</f>
        <v>46113</v>
      </c>
      <c r="U391" s="181">
        <v>389</v>
      </c>
    </row>
    <row r="392" spans="2:21" s="181" customFormat="1" x14ac:dyDescent="0.25">
      <c r="B392" s="182" t="s">
        <v>25</v>
      </c>
      <c r="C392" s="183"/>
      <c r="D392" s="54" t="str">
        <f>INDEX(Cad_Natureza!$B$3:$C$52,MATCH('2026'!F392,Cad_Natureza!$C$3:$C$52,0),MATCH('2026'!D$2,Cad_Natureza!$B$3:$C$3,0))</f>
        <v>PENS2</v>
      </c>
      <c r="E392" s="52" t="str">
        <f t="shared" si="96"/>
        <v>Despesa 390</v>
      </c>
      <c r="F392" s="53" t="s">
        <v>38</v>
      </c>
      <c r="G392" s="54" t="s">
        <v>25</v>
      </c>
      <c r="H392" s="55">
        <v>46139</v>
      </c>
      <c r="I392" s="55"/>
      <c r="J392" s="50" t="str">
        <f t="shared" si="97"/>
        <v>Observação da despesa 390</v>
      </c>
      <c r="K392" s="43">
        <v>-694.16</v>
      </c>
      <c r="L392" s="43">
        <f t="shared" si="98"/>
        <v>15.390000000000896</v>
      </c>
      <c r="M392" s="183"/>
      <c r="N392" s="37" t="str">
        <f t="shared" si="99"/>
        <v>MCSPENS2CPF - Pensão - Energia</v>
      </c>
      <c r="O392" s="37" t="str">
        <f t="shared" si="100"/>
        <v>PENS2CPF - Pensão - Energia</v>
      </c>
      <c r="P392" s="37" t="str">
        <f t="shared" si="101"/>
        <v>MCSPENS2CPF - Pensão - Energia</v>
      </c>
      <c r="Q392" s="37" t="str">
        <f t="shared" si="102"/>
        <v>MCSPENS2</v>
      </c>
      <c r="R392" s="37" t="str">
        <f t="shared" si="103"/>
        <v>MCSPENS2</v>
      </c>
      <c r="S392" s="31"/>
      <c r="T392" s="185">
        <f t="shared" si="104"/>
        <v>46113</v>
      </c>
      <c r="U392" s="181">
        <v>390</v>
      </c>
    </row>
    <row r="393" spans="2:21" s="177" customFormat="1" x14ac:dyDescent="0.25">
      <c r="B393" s="174" t="s">
        <v>25</v>
      </c>
      <c r="C393" s="51"/>
      <c r="D393" s="44" t="str">
        <f>INDEX(Cad_Natureza!$B$3:$C$52,MATCH('2026'!F393,Cad_Natureza!$C$3:$C$52,0),MATCH('2026'!D$2,Cad_Natureza!$B$3:$C$3,0))</f>
        <v>REC4</v>
      </c>
      <c r="E393" s="45" t="str">
        <f t="shared" si="96"/>
        <v>Receita 391</v>
      </c>
      <c r="F393" s="46" t="s">
        <v>57</v>
      </c>
      <c r="G393" s="44" t="s">
        <v>25</v>
      </c>
      <c r="H393" s="47">
        <v>46139</v>
      </c>
      <c r="I393" s="47"/>
      <c r="J393" s="48" t="str">
        <f t="shared" si="97"/>
        <v>Observação da receita 391</v>
      </c>
      <c r="K393" s="49">
        <v>1000</v>
      </c>
      <c r="L393" s="49">
        <f t="shared" si="98"/>
        <v>1015.3900000000009</v>
      </c>
      <c r="M393" s="51"/>
      <c r="N393" s="37" t="str">
        <f t="shared" si="99"/>
        <v>MCSREC4CPF - Transf. Da conta PJ para a conta PF</v>
      </c>
      <c r="O393" s="37" t="str">
        <f t="shared" si="100"/>
        <v>REC4CPF - Transf. Da conta PJ para a conta PF</v>
      </c>
      <c r="P393" s="37" t="str">
        <f t="shared" si="101"/>
        <v>MCSREC4CPF - Transf. Da conta PJ para a conta PF</v>
      </c>
      <c r="Q393" s="37" t="str">
        <f t="shared" si="102"/>
        <v>MCSREC4</v>
      </c>
      <c r="R393" s="37" t="str">
        <f t="shared" si="103"/>
        <v>MCSREC4</v>
      </c>
      <c r="S393" s="31"/>
      <c r="T393" s="176">
        <f t="shared" si="104"/>
        <v>46113</v>
      </c>
      <c r="U393" s="181">
        <v>391</v>
      </c>
    </row>
    <row r="394" spans="2:21" s="181" customFormat="1" x14ac:dyDescent="0.25">
      <c r="B394" s="182" t="s">
        <v>25</v>
      </c>
      <c r="C394" s="183"/>
      <c r="D394" s="54" t="str">
        <f>INDEX(Cad_Natureza!$B$3:$C$52,MATCH('2026'!F394,Cad_Natureza!$C$3:$C$52,0),MATCH('2026'!D$2,Cad_Natureza!$B$3:$C$3,0))</f>
        <v>PENS2</v>
      </c>
      <c r="E394" s="52" t="str">
        <f t="shared" si="96"/>
        <v>Despesa 392</v>
      </c>
      <c r="F394" s="53" t="s">
        <v>38</v>
      </c>
      <c r="G394" s="54" t="s">
        <v>25</v>
      </c>
      <c r="H394" s="55">
        <v>46139</v>
      </c>
      <c r="I394" s="55"/>
      <c r="J394" s="50" t="str">
        <f t="shared" si="97"/>
        <v>Observação da despesa 392</v>
      </c>
      <c r="K394" s="43">
        <v>-242.4</v>
      </c>
      <c r="L394" s="43">
        <f t="shared" si="98"/>
        <v>772.99000000000092</v>
      </c>
      <c r="M394" s="183"/>
      <c r="N394" s="37" t="str">
        <f t="shared" si="99"/>
        <v>MCSPENS2CPF - Pensão - Energia</v>
      </c>
      <c r="O394" s="37" t="str">
        <f t="shared" si="100"/>
        <v>PENS2CPF - Pensão - Energia</v>
      </c>
      <c r="P394" s="37" t="str">
        <f t="shared" si="101"/>
        <v>MCSPENS2CPF - Pensão - Energia</v>
      </c>
      <c r="Q394" s="37" t="str">
        <f t="shared" si="102"/>
        <v>MCSPENS2</v>
      </c>
      <c r="R394" s="37" t="str">
        <f t="shared" si="103"/>
        <v>MCSPENS2</v>
      </c>
      <c r="S394" s="31"/>
      <c r="T394" s="185">
        <f t="shared" si="104"/>
        <v>46113</v>
      </c>
      <c r="U394" s="181">
        <v>392</v>
      </c>
    </row>
    <row r="395" spans="2:21" s="181" customFormat="1" x14ac:dyDescent="0.25">
      <c r="B395" s="182" t="s">
        <v>25</v>
      </c>
      <c r="C395" s="183"/>
      <c r="D395" s="54" t="str">
        <f>INDEX(Cad_Natureza!$B$3:$C$52,MATCH('2026'!F395,Cad_Natureza!$C$3:$C$52,0),MATCH('2026'!D$2,Cad_Natureza!$B$3:$C$3,0))</f>
        <v>OPF2</v>
      </c>
      <c r="E395" s="52" t="str">
        <f t="shared" si="96"/>
        <v>Despesa 393</v>
      </c>
      <c r="F395" s="53" t="s">
        <v>64</v>
      </c>
      <c r="G395" s="54" t="s">
        <v>25</v>
      </c>
      <c r="H395" s="55">
        <v>46139</v>
      </c>
      <c r="I395" s="55"/>
      <c r="J395" s="50" t="str">
        <f t="shared" si="97"/>
        <v>Observação da despesa 393</v>
      </c>
      <c r="K395" s="43">
        <v>-78.84</v>
      </c>
      <c r="L395" s="43">
        <f t="shared" si="98"/>
        <v>694.15000000000089</v>
      </c>
      <c r="M395" s="183"/>
      <c r="N395" s="37" t="str">
        <f t="shared" si="99"/>
        <v>MCSOPF2CPF - Desp. Transporte / Combustível</v>
      </c>
      <c r="O395" s="37" t="str">
        <f t="shared" si="100"/>
        <v>OPF2CPF - Desp. Transporte / Combustível</v>
      </c>
      <c r="P395" s="37" t="str">
        <f t="shared" si="101"/>
        <v>MCSOPF2CPF - Desp. Transporte / Combustível</v>
      </c>
      <c r="Q395" s="37" t="str">
        <f t="shared" si="102"/>
        <v>MCSOPF2</v>
      </c>
      <c r="R395" s="37" t="str">
        <f t="shared" si="103"/>
        <v>MCSOPF2</v>
      </c>
      <c r="S395" s="31"/>
      <c r="T395" s="185">
        <f t="shared" si="104"/>
        <v>46113</v>
      </c>
      <c r="U395" s="181">
        <v>393</v>
      </c>
    </row>
    <row r="396" spans="2:21" s="181" customFormat="1" x14ac:dyDescent="0.25">
      <c r="B396" s="182" t="s">
        <v>25</v>
      </c>
      <c r="C396" s="183"/>
      <c r="D396" s="54" t="str">
        <f>INDEX(Cad_Natureza!$B$3:$C$52,MATCH('2026'!F396,Cad_Natureza!$C$3:$C$52,0),MATCH('2026'!D$2,Cad_Natureza!$B$3:$C$3,0))</f>
        <v>GAST1</v>
      </c>
      <c r="E396" s="52" t="str">
        <f t="shared" si="96"/>
        <v>Despesa 394</v>
      </c>
      <c r="F396" s="53" t="s">
        <v>65</v>
      </c>
      <c r="G396" s="54" t="s">
        <v>25</v>
      </c>
      <c r="H396" s="55">
        <v>46139</v>
      </c>
      <c r="I396" s="55"/>
      <c r="J396" s="50" t="str">
        <f t="shared" si="97"/>
        <v>Observação da despesa 394</v>
      </c>
      <c r="K396" s="43">
        <v>-9</v>
      </c>
      <c r="L396" s="43">
        <f t="shared" si="98"/>
        <v>685.15000000000089</v>
      </c>
      <c r="M396" s="183"/>
      <c r="N396" s="37" t="str">
        <f t="shared" si="99"/>
        <v>MCSGAST1CPF - Desp. Lazer e Entretenimento - Bares</v>
      </c>
      <c r="O396" s="37" t="str">
        <f t="shared" si="100"/>
        <v>GAST1CPF - Desp. Lazer e Entretenimento - Bares</v>
      </c>
      <c r="P396" s="37" t="str">
        <f t="shared" si="101"/>
        <v>MCSGAST1CPF - Desp. Lazer e Entretenimento - Bares</v>
      </c>
      <c r="Q396" s="37" t="str">
        <f t="shared" si="102"/>
        <v>MCSGAST1</v>
      </c>
      <c r="R396" s="37" t="str">
        <f t="shared" si="103"/>
        <v>MCSGAST1</v>
      </c>
      <c r="S396" s="31"/>
      <c r="T396" s="185">
        <f t="shared" si="104"/>
        <v>46113</v>
      </c>
      <c r="U396" s="181">
        <v>394</v>
      </c>
    </row>
    <row r="397" spans="2:21" s="181" customFormat="1" x14ac:dyDescent="0.25">
      <c r="B397" s="182" t="s">
        <v>25</v>
      </c>
      <c r="C397" s="183"/>
      <c r="D397" s="54" t="str">
        <f>INDEX(Cad_Natureza!$B$3:$C$52,MATCH('2026'!F397,Cad_Natureza!$C$3:$C$52,0),MATCH('2026'!D$2,Cad_Natureza!$B$3:$C$3,0))</f>
        <v>GAST1</v>
      </c>
      <c r="E397" s="52" t="str">
        <f t="shared" si="96"/>
        <v>Despesa 395</v>
      </c>
      <c r="F397" s="53" t="s">
        <v>65</v>
      </c>
      <c r="G397" s="54" t="s">
        <v>25</v>
      </c>
      <c r="H397" s="55">
        <v>46139</v>
      </c>
      <c r="I397" s="55"/>
      <c r="J397" s="50" t="str">
        <f t="shared" si="97"/>
        <v>Observação da despesa 395</v>
      </c>
      <c r="K397" s="43">
        <v>-10</v>
      </c>
      <c r="L397" s="43">
        <f t="shared" si="98"/>
        <v>675.15000000000089</v>
      </c>
      <c r="M397" s="183"/>
      <c r="N397" s="37" t="str">
        <f t="shared" si="99"/>
        <v>MCSGAST1CPF - Desp. Lazer e Entretenimento - Bares</v>
      </c>
      <c r="O397" s="37" t="str">
        <f t="shared" si="100"/>
        <v>GAST1CPF - Desp. Lazer e Entretenimento - Bares</v>
      </c>
      <c r="P397" s="37" t="str">
        <f t="shared" si="101"/>
        <v>MCSGAST1CPF - Desp. Lazer e Entretenimento - Bares</v>
      </c>
      <c r="Q397" s="37" t="str">
        <f t="shared" si="102"/>
        <v>MCSGAST1</v>
      </c>
      <c r="R397" s="37" t="str">
        <f t="shared" si="103"/>
        <v>MCSGAST1</v>
      </c>
      <c r="S397" s="31"/>
      <c r="T397" s="185">
        <f t="shared" si="104"/>
        <v>46113</v>
      </c>
      <c r="U397" s="181">
        <v>395</v>
      </c>
    </row>
    <row r="398" spans="2:21" s="181" customFormat="1" x14ac:dyDescent="0.25">
      <c r="B398" s="182" t="s">
        <v>25</v>
      </c>
      <c r="C398" s="183"/>
      <c r="D398" s="54" t="str">
        <f>INDEX(Cad_Natureza!$B$3:$C$52,MATCH('2026'!F398,Cad_Natureza!$C$3:$C$52,0),MATCH('2026'!D$2,Cad_Natureza!$B$3:$C$3,0))</f>
        <v>GAST1</v>
      </c>
      <c r="E398" s="52" t="str">
        <f t="shared" si="96"/>
        <v>Despesa 396</v>
      </c>
      <c r="F398" s="53" t="s">
        <v>65</v>
      </c>
      <c r="G398" s="54" t="s">
        <v>25</v>
      </c>
      <c r="H398" s="55">
        <v>46139</v>
      </c>
      <c r="I398" s="55"/>
      <c r="J398" s="50" t="str">
        <f t="shared" si="97"/>
        <v>Observação da despesa 396</v>
      </c>
      <c r="K398" s="43">
        <v>-40</v>
      </c>
      <c r="L398" s="43">
        <f t="shared" si="98"/>
        <v>635.15000000000089</v>
      </c>
      <c r="M398" s="183"/>
      <c r="N398" s="37" t="str">
        <f t="shared" si="99"/>
        <v>MCSGAST1CPF - Desp. Lazer e Entretenimento - Bares</v>
      </c>
      <c r="O398" s="37" t="str">
        <f t="shared" si="100"/>
        <v>GAST1CPF - Desp. Lazer e Entretenimento - Bares</v>
      </c>
      <c r="P398" s="37" t="str">
        <f t="shared" si="101"/>
        <v>MCSGAST1CPF - Desp. Lazer e Entretenimento - Bares</v>
      </c>
      <c r="Q398" s="37" t="str">
        <f t="shared" si="102"/>
        <v>MCSGAST1</v>
      </c>
      <c r="R398" s="37" t="str">
        <f t="shared" si="103"/>
        <v>MCSGAST1</v>
      </c>
      <c r="S398" s="31"/>
      <c r="T398" s="185">
        <f t="shared" si="104"/>
        <v>46113</v>
      </c>
      <c r="U398" s="181">
        <v>396</v>
      </c>
    </row>
    <row r="399" spans="2:21" s="181" customFormat="1" x14ac:dyDescent="0.25">
      <c r="B399" s="182" t="s">
        <v>25</v>
      </c>
      <c r="C399" s="183"/>
      <c r="D399" s="54" t="str">
        <f>INDEX(Cad_Natureza!$B$3:$C$52,MATCH('2026'!F399,Cad_Natureza!$C$3:$C$52,0),MATCH('2026'!D$2,Cad_Natureza!$B$3:$C$3,0))</f>
        <v>GAST1</v>
      </c>
      <c r="E399" s="52" t="str">
        <f t="shared" si="96"/>
        <v>Despesa 397</v>
      </c>
      <c r="F399" s="53" t="s">
        <v>65</v>
      </c>
      <c r="G399" s="54" t="s">
        <v>25</v>
      </c>
      <c r="H399" s="55">
        <v>46139</v>
      </c>
      <c r="I399" s="55"/>
      <c r="J399" s="50" t="str">
        <f t="shared" si="97"/>
        <v>Observação da despesa 397</v>
      </c>
      <c r="K399" s="43">
        <v>-25</v>
      </c>
      <c r="L399" s="43">
        <f t="shared" si="98"/>
        <v>610.15000000000089</v>
      </c>
      <c r="M399" s="183"/>
      <c r="N399" s="37" t="str">
        <f t="shared" si="99"/>
        <v>MCSGAST1CPF - Desp. Lazer e Entretenimento - Bares</v>
      </c>
      <c r="O399" s="37" t="str">
        <f t="shared" si="100"/>
        <v>GAST1CPF - Desp. Lazer e Entretenimento - Bares</v>
      </c>
      <c r="P399" s="37" t="str">
        <f t="shared" si="101"/>
        <v>MCSGAST1CPF - Desp. Lazer e Entretenimento - Bares</v>
      </c>
      <c r="Q399" s="37" t="str">
        <f t="shared" si="102"/>
        <v>MCSGAST1</v>
      </c>
      <c r="R399" s="37" t="str">
        <f t="shared" si="103"/>
        <v>MCSGAST1</v>
      </c>
      <c r="S399" s="31"/>
      <c r="T399" s="185">
        <f t="shared" si="104"/>
        <v>46113</v>
      </c>
      <c r="U399" s="181">
        <v>397</v>
      </c>
    </row>
    <row r="400" spans="2:21" s="181" customFormat="1" x14ac:dyDescent="0.25">
      <c r="B400" s="182" t="s">
        <v>25</v>
      </c>
      <c r="C400" s="183"/>
      <c r="D400" s="54" t="str">
        <f>INDEX(Cad_Natureza!$B$3:$C$52,MATCH('2026'!F400,Cad_Natureza!$C$3:$C$52,0),MATCH('2026'!D$2,Cad_Natureza!$B$3:$C$3,0))</f>
        <v>OUG1</v>
      </c>
      <c r="E400" s="52" t="str">
        <f t="shared" si="96"/>
        <v>Despesa 398</v>
      </c>
      <c r="F400" s="53" t="s">
        <v>70</v>
      </c>
      <c r="G400" s="54" t="s">
        <v>25</v>
      </c>
      <c r="H400" s="55">
        <v>46139</v>
      </c>
      <c r="I400" s="55"/>
      <c r="J400" s="50" t="str">
        <f t="shared" si="97"/>
        <v>Observação da despesa 398</v>
      </c>
      <c r="K400" s="43">
        <v>-112</v>
      </c>
      <c r="L400" s="43">
        <f t="shared" si="98"/>
        <v>498.15000000000089</v>
      </c>
      <c r="M400" s="183"/>
      <c r="N400" s="37" t="str">
        <f t="shared" si="60"/>
        <v>MCSOUG1CPF - Outros gastos</v>
      </c>
      <c r="O400" s="37" t="str">
        <f t="shared" si="61"/>
        <v>OUG1CPF - Outros gastos</v>
      </c>
      <c r="P400" s="37" t="str">
        <f t="shared" si="62"/>
        <v>MCSOUG1CPF - Outros gastos</v>
      </c>
      <c r="Q400" s="37" t="str">
        <f t="shared" si="63"/>
        <v>MCSOUG1</v>
      </c>
      <c r="R400" s="37" t="str">
        <f t="shared" si="64"/>
        <v>MCSOUG1</v>
      </c>
      <c r="S400" s="31"/>
      <c r="T400" s="185">
        <f t="shared" si="65"/>
        <v>46113</v>
      </c>
      <c r="U400" s="181">
        <v>398</v>
      </c>
    </row>
    <row r="401" spans="2:21" s="181" customFormat="1" x14ac:dyDescent="0.25">
      <c r="B401" s="182" t="s">
        <v>25</v>
      </c>
      <c r="C401" s="183"/>
      <c r="D401" s="54" t="str">
        <f>INDEX(Cad_Natureza!$B$3:$C$52,MATCH('2026'!F401,Cad_Natureza!$C$3:$C$52,0),MATCH('2026'!D$2,Cad_Natureza!$B$3:$C$3,0))</f>
        <v>GAST1</v>
      </c>
      <c r="E401" s="52" t="str">
        <f t="shared" si="96"/>
        <v>Despesa 399</v>
      </c>
      <c r="F401" s="53" t="s">
        <v>65</v>
      </c>
      <c r="G401" s="54" t="s">
        <v>25</v>
      </c>
      <c r="H401" s="55">
        <v>46139</v>
      </c>
      <c r="I401" s="55"/>
      <c r="J401" s="50" t="str">
        <f t="shared" si="97"/>
        <v>Observação da despesa 399</v>
      </c>
      <c r="K401" s="43">
        <v>-21</v>
      </c>
      <c r="L401" s="43">
        <f t="shared" si="98"/>
        <v>477.15000000000089</v>
      </c>
      <c r="M401" s="183"/>
      <c r="N401" s="37" t="str">
        <f t="shared" si="0"/>
        <v>MCSGAST1CPF - Desp. Lazer e Entretenimento - Bares</v>
      </c>
      <c r="O401" s="37" t="str">
        <f t="shared" si="1"/>
        <v>GAST1CPF - Desp. Lazer e Entretenimento - Bares</v>
      </c>
      <c r="P401" s="37" t="str">
        <f t="shared" si="2"/>
        <v>MCSGAST1CPF - Desp. Lazer e Entretenimento - Bares</v>
      </c>
      <c r="Q401" s="37" t="str">
        <f t="shared" si="3"/>
        <v>MCSGAST1</v>
      </c>
      <c r="R401" s="37" t="str">
        <f t="shared" si="4"/>
        <v>MCSGAST1</v>
      </c>
      <c r="S401" s="31"/>
      <c r="T401" s="185">
        <f t="shared" si="5"/>
        <v>46113</v>
      </c>
      <c r="U401" s="181">
        <v>399</v>
      </c>
    </row>
    <row r="402" spans="2:21" s="181" customFormat="1" x14ac:dyDescent="0.25">
      <c r="B402" s="182" t="s">
        <v>25</v>
      </c>
      <c r="C402" s="183"/>
      <c r="D402" s="54" t="str">
        <f>INDEX(Cad_Natureza!$B$3:$C$52,MATCH('2026'!F402,Cad_Natureza!$C$3:$C$52,0),MATCH('2026'!D$2,Cad_Natureza!$B$3:$C$3,0))</f>
        <v>OPF1</v>
      </c>
      <c r="E402" s="52" t="str">
        <f t="shared" si="96"/>
        <v>Despesa 400</v>
      </c>
      <c r="F402" s="53" t="s">
        <v>67</v>
      </c>
      <c r="G402" s="54" t="s">
        <v>25</v>
      </c>
      <c r="H402" s="55">
        <v>46139</v>
      </c>
      <c r="I402" s="55"/>
      <c r="J402" s="50" t="str">
        <f t="shared" si="97"/>
        <v>Observação da despesa 400</v>
      </c>
      <c r="K402" s="43">
        <v>-20</v>
      </c>
      <c r="L402" s="43">
        <f t="shared" si="98"/>
        <v>457.15000000000089</v>
      </c>
      <c r="M402" s="183"/>
      <c r="N402" s="37" t="str">
        <f t="shared" si="0"/>
        <v>MCSOPF1CPF - Desp. Alimentação / Refeição</v>
      </c>
      <c r="O402" s="37" t="str">
        <f t="shared" si="1"/>
        <v>OPF1CPF - Desp. Alimentação / Refeição</v>
      </c>
      <c r="P402" s="37" t="str">
        <f t="shared" si="2"/>
        <v>MCSOPF1CPF - Desp. Alimentação / Refeição</v>
      </c>
      <c r="Q402" s="37" t="str">
        <f t="shared" si="3"/>
        <v>MCSOPF1</v>
      </c>
      <c r="R402" s="37" t="str">
        <f t="shared" si="4"/>
        <v>MCSOPF1</v>
      </c>
      <c r="S402" s="31"/>
      <c r="T402" s="185">
        <f t="shared" si="5"/>
        <v>46113</v>
      </c>
      <c r="U402" s="181">
        <v>400</v>
      </c>
    </row>
    <row r="403" spans="2:21" s="181" customFormat="1" x14ac:dyDescent="0.25">
      <c r="B403" s="182" t="s">
        <v>25</v>
      </c>
      <c r="C403" s="183"/>
      <c r="D403" s="54" t="str">
        <f>INDEX(Cad_Natureza!$B$3:$C$52,MATCH('2026'!F403,Cad_Natureza!$C$3:$C$52,0),MATCH('2026'!D$2,Cad_Natureza!$B$3:$C$3,0))</f>
        <v>OUG1</v>
      </c>
      <c r="E403" s="52" t="str">
        <f t="shared" si="96"/>
        <v>Despesa 401</v>
      </c>
      <c r="F403" s="53" t="s">
        <v>70</v>
      </c>
      <c r="G403" s="54" t="s">
        <v>25</v>
      </c>
      <c r="H403" s="55">
        <v>46139</v>
      </c>
      <c r="I403" s="55"/>
      <c r="J403" s="50" t="str">
        <f t="shared" si="97"/>
        <v>Observação da despesa 401</v>
      </c>
      <c r="K403" s="43">
        <v>-18</v>
      </c>
      <c r="L403" s="43">
        <f t="shared" si="98"/>
        <v>439.15000000000089</v>
      </c>
      <c r="M403" s="183"/>
      <c r="N403" s="37" t="str">
        <f t="shared" si="0"/>
        <v>MCSOUG1CPF - Outros gastos</v>
      </c>
      <c r="O403" s="37" t="str">
        <f t="shared" si="1"/>
        <v>OUG1CPF - Outros gastos</v>
      </c>
      <c r="P403" s="37" t="str">
        <f t="shared" si="2"/>
        <v>MCSOUG1CPF - Outros gastos</v>
      </c>
      <c r="Q403" s="37" t="str">
        <f t="shared" si="3"/>
        <v>MCSOUG1</v>
      </c>
      <c r="R403" s="37" t="str">
        <f t="shared" si="4"/>
        <v>MCSOUG1</v>
      </c>
      <c r="S403" s="31"/>
      <c r="T403" s="185">
        <f t="shared" si="5"/>
        <v>46113</v>
      </c>
      <c r="U403" s="181">
        <v>401</v>
      </c>
    </row>
    <row r="404" spans="2:21" s="181" customFormat="1" x14ac:dyDescent="0.25">
      <c r="B404" s="182" t="s">
        <v>25</v>
      </c>
      <c r="C404" s="183"/>
      <c r="D404" s="54" t="str">
        <f>INDEX(Cad_Natureza!$B$3:$C$52,MATCH('2026'!F404,Cad_Natureza!$C$3:$C$52,0),MATCH('2026'!D$2,Cad_Natureza!$B$3:$C$3,0))</f>
        <v>GAST1</v>
      </c>
      <c r="E404" s="52" t="str">
        <f t="shared" si="96"/>
        <v>Despesa 402</v>
      </c>
      <c r="F404" s="53" t="s">
        <v>65</v>
      </c>
      <c r="G404" s="54" t="s">
        <v>25</v>
      </c>
      <c r="H404" s="55">
        <v>46139</v>
      </c>
      <c r="I404" s="55"/>
      <c r="J404" s="50" t="str">
        <f t="shared" si="97"/>
        <v>Observação da despesa 402</v>
      </c>
      <c r="K404" s="43">
        <v>-4</v>
      </c>
      <c r="L404" s="43">
        <f t="shared" si="98"/>
        <v>435.15000000000089</v>
      </c>
      <c r="M404" s="183"/>
      <c r="N404" s="37" t="str">
        <f t="shared" si="0"/>
        <v>MCSGAST1CPF - Desp. Lazer e Entretenimento - Bares</v>
      </c>
      <c r="O404" s="37" t="str">
        <f t="shared" si="1"/>
        <v>GAST1CPF - Desp. Lazer e Entretenimento - Bares</v>
      </c>
      <c r="P404" s="37" t="str">
        <f t="shared" si="2"/>
        <v>MCSGAST1CPF - Desp. Lazer e Entretenimento - Bares</v>
      </c>
      <c r="Q404" s="37" t="str">
        <f t="shared" si="3"/>
        <v>MCSGAST1</v>
      </c>
      <c r="R404" s="37" t="str">
        <f t="shared" si="4"/>
        <v>MCSGAST1</v>
      </c>
      <c r="S404" s="31"/>
      <c r="T404" s="185">
        <f t="shared" si="5"/>
        <v>46113</v>
      </c>
      <c r="U404" s="181">
        <v>402</v>
      </c>
    </row>
    <row r="405" spans="2:21" s="181" customFormat="1" x14ac:dyDescent="0.25">
      <c r="B405" s="182" t="s">
        <v>25</v>
      </c>
      <c r="C405" s="183"/>
      <c r="D405" s="54" t="str">
        <f>INDEX(Cad_Natureza!$B$3:$C$52,MATCH('2026'!F405,Cad_Natureza!$C$3:$C$52,0),MATCH('2026'!D$2,Cad_Natureza!$B$3:$C$3,0))</f>
        <v>OPF1</v>
      </c>
      <c r="E405" s="52" t="str">
        <f t="shared" si="96"/>
        <v>Despesa 403</v>
      </c>
      <c r="F405" s="53" t="s">
        <v>67</v>
      </c>
      <c r="G405" s="54" t="s">
        <v>25</v>
      </c>
      <c r="H405" s="55">
        <v>46140</v>
      </c>
      <c r="I405" s="55"/>
      <c r="J405" s="50" t="str">
        <f t="shared" si="97"/>
        <v>Observação da despesa 403</v>
      </c>
      <c r="K405" s="43">
        <v>-20</v>
      </c>
      <c r="L405" s="43">
        <f t="shared" si="98"/>
        <v>415.15000000000089</v>
      </c>
      <c r="M405" s="183"/>
      <c r="N405" s="37" t="str">
        <f t="shared" si="0"/>
        <v>MCSOPF1CPF - Desp. Alimentação / Refeição</v>
      </c>
      <c r="O405" s="37" t="str">
        <f t="shared" si="1"/>
        <v>OPF1CPF - Desp. Alimentação / Refeição</v>
      </c>
      <c r="P405" s="37" t="str">
        <f t="shared" si="2"/>
        <v>MCSOPF1CPF - Desp. Alimentação / Refeição</v>
      </c>
      <c r="Q405" s="37" t="str">
        <f t="shared" si="3"/>
        <v>MCSOPF1</v>
      </c>
      <c r="R405" s="37" t="str">
        <f t="shared" si="4"/>
        <v>MCSOPF1</v>
      </c>
      <c r="S405" s="31"/>
      <c r="T405" s="185">
        <f t="shared" si="5"/>
        <v>46113</v>
      </c>
      <c r="U405" s="181">
        <v>403</v>
      </c>
    </row>
    <row r="406" spans="2:21" s="181" customFormat="1" x14ac:dyDescent="0.25">
      <c r="B406" s="182" t="s">
        <v>25</v>
      </c>
      <c r="C406" s="183"/>
      <c r="D406" s="54" t="str">
        <f>INDEX(Cad_Natureza!$B$3:$C$52,MATCH('2026'!F406,Cad_Natureza!$C$3:$C$52,0),MATCH('2026'!D$2,Cad_Natureza!$B$3:$C$3,0))</f>
        <v>GAST1</v>
      </c>
      <c r="E406" s="52" t="str">
        <f t="shared" si="96"/>
        <v>Despesa 404</v>
      </c>
      <c r="F406" s="53" t="s">
        <v>65</v>
      </c>
      <c r="G406" s="54" t="s">
        <v>25</v>
      </c>
      <c r="H406" s="55">
        <v>46140</v>
      </c>
      <c r="I406" s="55"/>
      <c r="J406" s="50" t="str">
        <f t="shared" si="97"/>
        <v>Observação da despesa 404</v>
      </c>
      <c r="K406" s="43">
        <v>-6</v>
      </c>
      <c r="L406" s="43">
        <f t="shared" si="98"/>
        <v>409.15000000000089</v>
      </c>
      <c r="M406" s="183"/>
      <c r="N406" s="37" t="str">
        <f t="shared" si="0"/>
        <v>MCSGAST1CPF - Desp. Lazer e Entretenimento - Bares</v>
      </c>
      <c r="O406" s="37" t="str">
        <f t="shared" si="1"/>
        <v>GAST1CPF - Desp. Lazer e Entretenimento - Bares</v>
      </c>
      <c r="P406" s="37" t="str">
        <f t="shared" si="2"/>
        <v>MCSGAST1CPF - Desp. Lazer e Entretenimento - Bares</v>
      </c>
      <c r="Q406" s="37" t="str">
        <f t="shared" si="3"/>
        <v>MCSGAST1</v>
      </c>
      <c r="R406" s="37" t="str">
        <f t="shared" si="4"/>
        <v>MCSGAST1</v>
      </c>
      <c r="S406" s="31"/>
      <c r="T406" s="185">
        <f t="shared" si="5"/>
        <v>46113</v>
      </c>
      <c r="U406" s="181">
        <v>404</v>
      </c>
    </row>
    <row r="407" spans="2:21" s="181" customFormat="1" x14ac:dyDescent="0.25">
      <c r="B407" s="182" t="s">
        <v>25</v>
      </c>
      <c r="C407" s="183"/>
      <c r="D407" s="54" t="str">
        <f>INDEX(Cad_Natureza!$B$3:$C$52,MATCH('2026'!F407,Cad_Natureza!$C$3:$C$52,0),MATCH('2026'!D$2,Cad_Natureza!$B$3:$C$3,0))</f>
        <v>OPF2</v>
      </c>
      <c r="E407" s="52" t="str">
        <f t="shared" si="96"/>
        <v>Despesa 405</v>
      </c>
      <c r="F407" s="53" t="s">
        <v>64</v>
      </c>
      <c r="G407" s="54" t="s">
        <v>25</v>
      </c>
      <c r="H407" s="55">
        <v>46141</v>
      </c>
      <c r="I407" s="55"/>
      <c r="J407" s="50" t="str">
        <f t="shared" si="97"/>
        <v>Observação da despesa 405</v>
      </c>
      <c r="K407" s="43">
        <v>-80</v>
      </c>
      <c r="L407" s="43">
        <f t="shared" si="98"/>
        <v>329.15000000000089</v>
      </c>
      <c r="M407" s="183"/>
      <c r="N407" s="37" t="str">
        <f t="shared" si="0"/>
        <v>MCSOPF2CPF - Desp. Transporte / Combustível</v>
      </c>
      <c r="O407" s="37" t="str">
        <f t="shared" si="1"/>
        <v>OPF2CPF - Desp. Transporte / Combustível</v>
      </c>
      <c r="P407" s="37" t="str">
        <f t="shared" si="2"/>
        <v>MCSOPF2CPF - Desp. Transporte / Combustível</v>
      </c>
      <c r="Q407" s="37" t="str">
        <f t="shared" si="3"/>
        <v>MCSOPF2</v>
      </c>
      <c r="R407" s="37" t="str">
        <f t="shared" si="4"/>
        <v>MCSOPF2</v>
      </c>
      <c r="S407" s="31"/>
      <c r="T407" s="185">
        <f t="shared" si="5"/>
        <v>46113</v>
      </c>
      <c r="U407" s="181">
        <v>405</v>
      </c>
    </row>
    <row r="408" spans="2:21" s="181" customFormat="1" x14ac:dyDescent="0.25">
      <c r="B408" s="182" t="s">
        <v>25</v>
      </c>
      <c r="C408" s="183"/>
      <c r="D408" s="54" t="str">
        <f>INDEX(Cad_Natureza!$B$3:$C$52,MATCH('2026'!F408,Cad_Natureza!$C$3:$C$52,0),MATCH('2026'!D$2,Cad_Natureza!$B$3:$C$3,0))</f>
        <v>GAST2</v>
      </c>
      <c r="E408" s="52" t="str">
        <f t="shared" si="96"/>
        <v>Despesa 406</v>
      </c>
      <c r="F408" s="53" t="s">
        <v>66</v>
      </c>
      <c r="G408" s="54" t="s">
        <v>25</v>
      </c>
      <c r="H408" s="55">
        <v>46141</v>
      </c>
      <c r="I408" s="55"/>
      <c r="J408" s="50" t="str">
        <f t="shared" si="97"/>
        <v>Observação da despesa 406</v>
      </c>
      <c r="K408" s="43">
        <v>-35</v>
      </c>
      <c r="L408" s="43">
        <f t="shared" si="98"/>
        <v>294.15000000000089</v>
      </c>
      <c r="M408" s="183"/>
      <c r="N408" s="37" t="str">
        <f t="shared" si="0"/>
        <v>MCSGAST2CPF - Desp. Lazer e Entretenimento - Cigarro</v>
      </c>
      <c r="O408" s="37" t="str">
        <f t="shared" si="1"/>
        <v>GAST2CPF - Desp. Lazer e Entretenimento - Cigarro</v>
      </c>
      <c r="P408" s="37" t="str">
        <f t="shared" si="2"/>
        <v>MCSGAST2CPF - Desp. Lazer e Entretenimento - Cigarro</v>
      </c>
      <c r="Q408" s="37" t="str">
        <f t="shared" si="3"/>
        <v>MCSGAST2</v>
      </c>
      <c r="R408" s="37" t="str">
        <f t="shared" si="4"/>
        <v>MCSGAST2</v>
      </c>
      <c r="S408" s="31"/>
      <c r="T408" s="185">
        <f t="shared" si="5"/>
        <v>46113</v>
      </c>
      <c r="U408" s="181">
        <v>406</v>
      </c>
    </row>
    <row r="409" spans="2:21" s="181" customFormat="1" x14ac:dyDescent="0.25">
      <c r="B409" s="182" t="s">
        <v>25</v>
      </c>
      <c r="C409" s="183"/>
      <c r="D409" s="54" t="str">
        <f>INDEX(Cad_Natureza!$B$3:$C$52,MATCH('2026'!F409,Cad_Natureza!$C$3:$C$52,0),MATCH('2026'!D$2,Cad_Natureza!$B$3:$C$3,0))</f>
        <v>GAST1</v>
      </c>
      <c r="E409" s="52" t="str">
        <f t="shared" si="96"/>
        <v>Despesa 407</v>
      </c>
      <c r="F409" s="53" t="s">
        <v>65</v>
      </c>
      <c r="G409" s="54" t="s">
        <v>25</v>
      </c>
      <c r="H409" s="55">
        <v>46141</v>
      </c>
      <c r="I409" s="55"/>
      <c r="J409" s="50" t="str">
        <f t="shared" si="97"/>
        <v>Observação da despesa 407</v>
      </c>
      <c r="K409" s="43">
        <v>-30</v>
      </c>
      <c r="L409" s="43">
        <f t="shared" si="98"/>
        <v>264.15000000000089</v>
      </c>
      <c r="M409" s="183"/>
      <c r="N409" s="37" t="str">
        <f t="shared" si="0"/>
        <v>MCSGAST1CPF - Desp. Lazer e Entretenimento - Bares</v>
      </c>
      <c r="O409" s="37" t="str">
        <f t="shared" si="1"/>
        <v>GAST1CPF - Desp. Lazer e Entretenimento - Bares</v>
      </c>
      <c r="P409" s="37" t="str">
        <f t="shared" si="2"/>
        <v>MCSGAST1CPF - Desp. Lazer e Entretenimento - Bares</v>
      </c>
      <c r="Q409" s="37" t="str">
        <f t="shared" si="3"/>
        <v>MCSGAST1</v>
      </c>
      <c r="R409" s="37" t="str">
        <f t="shared" si="4"/>
        <v>MCSGAST1</v>
      </c>
      <c r="S409" s="31"/>
      <c r="T409" s="185">
        <f t="shared" si="5"/>
        <v>46113</v>
      </c>
      <c r="U409" s="181">
        <v>407</v>
      </c>
    </row>
    <row r="410" spans="2:21" s="181" customFormat="1" x14ac:dyDescent="0.25">
      <c r="B410" s="182" t="s">
        <v>25</v>
      </c>
      <c r="C410" s="183"/>
      <c r="D410" s="54" t="str">
        <f>INDEX(Cad_Natureza!$B$3:$C$52,MATCH('2026'!F410,Cad_Natureza!$C$3:$C$52,0),MATCH('2026'!D$2,Cad_Natureza!$B$3:$C$3,0))</f>
        <v>OPF1</v>
      </c>
      <c r="E410" s="52" t="str">
        <f t="shared" si="96"/>
        <v>Despesa 408</v>
      </c>
      <c r="F410" s="53" t="s">
        <v>67</v>
      </c>
      <c r="G410" s="54" t="s">
        <v>25</v>
      </c>
      <c r="H410" s="55">
        <v>46142</v>
      </c>
      <c r="I410" s="55"/>
      <c r="J410" s="50" t="str">
        <f t="shared" si="97"/>
        <v>Observação da despesa 408</v>
      </c>
      <c r="K410" s="43">
        <v>-20</v>
      </c>
      <c r="L410" s="43">
        <f t="shared" si="98"/>
        <v>244.15000000000089</v>
      </c>
      <c r="M410" s="183"/>
      <c r="N410" s="37" t="str">
        <f t="shared" si="0"/>
        <v>MCSOPF1CPF - Desp. Alimentação / Refeição</v>
      </c>
      <c r="O410" s="37" t="str">
        <f t="shared" si="1"/>
        <v>OPF1CPF - Desp. Alimentação / Refeição</v>
      </c>
      <c r="P410" s="37" t="str">
        <f t="shared" si="2"/>
        <v>MCSOPF1CPF - Desp. Alimentação / Refeição</v>
      </c>
      <c r="Q410" s="37" t="str">
        <f t="shared" si="3"/>
        <v>MCSOPF1</v>
      </c>
      <c r="R410" s="37" t="str">
        <f t="shared" si="4"/>
        <v>MCSOPF1</v>
      </c>
      <c r="S410" s="31"/>
      <c r="T410" s="185">
        <f t="shared" si="5"/>
        <v>46113</v>
      </c>
      <c r="U410" s="181">
        <v>408</v>
      </c>
    </row>
    <row r="411" spans="2:21" s="181" customFormat="1" x14ac:dyDescent="0.25">
      <c r="B411" s="182" t="s">
        <v>25</v>
      </c>
      <c r="C411" s="183"/>
      <c r="D411" s="54" t="str">
        <f>INDEX(Cad_Natureza!$B$3:$C$52,MATCH('2026'!F411,Cad_Natureza!$C$3:$C$52,0),MATCH('2026'!D$2,Cad_Natureza!$B$3:$C$3,0))</f>
        <v>OUG1</v>
      </c>
      <c r="E411" s="52" t="str">
        <f t="shared" si="96"/>
        <v>Despesa 409</v>
      </c>
      <c r="F411" s="53" t="s">
        <v>70</v>
      </c>
      <c r="G411" s="54" t="s">
        <v>25</v>
      </c>
      <c r="H411" s="55">
        <v>46142</v>
      </c>
      <c r="I411" s="55"/>
      <c r="J411" s="50" t="str">
        <f t="shared" si="97"/>
        <v>Observação da despesa 409</v>
      </c>
      <c r="K411" s="43">
        <v>-4</v>
      </c>
      <c r="L411" s="43">
        <f t="shared" si="98"/>
        <v>240.15000000000089</v>
      </c>
      <c r="M411" s="183"/>
      <c r="N411" s="37" t="str">
        <f t="shared" si="0"/>
        <v>MCSOUG1CPF - Outros gastos</v>
      </c>
      <c r="O411" s="37" t="str">
        <f t="shared" si="1"/>
        <v>OUG1CPF - Outros gastos</v>
      </c>
      <c r="P411" s="37" t="str">
        <f t="shared" si="2"/>
        <v>MCSOUG1CPF - Outros gastos</v>
      </c>
      <c r="Q411" s="37" t="str">
        <f t="shared" si="3"/>
        <v>MCSOUG1</v>
      </c>
      <c r="R411" s="37" t="str">
        <f t="shared" si="4"/>
        <v>MCSOUG1</v>
      </c>
      <c r="S411" s="31"/>
      <c r="T411" s="185">
        <f t="shared" si="5"/>
        <v>46113</v>
      </c>
      <c r="U411" s="181">
        <v>409</v>
      </c>
    </row>
    <row r="412" spans="2:21" s="177" customFormat="1" x14ac:dyDescent="0.25">
      <c r="B412" s="174" t="s">
        <v>25</v>
      </c>
      <c r="C412" s="51"/>
      <c r="D412" s="44" t="str">
        <f>INDEX(Cad_Natureza!$B$3:$C$52,MATCH('2026'!F412,Cad_Natureza!$C$3:$C$52,0),MATCH('2026'!D$2,Cad_Natureza!$B$3:$C$3,0))</f>
        <v>REC5</v>
      </c>
      <c r="E412" s="45" t="str">
        <f t="shared" si="96"/>
        <v>Receita 410</v>
      </c>
      <c r="F412" s="46" t="s">
        <v>63</v>
      </c>
      <c r="G412" s="44" t="s">
        <v>25</v>
      </c>
      <c r="H412" s="47">
        <v>46146</v>
      </c>
      <c r="I412" s="47"/>
      <c r="J412" s="48" t="str">
        <f t="shared" si="97"/>
        <v>Observação da receita 410</v>
      </c>
      <c r="K412" s="49">
        <v>120</v>
      </c>
      <c r="L412" s="49">
        <f t="shared" si="98"/>
        <v>360.15000000000089</v>
      </c>
      <c r="M412" s="51"/>
      <c r="N412" s="37" t="str">
        <f t="shared" si="0"/>
        <v>MCSREC5CPF - Outras receitas</v>
      </c>
      <c r="O412" s="37" t="str">
        <f t="shared" si="1"/>
        <v>REC5CPF - Outras receitas</v>
      </c>
      <c r="P412" s="37" t="str">
        <f t="shared" si="2"/>
        <v>MCSREC5CPF - Outras receitas</v>
      </c>
      <c r="Q412" s="37" t="str">
        <f t="shared" si="3"/>
        <v>MCSREC5</v>
      </c>
      <c r="R412" s="37" t="str">
        <f t="shared" si="4"/>
        <v>MCSREC5</v>
      </c>
      <c r="S412" s="31"/>
      <c r="T412" s="176">
        <f t="shared" si="5"/>
        <v>46143</v>
      </c>
      <c r="U412" s="181">
        <v>410</v>
      </c>
    </row>
    <row r="413" spans="2:21" s="181" customFormat="1" x14ac:dyDescent="0.25">
      <c r="B413" s="182" t="s">
        <v>25</v>
      </c>
      <c r="C413" s="183"/>
      <c r="D413" s="54" t="str">
        <f>INDEX(Cad_Natureza!$B$3:$C$52,MATCH('2026'!F413,Cad_Natureza!$C$3:$C$52,0),MATCH('2026'!D$2,Cad_Natureza!$B$3:$C$3,0))</f>
        <v>OPF2</v>
      </c>
      <c r="E413" s="52" t="str">
        <f t="shared" si="96"/>
        <v>Despesa 411</v>
      </c>
      <c r="F413" s="53" t="s">
        <v>64</v>
      </c>
      <c r="G413" s="54" t="s">
        <v>25</v>
      </c>
      <c r="H413" s="55">
        <v>46146</v>
      </c>
      <c r="I413" s="55"/>
      <c r="J413" s="50" t="str">
        <f t="shared" si="97"/>
        <v>Observação da despesa 411</v>
      </c>
      <c r="K413" s="43">
        <v>-50</v>
      </c>
      <c r="L413" s="43">
        <f t="shared" si="98"/>
        <v>310.15000000000089</v>
      </c>
      <c r="M413" s="183"/>
      <c r="N413" s="37" t="str">
        <f t="shared" si="0"/>
        <v>MCSOPF2CPF - Desp. Transporte / Combustível</v>
      </c>
      <c r="O413" s="37" t="str">
        <f t="shared" si="1"/>
        <v>OPF2CPF - Desp. Transporte / Combustível</v>
      </c>
      <c r="P413" s="37" t="str">
        <f t="shared" si="2"/>
        <v>MCSOPF2CPF - Desp. Transporte / Combustível</v>
      </c>
      <c r="Q413" s="37" t="str">
        <f t="shared" si="3"/>
        <v>MCSOPF2</v>
      </c>
      <c r="R413" s="37" t="str">
        <f t="shared" si="4"/>
        <v>MCSOPF2</v>
      </c>
      <c r="S413" s="31"/>
      <c r="T413" s="185">
        <f t="shared" si="5"/>
        <v>46143</v>
      </c>
      <c r="U413" s="181">
        <v>411</v>
      </c>
    </row>
    <row r="414" spans="2:21" s="181" customFormat="1" x14ac:dyDescent="0.25">
      <c r="B414" s="182" t="s">
        <v>25</v>
      </c>
      <c r="C414" s="183"/>
      <c r="D414" s="54" t="str">
        <f>INDEX(Cad_Natureza!$B$3:$C$52,MATCH('2026'!F414,Cad_Natureza!$C$3:$C$52,0),MATCH('2026'!D$2,Cad_Natureza!$B$3:$C$3,0))</f>
        <v>DESP3</v>
      </c>
      <c r="E414" s="52" t="str">
        <f t="shared" si="96"/>
        <v>Despesa 412</v>
      </c>
      <c r="F414" s="53" t="s">
        <v>59</v>
      </c>
      <c r="G414" s="54" t="s">
        <v>25</v>
      </c>
      <c r="H414" s="55">
        <v>46146</v>
      </c>
      <c r="I414" s="55"/>
      <c r="J414" s="50" t="str">
        <f t="shared" si="97"/>
        <v>Observação da despesa 412</v>
      </c>
      <c r="K414" s="43">
        <v>-157.94999999999999</v>
      </c>
      <c r="L414" s="43">
        <f t="shared" si="98"/>
        <v>152.2000000000009</v>
      </c>
      <c r="M414" s="183"/>
      <c r="N414" s="37" t="str">
        <f t="shared" si="0"/>
        <v xml:space="preserve">MCSDESP3CPF - Desp. com veículo - Manut. / Gastos </v>
      </c>
      <c r="O414" s="37" t="str">
        <f t="shared" si="1"/>
        <v xml:space="preserve">DESP3CPF - Desp. com veículo - Manut. / Gastos </v>
      </c>
      <c r="P414" s="37" t="str">
        <f t="shared" si="2"/>
        <v xml:space="preserve">MCSDESP3CPF - Desp. com veículo - Manut. / Gastos </v>
      </c>
      <c r="Q414" s="37" t="str">
        <f t="shared" si="3"/>
        <v>MCSDESP3</v>
      </c>
      <c r="R414" s="37" t="str">
        <f t="shared" si="4"/>
        <v>MCSDESP3</v>
      </c>
      <c r="S414" s="31"/>
      <c r="T414" s="185">
        <f t="shared" si="5"/>
        <v>46143</v>
      </c>
      <c r="U414" s="181">
        <v>412</v>
      </c>
    </row>
    <row r="415" spans="2:21" s="181" customFormat="1" x14ac:dyDescent="0.25">
      <c r="B415" s="182" t="s">
        <v>25</v>
      </c>
      <c r="C415" s="183"/>
      <c r="D415" s="54" t="str">
        <f>INDEX(Cad_Natureza!$B$3:$C$52,MATCH('2026'!F415,Cad_Natureza!$C$3:$C$52,0),MATCH('2026'!D$2,Cad_Natureza!$B$3:$C$3,0))</f>
        <v>OPF2</v>
      </c>
      <c r="E415" s="52" t="str">
        <f t="shared" si="96"/>
        <v>Despesa 413</v>
      </c>
      <c r="F415" s="53" t="s">
        <v>64</v>
      </c>
      <c r="G415" s="54" t="s">
        <v>25</v>
      </c>
      <c r="H415" s="55">
        <v>46146</v>
      </c>
      <c r="I415" s="55"/>
      <c r="J415" s="50" t="str">
        <f t="shared" si="97"/>
        <v>Observação da despesa 413</v>
      </c>
      <c r="K415" s="43">
        <v>-50</v>
      </c>
      <c r="L415" s="43">
        <f t="shared" si="98"/>
        <v>102.2000000000009</v>
      </c>
      <c r="M415" s="183"/>
      <c r="N415" s="37" t="str">
        <f t="shared" si="0"/>
        <v>MCSOPF2CPF - Desp. Transporte / Combustível</v>
      </c>
      <c r="O415" s="37" t="str">
        <f t="shared" si="1"/>
        <v>OPF2CPF - Desp. Transporte / Combustível</v>
      </c>
      <c r="P415" s="37" t="str">
        <f t="shared" si="2"/>
        <v>MCSOPF2CPF - Desp. Transporte / Combustível</v>
      </c>
      <c r="Q415" s="37" t="str">
        <f t="shared" si="3"/>
        <v>MCSOPF2</v>
      </c>
      <c r="R415" s="37" t="str">
        <f t="shared" si="4"/>
        <v>MCSOPF2</v>
      </c>
      <c r="S415" s="31"/>
      <c r="T415" s="185">
        <f t="shared" si="5"/>
        <v>46143</v>
      </c>
      <c r="U415" s="181">
        <v>413</v>
      </c>
    </row>
    <row r="416" spans="2:21" s="181" customFormat="1" x14ac:dyDescent="0.25">
      <c r="B416" s="182" t="s">
        <v>25</v>
      </c>
      <c r="C416" s="183"/>
      <c r="D416" s="54" t="str">
        <f>INDEX(Cad_Natureza!$B$3:$C$52,MATCH('2026'!F416,Cad_Natureza!$C$3:$C$52,0),MATCH('2026'!D$2,Cad_Natureza!$B$3:$C$3,0))</f>
        <v>DESP4</v>
      </c>
      <c r="E416" s="52" t="str">
        <f t="shared" si="96"/>
        <v>Despesa 414</v>
      </c>
      <c r="F416" s="53" t="s">
        <v>74</v>
      </c>
      <c r="G416" s="54" t="s">
        <v>25</v>
      </c>
      <c r="H416" s="55">
        <v>46146</v>
      </c>
      <c r="I416" s="55"/>
      <c r="J416" s="50" t="str">
        <f t="shared" si="97"/>
        <v>Observação da despesa 414</v>
      </c>
      <c r="K416" s="43">
        <v>-20</v>
      </c>
      <c r="L416" s="43">
        <f t="shared" si="98"/>
        <v>82.200000000000898</v>
      </c>
      <c r="M416" s="183"/>
      <c r="N416" s="37" t="str">
        <f t="shared" si="0"/>
        <v>MCSDESP4CPF - Desp. Moradia</v>
      </c>
      <c r="O416" s="37" t="str">
        <f t="shared" si="1"/>
        <v>DESP4CPF - Desp. Moradia</v>
      </c>
      <c r="P416" s="37" t="str">
        <f t="shared" si="2"/>
        <v>MCSDESP4CPF - Desp. Moradia</v>
      </c>
      <c r="Q416" s="37" t="str">
        <f t="shared" si="3"/>
        <v>MCSDESP4</v>
      </c>
      <c r="R416" s="37" t="str">
        <f t="shared" si="4"/>
        <v>MCSDESP4</v>
      </c>
      <c r="S416" s="31"/>
      <c r="T416" s="185">
        <f t="shared" si="5"/>
        <v>46143</v>
      </c>
      <c r="U416" s="181">
        <v>414</v>
      </c>
    </row>
    <row r="417" spans="2:21" s="177" customFormat="1" x14ac:dyDescent="0.25">
      <c r="B417" s="174" t="s">
        <v>25</v>
      </c>
      <c r="C417" s="51"/>
      <c r="D417" s="44" t="str">
        <f>INDEX(Cad_Natureza!$B$3:$C$52,MATCH('2026'!F417,Cad_Natureza!$C$3:$C$52,0),MATCH('2026'!D$2,Cad_Natureza!$B$3:$C$3,0))</f>
        <v>REC4</v>
      </c>
      <c r="E417" s="45" t="str">
        <f t="shared" si="96"/>
        <v>Receita 415</v>
      </c>
      <c r="F417" s="46" t="s">
        <v>57</v>
      </c>
      <c r="G417" s="44" t="s">
        <v>25</v>
      </c>
      <c r="H417" s="47">
        <v>46146</v>
      </c>
      <c r="I417" s="47"/>
      <c r="J417" s="48" t="str">
        <f t="shared" si="97"/>
        <v>Observação da receita 415</v>
      </c>
      <c r="K417" s="49">
        <v>300</v>
      </c>
      <c r="L417" s="49">
        <f t="shared" si="98"/>
        <v>382.2000000000009</v>
      </c>
      <c r="M417" s="51"/>
      <c r="N417" s="37" t="str">
        <f t="shared" si="0"/>
        <v>MCSREC4CPF - Transf. Da conta PJ para a conta PF</v>
      </c>
      <c r="O417" s="37" t="str">
        <f t="shared" si="1"/>
        <v>REC4CPF - Transf. Da conta PJ para a conta PF</v>
      </c>
      <c r="P417" s="37" t="str">
        <f t="shared" si="2"/>
        <v>MCSREC4CPF - Transf. Da conta PJ para a conta PF</v>
      </c>
      <c r="Q417" s="37" t="str">
        <f t="shared" si="3"/>
        <v>MCSREC4</v>
      </c>
      <c r="R417" s="37" t="str">
        <f t="shared" si="4"/>
        <v>MCSREC4</v>
      </c>
      <c r="S417" s="31"/>
      <c r="T417" s="176">
        <f t="shared" si="5"/>
        <v>46143</v>
      </c>
      <c r="U417" s="181">
        <v>415</v>
      </c>
    </row>
    <row r="418" spans="2:21" s="181" customFormat="1" x14ac:dyDescent="0.25">
      <c r="B418" s="182" t="s">
        <v>25</v>
      </c>
      <c r="C418" s="183"/>
      <c r="D418" s="54" t="str">
        <f>INDEX(Cad_Natureza!$B$3:$C$52,MATCH('2026'!F418,Cad_Natureza!$C$3:$C$52,0),MATCH('2026'!D$2,Cad_Natureza!$B$3:$C$3,0))</f>
        <v>DESP3</v>
      </c>
      <c r="E418" s="52" t="str">
        <f t="shared" si="96"/>
        <v>Despesa 416</v>
      </c>
      <c r="F418" s="53" t="s">
        <v>59</v>
      </c>
      <c r="G418" s="54" t="s">
        <v>25</v>
      </c>
      <c r="H418" s="55">
        <v>46146</v>
      </c>
      <c r="I418" s="55"/>
      <c r="J418" s="50" t="str">
        <f t="shared" si="97"/>
        <v>Observação da despesa 416</v>
      </c>
      <c r="K418" s="43">
        <v>-150</v>
      </c>
      <c r="L418" s="43">
        <f t="shared" si="98"/>
        <v>232.2000000000009</v>
      </c>
      <c r="M418" s="183"/>
      <c r="N418" s="37" t="str">
        <f t="shared" si="0"/>
        <v xml:space="preserve">MCSDESP3CPF - Desp. com veículo - Manut. / Gastos </v>
      </c>
      <c r="O418" s="37" t="str">
        <f t="shared" si="1"/>
        <v xml:space="preserve">DESP3CPF - Desp. com veículo - Manut. / Gastos </v>
      </c>
      <c r="P418" s="37" t="str">
        <f t="shared" si="2"/>
        <v xml:space="preserve">MCSDESP3CPF - Desp. com veículo - Manut. / Gastos </v>
      </c>
      <c r="Q418" s="37" t="str">
        <f t="shared" si="3"/>
        <v>MCSDESP3</v>
      </c>
      <c r="R418" s="37" t="str">
        <f t="shared" si="4"/>
        <v>MCSDESP3</v>
      </c>
      <c r="S418" s="31"/>
      <c r="T418" s="185">
        <f t="shared" si="5"/>
        <v>46143</v>
      </c>
      <c r="U418" s="181">
        <v>416</v>
      </c>
    </row>
    <row r="419" spans="2:21" s="181" customFormat="1" x14ac:dyDescent="0.25">
      <c r="B419" s="182" t="s">
        <v>25</v>
      </c>
      <c r="C419" s="183"/>
      <c r="D419" s="54" t="str">
        <f>INDEX(Cad_Natureza!$B$3:$C$52,MATCH('2026'!F419,Cad_Natureza!$C$3:$C$52,0),MATCH('2026'!D$2,Cad_Natureza!$B$3:$C$3,0))</f>
        <v>OPF2</v>
      </c>
      <c r="E419" s="52" t="str">
        <f t="shared" si="96"/>
        <v>Despesa 417</v>
      </c>
      <c r="F419" s="53" t="s">
        <v>64</v>
      </c>
      <c r="G419" s="54" t="s">
        <v>25</v>
      </c>
      <c r="H419" s="55">
        <v>46146</v>
      </c>
      <c r="I419" s="55"/>
      <c r="J419" s="50" t="str">
        <f t="shared" si="97"/>
        <v>Observação da despesa 417</v>
      </c>
      <c r="K419" s="43">
        <v>-70</v>
      </c>
      <c r="L419" s="43">
        <f t="shared" si="98"/>
        <v>162.2000000000009</v>
      </c>
      <c r="M419" s="183"/>
      <c r="N419" s="37" t="str">
        <f t="shared" si="0"/>
        <v>MCSOPF2CPF - Desp. Transporte / Combustível</v>
      </c>
      <c r="O419" s="37" t="str">
        <f t="shared" si="1"/>
        <v>OPF2CPF - Desp. Transporte / Combustível</v>
      </c>
      <c r="P419" s="37" t="str">
        <f t="shared" si="2"/>
        <v>MCSOPF2CPF - Desp. Transporte / Combustível</v>
      </c>
      <c r="Q419" s="37" t="str">
        <f t="shared" si="3"/>
        <v>MCSOPF2</v>
      </c>
      <c r="R419" s="37" t="str">
        <f t="shared" si="4"/>
        <v>MCSOPF2</v>
      </c>
      <c r="S419" s="31"/>
      <c r="T419" s="185">
        <f t="shared" si="5"/>
        <v>46143</v>
      </c>
      <c r="U419" s="181">
        <v>417</v>
      </c>
    </row>
    <row r="420" spans="2:21" s="177" customFormat="1" x14ac:dyDescent="0.25">
      <c r="B420" s="174" t="s">
        <v>25</v>
      </c>
      <c r="C420" s="51"/>
      <c r="D420" s="44" t="str">
        <f>INDEX(Cad_Natureza!$B$3:$C$52,MATCH('2026'!F420,Cad_Natureza!$C$3:$C$52,0),MATCH('2026'!D$2,Cad_Natureza!$B$3:$C$3,0))</f>
        <v>REC5</v>
      </c>
      <c r="E420" s="45" t="str">
        <f t="shared" si="96"/>
        <v>Receita 418</v>
      </c>
      <c r="F420" s="46" t="s">
        <v>63</v>
      </c>
      <c r="G420" s="44" t="s">
        <v>25</v>
      </c>
      <c r="H420" s="47">
        <v>46146</v>
      </c>
      <c r="I420" s="47"/>
      <c r="J420" s="48" t="str">
        <f t="shared" si="97"/>
        <v>Observação da receita 418</v>
      </c>
      <c r="K420" s="49">
        <v>49.99</v>
      </c>
      <c r="L420" s="49">
        <f t="shared" si="98"/>
        <v>212.19000000000091</v>
      </c>
      <c r="M420" s="51"/>
      <c r="N420" s="37" t="str">
        <f t="shared" si="0"/>
        <v>MCSREC5CPF - Outras receitas</v>
      </c>
      <c r="O420" s="37" t="str">
        <f t="shared" si="1"/>
        <v>REC5CPF - Outras receitas</v>
      </c>
      <c r="P420" s="37" t="str">
        <f t="shared" si="2"/>
        <v>MCSREC5CPF - Outras receitas</v>
      </c>
      <c r="Q420" s="37" t="str">
        <f t="shared" si="3"/>
        <v>MCSREC5</v>
      </c>
      <c r="R420" s="37" t="str">
        <f t="shared" si="4"/>
        <v>MCSREC5</v>
      </c>
      <c r="S420" s="31"/>
      <c r="T420" s="176">
        <f t="shared" si="5"/>
        <v>46143</v>
      </c>
      <c r="U420" s="181">
        <v>418</v>
      </c>
    </row>
    <row r="421" spans="2:21" s="181" customFormat="1" x14ac:dyDescent="0.25">
      <c r="B421" s="182" t="s">
        <v>25</v>
      </c>
      <c r="C421" s="183"/>
      <c r="D421" s="54" t="str">
        <f>INDEX(Cad_Natureza!$B$3:$C$52,MATCH('2026'!F421,Cad_Natureza!$C$3:$C$52,0),MATCH('2026'!D$2,Cad_Natureza!$B$3:$C$3,0))</f>
        <v>OPF2</v>
      </c>
      <c r="E421" s="52" t="str">
        <f t="shared" si="96"/>
        <v>Despesa 419</v>
      </c>
      <c r="F421" s="53" t="s">
        <v>64</v>
      </c>
      <c r="G421" s="54" t="s">
        <v>25</v>
      </c>
      <c r="H421" s="55">
        <v>46146</v>
      </c>
      <c r="I421" s="55"/>
      <c r="J421" s="50" t="str">
        <f t="shared" si="97"/>
        <v>Observação da despesa 419</v>
      </c>
      <c r="K421" s="43">
        <v>-50</v>
      </c>
      <c r="L421" s="43">
        <f t="shared" si="98"/>
        <v>162.19000000000091</v>
      </c>
      <c r="M421" s="183"/>
      <c r="N421" s="37" t="str">
        <f t="shared" ref="N421:N440" si="105">B421&amp;D421&amp;F421</f>
        <v>MCSOPF2CPF - Desp. Transporte / Combustível</v>
      </c>
      <c r="O421" s="37" t="str">
        <f t="shared" ref="O421:O440" si="106">D421&amp;F421</f>
        <v>OPF2CPF - Desp. Transporte / Combustível</v>
      </c>
      <c r="P421" s="37" t="str">
        <f t="shared" ref="P421:P440" si="107">"MCS"&amp;D421&amp;F421</f>
        <v>MCSOPF2CPF - Desp. Transporte / Combustível</v>
      </c>
      <c r="Q421" s="37" t="str">
        <f t="shared" ref="Q421:Q440" si="108">"MCS"&amp;D421</f>
        <v>MCSOPF2</v>
      </c>
      <c r="R421" s="37" t="str">
        <f t="shared" ref="R421:R440" si="109">B421&amp;D421</f>
        <v>MCSOPF2</v>
      </c>
      <c r="S421" s="31"/>
      <c r="T421" s="185">
        <f t="shared" ref="T421:T440" si="110">(1&amp;"/"&amp;MONTH(H421)&amp;"/"&amp;YEAR(H421))*1</f>
        <v>46143</v>
      </c>
      <c r="U421" s="181">
        <v>419</v>
      </c>
    </row>
    <row r="422" spans="2:21" s="181" customFormat="1" x14ac:dyDescent="0.25">
      <c r="B422" s="182" t="s">
        <v>25</v>
      </c>
      <c r="C422" s="183"/>
      <c r="D422" s="54" t="str">
        <f>INDEX(Cad_Natureza!$B$3:$C$52,MATCH('2026'!F422,Cad_Natureza!$C$3:$C$52,0),MATCH('2026'!D$2,Cad_Natureza!$B$3:$C$3,0))</f>
        <v>OPF1</v>
      </c>
      <c r="E422" s="52" t="str">
        <f t="shared" si="96"/>
        <v>Despesa 420</v>
      </c>
      <c r="F422" s="53" t="s">
        <v>67</v>
      </c>
      <c r="G422" s="54" t="s">
        <v>25</v>
      </c>
      <c r="H422" s="55">
        <v>46146</v>
      </c>
      <c r="I422" s="55"/>
      <c r="J422" s="50" t="str">
        <f t="shared" si="97"/>
        <v>Observação da despesa 420</v>
      </c>
      <c r="K422" s="43">
        <v>-20</v>
      </c>
      <c r="L422" s="43">
        <f t="shared" si="98"/>
        <v>142.19000000000091</v>
      </c>
      <c r="M422" s="183"/>
      <c r="N422" s="37" t="str">
        <f t="shared" si="105"/>
        <v>MCSOPF1CPF - Desp. Alimentação / Refeição</v>
      </c>
      <c r="O422" s="37" t="str">
        <f t="shared" si="106"/>
        <v>OPF1CPF - Desp. Alimentação / Refeição</v>
      </c>
      <c r="P422" s="37" t="str">
        <f t="shared" si="107"/>
        <v>MCSOPF1CPF - Desp. Alimentação / Refeição</v>
      </c>
      <c r="Q422" s="37" t="str">
        <f t="shared" si="108"/>
        <v>MCSOPF1</v>
      </c>
      <c r="R422" s="37" t="str">
        <f t="shared" si="109"/>
        <v>MCSOPF1</v>
      </c>
      <c r="S422" s="31"/>
      <c r="T422" s="185">
        <f t="shared" si="110"/>
        <v>46143</v>
      </c>
      <c r="U422" s="181">
        <v>420</v>
      </c>
    </row>
    <row r="423" spans="2:21" s="181" customFormat="1" x14ac:dyDescent="0.25">
      <c r="B423" s="182" t="s">
        <v>25</v>
      </c>
      <c r="C423" s="183"/>
      <c r="D423" s="54" t="str">
        <f>INDEX(Cad_Natureza!$B$3:$C$52,MATCH('2026'!F423,Cad_Natureza!$C$3:$C$52,0),MATCH('2026'!D$2,Cad_Natureza!$B$3:$C$3,0))</f>
        <v>OPF1</v>
      </c>
      <c r="E423" s="52" t="str">
        <f t="shared" si="96"/>
        <v>Despesa 421</v>
      </c>
      <c r="F423" s="53" t="s">
        <v>67</v>
      </c>
      <c r="G423" s="54" t="s">
        <v>25</v>
      </c>
      <c r="H423" s="55">
        <v>46147</v>
      </c>
      <c r="I423" s="55"/>
      <c r="J423" s="50" t="str">
        <f t="shared" si="97"/>
        <v>Observação da despesa 421</v>
      </c>
      <c r="K423" s="43">
        <v>-20</v>
      </c>
      <c r="L423" s="43">
        <f t="shared" si="98"/>
        <v>122.19000000000091</v>
      </c>
      <c r="M423" s="183"/>
      <c r="N423" s="37" t="str">
        <f t="shared" si="105"/>
        <v>MCSOPF1CPF - Desp. Alimentação / Refeição</v>
      </c>
      <c r="O423" s="37" t="str">
        <f t="shared" si="106"/>
        <v>OPF1CPF - Desp. Alimentação / Refeição</v>
      </c>
      <c r="P423" s="37" t="str">
        <f t="shared" si="107"/>
        <v>MCSOPF1CPF - Desp. Alimentação / Refeição</v>
      </c>
      <c r="Q423" s="37" t="str">
        <f t="shared" si="108"/>
        <v>MCSOPF1</v>
      </c>
      <c r="R423" s="37" t="str">
        <f t="shared" si="109"/>
        <v>MCSOPF1</v>
      </c>
      <c r="S423" s="31"/>
      <c r="T423" s="185">
        <f t="shared" si="110"/>
        <v>46143</v>
      </c>
      <c r="U423" s="181">
        <v>421</v>
      </c>
    </row>
    <row r="424" spans="2:21" s="181" customFormat="1" x14ac:dyDescent="0.25">
      <c r="B424" s="182" t="s">
        <v>25</v>
      </c>
      <c r="C424" s="183"/>
      <c r="D424" s="54" t="str">
        <f>INDEX(Cad_Natureza!$B$3:$C$52,MATCH('2026'!F424,Cad_Natureza!$C$3:$C$52,0),MATCH('2026'!D$2,Cad_Natureza!$B$3:$C$3,0))</f>
        <v>GAST1</v>
      </c>
      <c r="E424" s="52" t="str">
        <f t="shared" si="96"/>
        <v>Despesa 422</v>
      </c>
      <c r="F424" s="53" t="s">
        <v>65</v>
      </c>
      <c r="G424" s="54" t="s">
        <v>25</v>
      </c>
      <c r="H424" s="55">
        <v>46147</v>
      </c>
      <c r="I424" s="55"/>
      <c r="J424" s="50" t="str">
        <f t="shared" si="97"/>
        <v>Observação da despesa 422</v>
      </c>
      <c r="K424" s="43">
        <v>-18.600000000000001</v>
      </c>
      <c r="L424" s="43">
        <f t="shared" si="98"/>
        <v>103.59000000000091</v>
      </c>
      <c r="M424" s="183"/>
      <c r="N424" s="37" t="str">
        <f t="shared" si="105"/>
        <v>MCSGAST1CPF - Desp. Lazer e Entretenimento - Bares</v>
      </c>
      <c r="O424" s="37" t="str">
        <f t="shared" si="106"/>
        <v>GAST1CPF - Desp. Lazer e Entretenimento - Bares</v>
      </c>
      <c r="P424" s="37" t="str">
        <f t="shared" si="107"/>
        <v>MCSGAST1CPF - Desp. Lazer e Entretenimento - Bares</v>
      </c>
      <c r="Q424" s="37" t="str">
        <f t="shared" si="108"/>
        <v>MCSGAST1</v>
      </c>
      <c r="R424" s="37" t="str">
        <f t="shared" si="109"/>
        <v>MCSGAST1</v>
      </c>
      <c r="S424" s="31"/>
      <c r="T424" s="185">
        <f t="shared" si="110"/>
        <v>46143</v>
      </c>
      <c r="U424" s="181">
        <v>422</v>
      </c>
    </row>
    <row r="425" spans="2:21" s="181" customFormat="1" x14ac:dyDescent="0.25">
      <c r="B425" s="182" t="s">
        <v>25</v>
      </c>
      <c r="C425" s="183"/>
      <c r="D425" s="54" t="str">
        <f>INDEX(Cad_Natureza!$B$3:$C$52,MATCH('2026'!F425,Cad_Natureza!$C$3:$C$52,0),MATCH('2026'!D$2,Cad_Natureza!$B$3:$C$3,0))</f>
        <v>DESP4</v>
      </c>
      <c r="E425" s="52" t="str">
        <f t="shared" si="96"/>
        <v>Despesa 423</v>
      </c>
      <c r="F425" s="53" t="s">
        <v>74</v>
      </c>
      <c r="G425" s="54" t="s">
        <v>25</v>
      </c>
      <c r="H425" s="55">
        <v>46147</v>
      </c>
      <c r="I425" s="55"/>
      <c r="J425" s="50" t="str">
        <f t="shared" si="97"/>
        <v>Observação da despesa 423</v>
      </c>
      <c r="K425" s="43">
        <v>-9</v>
      </c>
      <c r="L425" s="43">
        <f t="shared" si="98"/>
        <v>94.590000000000913</v>
      </c>
      <c r="M425" s="183"/>
      <c r="N425" s="37" t="str">
        <f t="shared" si="105"/>
        <v>MCSDESP4CPF - Desp. Moradia</v>
      </c>
      <c r="O425" s="37" t="str">
        <f t="shared" si="106"/>
        <v>DESP4CPF - Desp. Moradia</v>
      </c>
      <c r="P425" s="37" t="str">
        <f t="shared" si="107"/>
        <v>MCSDESP4CPF - Desp. Moradia</v>
      </c>
      <c r="Q425" s="37" t="str">
        <f t="shared" si="108"/>
        <v>MCSDESP4</v>
      </c>
      <c r="R425" s="37" t="str">
        <f t="shared" si="109"/>
        <v>MCSDESP4</v>
      </c>
      <c r="S425" s="31"/>
      <c r="T425" s="185">
        <f t="shared" si="110"/>
        <v>46143</v>
      </c>
      <c r="U425" s="181">
        <v>423</v>
      </c>
    </row>
    <row r="426" spans="2:21" s="181" customFormat="1" x14ac:dyDescent="0.25">
      <c r="B426" s="182" t="s">
        <v>25</v>
      </c>
      <c r="C426" s="183"/>
      <c r="D426" s="54" t="str">
        <f>INDEX(Cad_Natureza!$B$3:$C$52,MATCH('2026'!F426,Cad_Natureza!$C$3:$C$52,0),MATCH('2026'!D$2,Cad_Natureza!$B$3:$C$3,0))</f>
        <v>FIN2</v>
      </c>
      <c r="E426" s="52" t="str">
        <f t="shared" si="96"/>
        <v>Despesa 424</v>
      </c>
      <c r="F426" s="53" t="s">
        <v>72</v>
      </c>
      <c r="G426" s="54" t="s">
        <v>25</v>
      </c>
      <c r="H426" s="55">
        <v>46147</v>
      </c>
      <c r="I426" s="55"/>
      <c r="J426" s="50" t="str">
        <f t="shared" si="97"/>
        <v>Observação da despesa 424</v>
      </c>
      <c r="K426" s="43">
        <v>-28</v>
      </c>
      <c r="L426" s="43">
        <f t="shared" si="98"/>
        <v>66.590000000000913</v>
      </c>
      <c r="M426" s="183"/>
      <c r="N426" s="37" t="str">
        <f t="shared" si="105"/>
        <v>MCSFIN2CPF - Desp. Financeiras - Juros / Tarifas</v>
      </c>
      <c r="O426" s="37" t="str">
        <f t="shared" si="106"/>
        <v>FIN2CPF - Desp. Financeiras - Juros / Tarifas</v>
      </c>
      <c r="P426" s="37" t="str">
        <f t="shared" si="107"/>
        <v>MCSFIN2CPF - Desp. Financeiras - Juros / Tarifas</v>
      </c>
      <c r="Q426" s="37" t="str">
        <f t="shared" si="108"/>
        <v>MCSFIN2</v>
      </c>
      <c r="R426" s="37" t="str">
        <f t="shared" si="109"/>
        <v>MCSFIN2</v>
      </c>
      <c r="S426" s="31"/>
      <c r="T426" s="185">
        <f t="shared" si="110"/>
        <v>46143</v>
      </c>
      <c r="U426" s="181">
        <v>424</v>
      </c>
    </row>
    <row r="427" spans="2:21" s="181" customFormat="1" x14ac:dyDescent="0.25">
      <c r="B427" s="182" t="s">
        <v>25</v>
      </c>
      <c r="C427" s="183"/>
      <c r="D427" s="54" t="str">
        <f>INDEX(Cad_Natureza!$B$3:$C$52,MATCH('2026'!F427,Cad_Natureza!$C$3:$C$52,0),MATCH('2026'!D$2,Cad_Natureza!$B$3:$C$3,0))</f>
        <v>OPF1</v>
      </c>
      <c r="E427" s="52" t="str">
        <f t="shared" si="96"/>
        <v>Despesa 425</v>
      </c>
      <c r="F427" s="53" t="s">
        <v>67</v>
      </c>
      <c r="G427" s="54" t="s">
        <v>25</v>
      </c>
      <c r="H427" s="55">
        <v>46148</v>
      </c>
      <c r="I427" s="55"/>
      <c r="J427" s="50" t="str">
        <f t="shared" si="97"/>
        <v>Observação da despesa 425</v>
      </c>
      <c r="K427" s="43">
        <v>-22</v>
      </c>
      <c r="L427" s="43">
        <f t="shared" si="98"/>
        <v>44.590000000000913</v>
      </c>
      <c r="M427" s="183"/>
      <c r="N427" s="37" t="str">
        <f t="shared" si="105"/>
        <v>MCSOPF1CPF - Desp. Alimentação / Refeição</v>
      </c>
      <c r="O427" s="37" t="str">
        <f t="shared" si="106"/>
        <v>OPF1CPF - Desp. Alimentação / Refeição</v>
      </c>
      <c r="P427" s="37" t="str">
        <f t="shared" si="107"/>
        <v>MCSOPF1CPF - Desp. Alimentação / Refeição</v>
      </c>
      <c r="Q427" s="37" t="str">
        <f t="shared" si="108"/>
        <v>MCSOPF1</v>
      </c>
      <c r="R427" s="37" t="str">
        <f t="shared" si="109"/>
        <v>MCSOPF1</v>
      </c>
      <c r="S427" s="31"/>
      <c r="T427" s="185">
        <f t="shared" si="110"/>
        <v>46143</v>
      </c>
      <c r="U427" s="181">
        <v>425</v>
      </c>
    </row>
    <row r="428" spans="2:21" s="181" customFormat="1" x14ac:dyDescent="0.25">
      <c r="B428" s="182" t="s">
        <v>25</v>
      </c>
      <c r="C428" s="183"/>
      <c r="D428" s="54" t="str">
        <f>INDEX(Cad_Natureza!$B$3:$C$52,MATCH('2026'!F428,Cad_Natureza!$C$3:$C$52,0),MATCH('2026'!D$2,Cad_Natureza!$B$3:$C$3,0))</f>
        <v>GAST2</v>
      </c>
      <c r="E428" s="52" t="str">
        <f t="shared" si="96"/>
        <v>Despesa 426</v>
      </c>
      <c r="F428" s="53" t="s">
        <v>66</v>
      </c>
      <c r="G428" s="54" t="s">
        <v>25</v>
      </c>
      <c r="H428" s="55">
        <v>46148</v>
      </c>
      <c r="I428" s="55"/>
      <c r="J428" s="50" t="str">
        <f t="shared" si="97"/>
        <v>Observação da despesa 426</v>
      </c>
      <c r="K428" s="43">
        <v>-3</v>
      </c>
      <c r="L428" s="43">
        <f t="shared" si="98"/>
        <v>41.590000000000913</v>
      </c>
      <c r="M428" s="183"/>
      <c r="N428" s="37" t="str">
        <f t="shared" si="105"/>
        <v>MCSGAST2CPF - Desp. Lazer e Entretenimento - Cigarro</v>
      </c>
      <c r="O428" s="37" t="str">
        <f t="shared" si="106"/>
        <v>GAST2CPF - Desp. Lazer e Entretenimento - Cigarro</v>
      </c>
      <c r="P428" s="37" t="str">
        <f t="shared" si="107"/>
        <v>MCSGAST2CPF - Desp. Lazer e Entretenimento - Cigarro</v>
      </c>
      <c r="Q428" s="37" t="str">
        <f t="shared" si="108"/>
        <v>MCSGAST2</v>
      </c>
      <c r="R428" s="37" t="str">
        <f t="shared" si="109"/>
        <v>MCSGAST2</v>
      </c>
      <c r="S428" s="31"/>
      <c r="T428" s="185">
        <f t="shared" si="110"/>
        <v>46143</v>
      </c>
      <c r="U428" s="181">
        <v>426</v>
      </c>
    </row>
    <row r="429" spans="2:21" s="177" customFormat="1" x14ac:dyDescent="0.25">
      <c r="B429" s="174" t="s">
        <v>25</v>
      </c>
      <c r="C429" s="51"/>
      <c r="D429" s="44" t="str">
        <f>INDEX(Cad_Natureza!$B$3:$C$52,MATCH('2026'!F429,Cad_Natureza!$C$3:$C$52,0),MATCH('2026'!D$2,Cad_Natureza!$B$3:$C$3,0))</f>
        <v>REC7</v>
      </c>
      <c r="E429" s="45" t="str">
        <f t="shared" si="96"/>
        <v>Receita 427</v>
      </c>
      <c r="F429" s="46" t="s">
        <v>83</v>
      </c>
      <c r="G429" s="44" t="s">
        <v>25</v>
      </c>
      <c r="H429" s="47">
        <v>46148</v>
      </c>
      <c r="I429" s="47"/>
      <c r="J429" s="48" t="str">
        <f t="shared" si="97"/>
        <v>Observação da receita 427</v>
      </c>
      <c r="K429" s="49">
        <v>170</v>
      </c>
      <c r="L429" s="49">
        <f t="shared" si="98"/>
        <v>211.59000000000091</v>
      </c>
      <c r="M429" s="51"/>
      <c r="N429" s="37" t="str">
        <f t="shared" si="105"/>
        <v>MCSREC7CPF - Rec. Financeiras - Empréstimos</v>
      </c>
      <c r="O429" s="37" t="str">
        <f t="shared" si="106"/>
        <v>REC7CPF - Rec. Financeiras - Empréstimos</v>
      </c>
      <c r="P429" s="37" t="str">
        <f t="shared" si="107"/>
        <v>MCSREC7CPF - Rec. Financeiras - Empréstimos</v>
      </c>
      <c r="Q429" s="37" t="str">
        <f t="shared" si="108"/>
        <v>MCSREC7</v>
      </c>
      <c r="R429" s="37" t="str">
        <f t="shared" si="109"/>
        <v>MCSREC7</v>
      </c>
      <c r="S429" s="31"/>
      <c r="T429" s="176">
        <f t="shared" si="110"/>
        <v>46143</v>
      </c>
      <c r="U429" s="181">
        <v>427</v>
      </c>
    </row>
    <row r="430" spans="2:21" s="181" customFormat="1" x14ac:dyDescent="0.25">
      <c r="B430" s="182" t="s">
        <v>25</v>
      </c>
      <c r="C430" s="183"/>
      <c r="D430" s="54" t="str">
        <f>INDEX(Cad_Natureza!$B$3:$C$52,MATCH('2026'!F430,Cad_Natureza!$C$3:$C$52,0),MATCH('2026'!D$2,Cad_Natureza!$B$3:$C$3,0))</f>
        <v>OPF2</v>
      </c>
      <c r="E430" s="52" t="str">
        <f t="shared" si="96"/>
        <v>Despesa 428</v>
      </c>
      <c r="F430" s="53" t="s">
        <v>64</v>
      </c>
      <c r="G430" s="54" t="s">
        <v>25</v>
      </c>
      <c r="H430" s="55">
        <v>46148</v>
      </c>
      <c r="I430" s="55"/>
      <c r="J430" s="50" t="str">
        <f t="shared" si="97"/>
        <v>Observação da despesa 428</v>
      </c>
      <c r="K430" s="43">
        <v>-80</v>
      </c>
      <c r="L430" s="43">
        <f t="shared" si="98"/>
        <v>131.59000000000091</v>
      </c>
      <c r="M430" s="183"/>
      <c r="N430" s="37" t="str">
        <f t="shared" si="105"/>
        <v>MCSOPF2CPF - Desp. Transporte / Combustível</v>
      </c>
      <c r="O430" s="37" t="str">
        <f t="shared" si="106"/>
        <v>OPF2CPF - Desp. Transporte / Combustível</v>
      </c>
      <c r="P430" s="37" t="str">
        <f t="shared" si="107"/>
        <v>MCSOPF2CPF - Desp. Transporte / Combustível</v>
      </c>
      <c r="Q430" s="37" t="str">
        <f t="shared" si="108"/>
        <v>MCSOPF2</v>
      </c>
      <c r="R430" s="37" t="str">
        <f t="shared" si="109"/>
        <v>MCSOPF2</v>
      </c>
      <c r="S430" s="31"/>
      <c r="T430" s="185">
        <f t="shared" si="110"/>
        <v>46143</v>
      </c>
      <c r="U430" s="181">
        <v>428</v>
      </c>
    </row>
    <row r="431" spans="2:21" s="181" customFormat="1" x14ac:dyDescent="0.25">
      <c r="B431" s="182" t="s">
        <v>25</v>
      </c>
      <c r="C431" s="183"/>
      <c r="D431" s="54" t="str">
        <f>INDEX(Cad_Natureza!$B$3:$C$52,MATCH('2026'!F431,Cad_Natureza!$C$3:$C$52,0),MATCH('2026'!D$2,Cad_Natureza!$B$3:$C$3,0))</f>
        <v>GAST2</v>
      </c>
      <c r="E431" s="52" t="str">
        <f t="shared" si="96"/>
        <v>Despesa 429</v>
      </c>
      <c r="F431" s="53" t="s">
        <v>66</v>
      </c>
      <c r="G431" s="54" t="s">
        <v>25</v>
      </c>
      <c r="H431" s="55">
        <v>46148</v>
      </c>
      <c r="I431" s="55"/>
      <c r="J431" s="50" t="str">
        <f t="shared" si="97"/>
        <v>Observação da despesa 429</v>
      </c>
      <c r="K431" s="43">
        <v>-35</v>
      </c>
      <c r="L431" s="43">
        <f t="shared" si="98"/>
        <v>96.590000000000913</v>
      </c>
      <c r="M431" s="183"/>
      <c r="N431" s="37" t="str">
        <f t="shared" si="105"/>
        <v>MCSGAST2CPF - Desp. Lazer e Entretenimento - Cigarro</v>
      </c>
      <c r="O431" s="37" t="str">
        <f t="shared" si="106"/>
        <v>GAST2CPF - Desp. Lazer e Entretenimento - Cigarro</v>
      </c>
      <c r="P431" s="37" t="str">
        <f t="shared" si="107"/>
        <v>MCSGAST2CPF - Desp. Lazer e Entretenimento - Cigarro</v>
      </c>
      <c r="Q431" s="37" t="str">
        <f t="shared" si="108"/>
        <v>MCSGAST2</v>
      </c>
      <c r="R431" s="37" t="str">
        <f t="shared" si="109"/>
        <v>MCSGAST2</v>
      </c>
      <c r="S431" s="31"/>
      <c r="T431" s="185">
        <f t="shared" si="110"/>
        <v>46143</v>
      </c>
      <c r="U431" s="181">
        <v>429</v>
      </c>
    </row>
    <row r="432" spans="2:21" s="181" customFormat="1" x14ac:dyDescent="0.25">
      <c r="B432" s="182" t="s">
        <v>25</v>
      </c>
      <c r="C432" s="183"/>
      <c r="D432" s="54" t="str">
        <f>INDEX(Cad_Natureza!$B$3:$C$52,MATCH('2026'!F432,Cad_Natureza!$C$3:$C$52,0),MATCH('2026'!D$2,Cad_Natureza!$B$3:$C$3,0))</f>
        <v>DESP4</v>
      </c>
      <c r="E432" s="52" t="str">
        <f t="shared" si="96"/>
        <v>Despesa 430</v>
      </c>
      <c r="F432" s="53" t="s">
        <v>74</v>
      </c>
      <c r="G432" s="54" t="s">
        <v>25</v>
      </c>
      <c r="H432" s="55">
        <v>46148</v>
      </c>
      <c r="I432" s="55"/>
      <c r="J432" s="50" t="str">
        <f t="shared" si="97"/>
        <v>Observação da despesa 430</v>
      </c>
      <c r="K432" s="43">
        <v>-9</v>
      </c>
      <c r="L432" s="43">
        <f t="shared" si="98"/>
        <v>87.590000000000913</v>
      </c>
      <c r="M432" s="183"/>
      <c r="N432" s="37" t="str">
        <f t="shared" si="105"/>
        <v>MCSDESP4CPF - Desp. Moradia</v>
      </c>
      <c r="O432" s="37" t="str">
        <f t="shared" si="106"/>
        <v>DESP4CPF - Desp. Moradia</v>
      </c>
      <c r="P432" s="37" t="str">
        <f t="shared" si="107"/>
        <v>MCSDESP4CPF - Desp. Moradia</v>
      </c>
      <c r="Q432" s="37" t="str">
        <f t="shared" si="108"/>
        <v>MCSDESP4</v>
      </c>
      <c r="R432" s="37" t="str">
        <f t="shared" si="109"/>
        <v>MCSDESP4</v>
      </c>
      <c r="S432" s="31"/>
      <c r="T432" s="185">
        <f t="shared" si="110"/>
        <v>46143</v>
      </c>
      <c r="U432" s="181">
        <v>430</v>
      </c>
    </row>
    <row r="433" spans="2:21" s="181" customFormat="1" x14ac:dyDescent="0.25">
      <c r="B433" s="182" t="s">
        <v>25</v>
      </c>
      <c r="C433" s="183"/>
      <c r="D433" s="54" t="str">
        <f>INDEX(Cad_Natureza!$B$3:$C$52,MATCH('2026'!F433,Cad_Natureza!$C$3:$C$52,0),MATCH('2026'!D$2,Cad_Natureza!$B$3:$C$3,0))</f>
        <v>GAST1</v>
      </c>
      <c r="E433" s="52" t="str">
        <f t="shared" si="96"/>
        <v>Despesa 431</v>
      </c>
      <c r="F433" s="53" t="s">
        <v>65</v>
      </c>
      <c r="G433" s="54" t="s">
        <v>25</v>
      </c>
      <c r="H433" s="55">
        <v>46148</v>
      </c>
      <c r="I433" s="55"/>
      <c r="J433" s="50" t="str">
        <f t="shared" si="97"/>
        <v>Observação da despesa 431</v>
      </c>
      <c r="K433" s="43">
        <v>-39</v>
      </c>
      <c r="L433" s="43">
        <f t="shared" si="98"/>
        <v>48.590000000000913</v>
      </c>
      <c r="M433" s="183"/>
      <c r="N433" s="37" t="str">
        <f t="shared" si="105"/>
        <v>MCSGAST1CPF - Desp. Lazer e Entretenimento - Bares</v>
      </c>
      <c r="O433" s="37" t="str">
        <f t="shared" si="106"/>
        <v>GAST1CPF - Desp. Lazer e Entretenimento - Bares</v>
      </c>
      <c r="P433" s="37" t="str">
        <f t="shared" si="107"/>
        <v>MCSGAST1CPF - Desp. Lazer e Entretenimento - Bares</v>
      </c>
      <c r="Q433" s="37" t="str">
        <f t="shared" si="108"/>
        <v>MCSGAST1</v>
      </c>
      <c r="R433" s="37" t="str">
        <f t="shared" si="109"/>
        <v>MCSGAST1</v>
      </c>
      <c r="S433" s="31"/>
      <c r="T433" s="185">
        <f t="shared" si="110"/>
        <v>46143</v>
      </c>
      <c r="U433" s="181">
        <v>431</v>
      </c>
    </row>
    <row r="434" spans="2:21" s="181" customFormat="1" x14ac:dyDescent="0.25">
      <c r="B434" s="182" t="s">
        <v>25</v>
      </c>
      <c r="C434" s="183"/>
      <c r="D434" s="54" t="str">
        <f>INDEX(Cad_Natureza!$B$3:$C$52,MATCH('2026'!F434,Cad_Natureza!$C$3:$C$52,0),MATCH('2026'!D$2,Cad_Natureza!$B$3:$C$3,0))</f>
        <v>OPF1</v>
      </c>
      <c r="E434" s="52" t="str">
        <f t="shared" si="96"/>
        <v>Despesa 432</v>
      </c>
      <c r="F434" s="53" t="s">
        <v>67</v>
      </c>
      <c r="G434" s="54" t="s">
        <v>25</v>
      </c>
      <c r="H434" s="55">
        <v>46149</v>
      </c>
      <c r="I434" s="55"/>
      <c r="J434" s="50" t="str">
        <f t="shared" si="97"/>
        <v>Observação da despesa 432</v>
      </c>
      <c r="K434" s="43">
        <v>-20</v>
      </c>
      <c r="L434" s="43">
        <f t="shared" si="98"/>
        <v>28.590000000000913</v>
      </c>
      <c r="M434" s="183"/>
      <c r="N434" s="37" t="str">
        <f t="shared" si="105"/>
        <v>MCSOPF1CPF - Desp. Alimentação / Refeição</v>
      </c>
      <c r="O434" s="37" t="str">
        <f t="shared" si="106"/>
        <v>OPF1CPF - Desp. Alimentação / Refeição</v>
      </c>
      <c r="P434" s="37" t="str">
        <f t="shared" si="107"/>
        <v>MCSOPF1CPF - Desp. Alimentação / Refeição</v>
      </c>
      <c r="Q434" s="37" t="str">
        <f t="shared" si="108"/>
        <v>MCSOPF1</v>
      </c>
      <c r="R434" s="37" t="str">
        <f t="shared" si="109"/>
        <v>MCSOPF1</v>
      </c>
      <c r="S434" s="31"/>
      <c r="T434" s="185">
        <f t="shared" si="110"/>
        <v>46143</v>
      </c>
      <c r="U434" s="181">
        <v>432</v>
      </c>
    </row>
    <row r="435" spans="2:21" s="177" customFormat="1" x14ac:dyDescent="0.25">
      <c r="B435" s="174" t="s">
        <v>25</v>
      </c>
      <c r="C435" s="51"/>
      <c r="D435" s="44" t="str">
        <f>INDEX(Cad_Natureza!$B$3:$C$52,MATCH('2026'!F435,Cad_Natureza!$C$3:$C$52,0),MATCH('2026'!D$2,Cad_Natureza!$B$3:$C$3,0))</f>
        <v>REC4</v>
      </c>
      <c r="E435" s="45" t="str">
        <f t="shared" si="96"/>
        <v>Receita 433</v>
      </c>
      <c r="F435" s="46" t="s">
        <v>57</v>
      </c>
      <c r="G435" s="44" t="s">
        <v>25</v>
      </c>
      <c r="H435" s="47">
        <v>46149</v>
      </c>
      <c r="I435" s="47"/>
      <c r="J435" s="48" t="str">
        <f t="shared" si="97"/>
        <v>Observação da receita 433</v>
      </c>
      <c r="K435" s="49">
        <v>1000</v>
      </c>
      <c r="L435" s="49">
        <f t="shared" si="98"/>
        <v>1028.5900000000008</v>
      </c>
      <c r="M435" s="51"/>
      <c r="N435" s="37" t="str">
        <f t="shared" si="105"/>
        <v>MCSREC4CPF - Transf. Da conta PJ para a conta PF</v>
      </c>
      <c r="O435" s="37" t="str">
        <f t="shared" si="106"/>
        <v>REC4CPF - Transf. Da conta PJ para a conta PF</v>
      </c>
      <c r="P435" s="37" t="str">
        <f t="shared" si="107"/>
        <v>MCSREC4CPF - Transf. Da conta PJ para a conta PF</v>
      </c>
      <c r="Q435" s="37" t="str">
        <f t="shared" si="108"/>
        <v>MCSREC4</v>
      </c>
      <c r="R435" s="37" t="str">
        <f t="shared" si="109"/>
        <v>MCSREC4</v>
      </c>
      <c r="S435" s="31"/>
      <c r="T435" s="176">
        <f t="shared" si="110"/>
        <v>46143</v>
      </c>
      <c r="U435" s="181">
        <v>433</v>
      </c>
    </row>
    <row r="436" spans="2:21" s="181" customFormat="1" x14ac:dyDescent="0.25">
      <c r="B436" s="182" t="s">
        <v>25</v>
      </c>
      <c r="C436" s="183"/>
      <c r="D436" s="54" t="str">
        <f>INDEX(Cad_Natureza!$B$3:$C$52,MATCH('2026'!F436,Cad_Natureza!$C$3:$C$52,0),MATCH('2026'!D$2,Cad_Natureza!$B$3:$C$3,0))</f>
        <v>GAST1</v>
      </c>
      <c r="E436" s="52" t="str">
        <f t="shared" si="96"/>
        <v>Despesa 434</v>
      </c>
      <c r="F436" s="53" t="s">
        <v>65</v>
      </c>
      <c r="G436" s="54" t="s">
        <v>25</v>
      </c>
      <c r="H436" s="55">
        <v>46150</v>
      </c>
      <c r="I436" s="55"/>
      <c r="J436" s="50" t="str">
        <f t="shared" si="97"/>
        <v>Observação da despesa 434</v>
      </c>
      <c r="K436" s="43">
        <v>-2</v>
      </c>
      <c r="L436" s="43">
        <f t="shared" si="98"/>
        <v>1026.5900000000008</v>
      </c>
      <c r="M436" s="183"/>
      <c r="N436" s="37" t="str">
        <f t="shared" si="105"/>
        <v>MCSGAST1CPF - Desp. Lazer e Entretenimento - Bares</v>
      </c>
      <c r="O436" s="37" t="str">
        <f t="shared" si="106"/>
        <v>GAST1CPF - Desp. Lazer e Entretenimento - Bares</v>
      </c>
      <c r="P436" s="37" t="str">
        <f t="shared" si="107"/>
        <v>MCSGAST1CPF - Desp. Lazer e Entretenimento - Bares</v>
      </c>
      <c r="Q436" s="37" t="str">
        <f t="shared" si="108"/>
        <v>MCSGAST1</v>
      </c>
      <c r="R436" s="37" t="str">
        <f t="shared" si="109"/>
        <v>MCSGAST1</v>
      </c>
      <c r="S436" s="31"/>
      <c r="T436" s="185">
        <f t="shared" si="110"/>
        <v>46143</v>
      </c>
      <c r="U436" s="181">
        <v>434</v>
      </c>
    </row>
    <row r="437" spans="2:21" s="181" customFormat="1" x14ac:dyDescent="0.25">
      <c r="B437" s="182" t="s">
        <v>25</v>
      </c>
      <c r="C437" s="183"/>
      <c r="D437" s="54" t="str">
        <f>INDEX(Cad_Natureza!$B$3:$C$52,MATCH('2026'!F437,Cad_Natureza!$C$3:$C$52,0),MATCH('2026'!D$2,Cad_Natureza!$B$3:$C$3,0))</f>
        <v>OPF1</v>
      </c>
      <c r="E437" s="52" t="str">
        <f t="shared" si="96"/>
        <v>Despesa 435</v>
      </c>
      <c r="F437" s="53" t="s">
        <v>67</v>
      </c>
      <c r="G437" s="54" t="s">
        <v>25</v>
      </c>
      <c r="H437" s="55">
        <v>46150</v>
      </c>
      <c r="I437" s="55"/>
      <c r="J437" s="50" t="str">
        <f t="shared" si="97"/>
        <v>Observação da despesa 435</v>
      </c>
      <c r="K437" s="43">
        <v>-20</v>
      </c>
      <c r="L437" s="43">
        <f t="shared" si="98"/>
        <v>1006.5900000000008</v>
      </c>
      <c r="M437" s="183"/>
      <c r="N437" s="37" t="str">
        <f t="shared" si="105"/>
        <v>MCSOPF1CPF - Desp. Alimentação / Refeição</v>
      </c>
      <c r="O437" s="37" t="str">
        <f t="shared" si="106"/>
        <v>OPF1CPF - Desp. Alimentação / Refeição</v>
      </c>
      <c r="P437" s="37" t="str">
        <f t="shared" si="107"/>
        <v>MCSOPF1CPF - Desp. Alimentação / Refeição</v>
      </c>
      <c r="Q437" s="37" t="str">
        <f t="shared" si="108"/>
        <v>MCSOPF1</v>
      </c>
      <c r="R437" s="37" t="str">
        <f t="shared" si="109"/>
        <v>MCSOPF1</v>
      </c>
      <c r="S437" s="31"/>
      <c r="T437" s="185">
        <f t="shared" si="110"/>
        <v>46143</v>
      </c>
      <c r="U437" s="181">
        <v>435</v>
      </c>
    </row>
    <row r="438" spans="2:21" s="177" customFormat="1" x14ac:dyDescent="0.25">
      <c r="B438" s="174" t="s">
        <v>25</v>
      </c>
      <c r="C438" s="51"/>
      <c r="D438" s="44" t="str">
        <f>INDEX(Cad_Natureza!$B$3:$C$52,MATCH('2026'!F438,Cad_Natureza!$C$3:$C$52,0),MATCH('2026'!D$2,Cad_Natureza!$B$3:$C$3,0))</f>
        <v>OPF1</v>
      </c>
      <c r="E438" s="45" t="str">
        <f t="shared" si="96"/>
        <v>Receita 436</v>
      </c>
      <c r="F438" s="46" t="s">
        <v>67</v>
      </c>
      <c r="G438" s="44" t="s">
        <v>25</v>
      </c>
      <c r="H438" s="47">
        <v>46150</v>
      </c>
      <c r="I438" s="47"/>
      <c r="J438" s="48" t="str">
        <f t="shared" si="97"/>
        <v>Observação da receita 436</v>
      </c>
      <c r="K438" s="49">
        <v>20</v>
      </c>
      <c r="L438" s="49">
        <f t="shared" si="98"/>
        <v>1026.5900000000008</v>
      </c>
      <c r="M438" s="51"/>
      <c r="N438" s="37" t="str">
        <f t="shared" si="105"/>
        <v>MCSOPF1CPF - Desp. Alimentação / Refeição</v>
      </c>
      <c r="O438" s="37" t="str">
        <f t="shared" si="106"/>
        <v>OPF1CPF - Desp. Alimentação / Refeição</v>
      </c>
      <c r="P438" s="37" t="str">
        <f t="shared" si="107"/>
        <v>MCSOPF1CPF - Desp. Alimentação / Refeição</v>
      </c>
      <c r="Q438" s="37" t="str">
        <f t="shared" si="108"/>
        <v>MCSOPF1</v>
      </c>
      <c r="R438" s="37" t="str">
        <f t="shared" si="109"/>
        <v>MCSOPF1</v>
      </c>
      <c r="S438" s="31"/>
      <c r="T438" s="176">
        <f t="shared" si="110"/>
        <v>46143</v>
      </c>
      <c r="U438" s="181">
        <v>436</v>
      </c>
    </row>
    <row r="439" spans="2:21" s="181" customFormat="1" x14ac:dyDescent="0.25">
      <c r="B439" s="182" t="s">
        <v>25</v>
      </c>
      <c r="C439" s="183"/>
      <c r="D439" s="54" t="str">
        <f>INDEX(Cad_Natureza!$B$3:$C$52,MATCH('2026'!F439,Cad_Natureza!$C$3:$C$52,0),MATCH('2026'!D$2,Cad_Natureza!$B$3:$C$3,0))</f>
        <v>GAST2</v>
      </c>
      <c r="E439" s="52" t="str">
        <f t="shared" si="96"/>
        <v>Despesa 437</v>
      </c>
      <c r="F439" s="53" t="s">
        <v>66</v>
      </c>
      <c r="G439" s="54" t="s">
        <v>25</v>
      </c>
      <c r="H439" s="55">
        <v>46150</v>
      </c>
      <c r="I439" s="55"/>
      <c r="J439" s="50" t="str">
        <f t="shared" si="97"/>
        <v>Observação da despesa 437</v>
      </c>
      <c r="K439" s="43">
        <v>-35</v>
      </c>
      <c r="L439" s="43">
        <f t="shared" si="98"/>
        <v>991.59000000000083</v>
      </c>
      <c r="M439" s="183"/>
      <c r="N439" s="37" t="str">
        <f t="shared" si="105"/>
        <v>MCSGAST2CPF - Desp. Lazer e Entretenimento - Cigarro</v>
      </c>
      <c r="O439" s="37" t="str">
        <f t="shared" si="106"/>
        <v>GAST2CPF - Desp. Lazer e Entretenimento - Cigarro</v>
      </c>
      <c r="P439" s="37" t="str">
        <f t="shared" si="107"/>
        <v>MCSGAST2CPF - Desp. Lazer e Entretenimento - Cigarro</v>
      </c>
      <c r="Q439" s="37" t="str">
        <f t="shared" si="108"/>
        <v>MCSGAST2</v>
      </c>
      <c r="R439" s="37" t="str">
        <f t="shared" si="109"/>
        <v>MCSGAST2</v>
      </c>
      <c r="S439" s="31"/>
      <c r="T439" s="185">
        <f t="shared" si="110"/>
        <v>46143</v>
      </c>
      <c r="U439" s="181">
        <v>437</v>
      </c>
    </row>
    <row r="440" spans="2:21" s="181" customFormat="1" x14ac:dyDescent="0.25">
      <c r="B440" s="182" t="s">
        <v>25</v>
      </c>
      <c r="C440" s="183"/>
      <c r="D440" s="54" t="str">
        <f>INDEX(Cad_Natureza!$B$3:$C$52,MATCH('2026'!F440,Cad_Natureza!$C$3:$C$52,0),MATCH('2026'!D$2,Cad_Natureza!$B$3:$C$3,0))</f>
        <v>GAST1</v>
      </c>
      <c r="E440" s="52" t="str">
        <f t="shared" si="96"/>
        <v>Despesa 438</v>
      </c>
      <c r="F440" s="53" t="s">
        <v>65</v>
      </c>
      <c r="G440" s="54" t="s">
        <v>25</v>
      </c>
      <c r="H440" s="55">
        <v>46150</v>
      </c>
      <c r="I440" s="55"/>
      <c r="J440" s="50" t="str">
        <f t="shared" si="97"/>
        <v>Observação da despesa 438</v>
      </c>
      <c r="K440" s="43">
        <v>-26</v>
      </c>
      <c r="L440" s="43">
        <f t="shared" si="98"/>
        <v>965.59000000000083</v>
      </c>
      <c r="M440" s="183"/>
      <c r="N440" s="37" t="str">
        <f t="shared" si="105"/>
        <v>MCSGAST1CPF - Desp. Lazer e Entretenimento - Bares</v>
      </c>
      <c r="O440" s="37" t="str">
        <f t="shared" si="106"/>
        <v>GAST1CPF - Desp. Lazer e Entretenimento - Bares</v>
      </c>
      <c r="P440" s="37" t="str">
        <f t="shared" si="107"/>
        <v>MCSGAST1CPF - Desp. Lazer e Entretenimento - Bares</v>
      </c>
      <c r="Q440" s="37" t="str">
        <f t="shared" si="108"/>
        <v>MCSGAST1</v>
      </c>
      <c r="R440" s="37" t="str">
        <f t="shared" si="109"/>
        <v>MCSGAST1</v>
      </c>
      <c r="S440" s="31"/>
      <c r="T440" s="185">
        <f t="shared" si="110"/>
        <v>46143</v>
      </c>
      <c r="U440" s="181">
        <v>438</v>
      </c>
    </row>
    <row r="441" spans="2:21" s="177" customFormat="1" x14ac:dyDescent="0.25">
      <c r="B441" s="174" t="s">
        <v>25</v>
      </c>
      <c r="C441" s="51"/>
      <c r="D441" s="44" t="str">
        <f>INDEX(Cad_Natureza!$B$3:$C$52,MATCH('2026'!F441,Cad_Natureza!$C$3:$C$52,0),MATCH('2026'!D$2,Cad_Natureza!$B$3:$C$3,0))</f>
        <v>DESP3</v>
      </c>
      <c r="E441" s="45" t="str">
        <f t="shared" si="96"/>
        <v>Receita 439</v>
      </c>
      <c r="F441" s="46" t="s">
        <v>59</v>
      </c>
      <c r="G441" s="44" t="s">
        <v>25</v>
      </c>
      <c r="H441" s="47">
        <v>46153</v>
      </c>
      <c r="I441" s="47"/>
      <c r="J441" s="48" t="str">
        <f t="shared" si="97"/>
        <v>Observação da receita 439</v>
      </c>
      <c r="K441" s="49">
        <v>150</v>
      </c>
      <c r="L441" s="49">
        <f t="shared" si="98"/>
        <v>1115.5900000000008</v>
      </c>
      <c r="M441" s="51"/>
      <c r="N441" s="37" t="str">
        <f t="shared" si="0"/>
        <v xml:space="preserve">MCSDESP3CPF - Desp. com veículo - Manut. / Gastos </v>
      </c>
      <c r="O441" s="37" t="str">
        <f t="shared" si="1"/>
        <v xml:space="preserve">DESP3CPF - Desp. com veículo - Manut. / Gastos </v>
      </c>
      <c r="P441" s="37" t="str">
        <f t="shared" si="2"/>
        <v xml:space="preserve">MCSDESP3CPF - Desp. com veículo - Manut. / Gastos </v>
      </c>
      <c r="Q441" s="37" t="str">
        <f t="shared" si="3"/>
        <v>MCSDESP3</v>
      </c>
      <c r="R441" s="37" t="str">
        <f t="shared" si="4"/>
        <v>MCSDESP3</v>
      </c>
      <c r="S441" s="31"/>
      <c r="T441" s="176">
        <f t="shared" si="5"/>
        <v>46143</v>
      </c>
      <c r="U441" s="181">
        <v>439</v>
      </c>
    </row>
    <row r="442" spans="2:21" s="181" customFormat="1" x14ac:dyDescent="0.25">
      <c r="B442" s="182" t="s">
        <v>25</v>
      </c>
      <c r="C442" s="183"/>
      <c r="D442" s="54" t="str">
        <f>INDEX(Cad_Natureza!$B$3:$C$52,MATCH('2026'!F442,Cad_Natureza!$C$3:$C$52,0),MATCH('2026'!D$2,Cad_Natureza!$B$3:$C$3,0))</f>
        <v>PENS3</v>
      </c>
      <c r="E442" s="52" t="str">
        <f t="shared" si="96"/>
        <v>Despesa 440</v>
      </c>
      <c r="F442" s="53" t="s">
        <v>69</v>
      </c>
      <c r="G442" s="54" t="s">
        <v>25</v>
      </c>
      <c r="H442" s="55">
        <v>46153</v>
      </c>
      <c r="I442" s="55"/>
      <c r="J442" s="50" t="str">
        <f t="shared" si="97"/>
        <v>Observação da despesa 440</v>
      </c>
      <c r="K442" s="43">
        <v>-581.22</v>
      </c>
      <c r="L442" s="43">
        <f t="shared" si="98"/>
        <v>534.3700000000008</v>
      </c>
      <c r="M442" s="183"/>
      <c r="N442" s="37" t="str">
        <f t="shared" si="0"/>
        <v>MCSPENS3CPF - Pensão - Plano de saúde</v>
      </c>
      <c r="O442" s="37" t="str">
        <f t="shared" si="1"/>
        <v>PENS3CPF - Pensão - Plano de saúde</v>
      </c>
      <c r="P442" s="37" t="str">
        <f t="shared" si="2"/>
        <v>MCSPENS3CPF - Pensão - Plano de saúde</v>
      </c>
      <c r="Q442" s="37" t="str">
        <f t="shared" si="3"/>
        <v>MCSPENS3</v>
      </c>
      <c r="R442" s="37" t="str">
        <f t="shared" si="4"/>
        <v>MCSPENS3</v>
      </c>
      <c r="S442" s="31"/>
      <c r="T442" s="185">
        <f t="shared" si="5"/>
        <v>46143</v>
      </c>
      <c r="U442" s="181">
        <v>440</v>
      </c>
    </row>
    <row r="443" spans="2:21" s="181" customFormat="1" x14ac:dyDescent="0.25">
      <c r="B443" s="182" t="s">
        <v>25</v>
      </c>
      <c r="C443" s="183"/>
      <c r="D443" s="54" t="str">
        <f>INDEX(Cad_Natureza!$B$3:$C$52,MATCH('2026'!F443,Cad_Natureza!$C$3:$C$52,0),MATCH('2026'!D$2,Cad_Natureza!$B$3:$C$3,0))</f>
        <v>DESP3</v>
      </c>
      <c r="E443" s="52" t="str">
        <f t="shared" si="96"/>
        <v>Despesa 441</v>
      </c>
      <c r="F443" s="53" t="s">
        <v>59</v>
      </c>
      <c r="G443" s="54" t="s">
        <v>25</v>
      </c>
      <c r="H443" s="55">
        <v>46153</v>
      </c>
      <c r="I443" s="55"/>
      <c r="J443" s="50" t="str">
        <f t="shared" si="97"/>
        <v>Observação da despesa 441</v>
      </c>
      <c r="K443" s="43">
        <v>-200</v>
      </c>
      <c r="L443" s="43">
        <f t="shared" si="98"/>
        <v>334.3700000000008</v>
      </c>
      <c r="M443" s="183"/>
      <c r="N443" s="37" t="str">
        <f t="shared" si="0"/>
        <v xml:space="preserve">MCSDESP3CPF - Desp. com veículo - Manut. / Gastos </v>
      </c>
      <c r="O443" s="37" t="str">
        <f t="shared" si="1"/>
        <v xml:space="preserve">DESP3CPF - Desp. com veículo - Manut. / Gastos </v>
      </c>
      <c r="P443" s="37" t="str">
        <f t="shared" si="2"/>
        <v xml:space="preserve">MCSDESP3CPF - Desp. com veículo - Manut. / Gastos </v>
      </c>
      <c r="Q443" s="37" t="str">
        <f t="shared" si="3"/>
        <v>MCSDESP3</v>
      </c>
      <c r="R443" s="37" t="str">
        <f t="shared" si="4"/>
        <v>MCSDESP3</v>
      </c>
      <c r="S443" s="31"/>
      <c r="T443" s="185">
        <f t="shared" si="5"/>
        <v>46143</v>
      </c>
      <c r="U443" s="181">
        <v>441</v>
      </c>
    </row>
    <row r="444" spans="2:21" s="181" customFormat="1" x14ac:dyDescent="0.25">
      <c r="B444" s="182" t="s">
        <v>25</v>
      </c>
      <c r="C444" s="183"/>
      <c r="D444" s="54" t="str">
        <f>INDEX(Cad_Natureza!$B$3:$C$52,MATCH('2026'!F444,Cad_Natureza!$C$3:$C$52,0),MATCH('2026'!D$2,Cad_Natureza!$B$3:$C$3,0))</f>
        <v>OPF1</v>
      </c>
      <c r="E444" s="52" t="str">
        <f t="shared" si="96"/>
        <v>Despesa 442</v>
      </c>
      <c r="F444" s="53" t="s">
        <v>67</v>
      </c>
      <c r="G444" s="54" t="s">
        <v>25</v>
      </c>
      <c r="H444" s="55">
        <v>46153</v>
      </c>
      <c r="I444" s="55"/>
      <c r="J444" s="50" t="str">
        <f t="shared" si="97"/>
        <v>Observação da despesa 442</v>
      </c>
      <c r="K444" s="43">
        <v>-7</v>
      </c>
      <c r="L444" s="43">
        <f t="shared" si="98"/>
        <v>327.3700000000008</v>
      </c>
      <c r="M444" s="183"/>
      <c r="N444" s="37" t="str">
        <f t="shared" si="0"/>
        <v>MCSOPF1CPF - Desp. Alimentação / Refeição</v>
      </c>
      <c r="O444" s="37" t="str">
        <f t="shared" si="1"/>
        <v>OPF1CPF - Desp. Alimentação / Refeição</v>
      </c>
      <c r="P444" s="37" t="str">
        <f t="shared" si="2"/>
        <v>MCSOPF1CPF - Desp. Alimentação / Refeição</v>
      </c>
      <c r="Q444" s="37" t="str">
        <f t="shared" si="3"/>
        <v>MCSOPF1</v>
      </c>
      <c r="R444" s="37" t="str">
        <f t="shared" si="4"/>
        <v>MCSOPF1</v>
      </c>
      <c r="S444" s="31"/>
      <c r="T444" s="185">
        <f t="shared" si="5"/>
        <v>46143</v>
      </c>
      <c r="U444" s="181">
        <v>442</v>
      </c>
    </row>
    <row r="445" spans="2:21" s="181" customFormat="1" x14ac:dyDescent="0.25">
      <c r="B445" s="182" t="s">
        <v>25</v>
      </c>
      <c r="C445" s="183"/>
      <c r="D445" s="54" t="str">
        <f>INDEX(Cad_Natureza!$B$3:$C$52,MATCH('2026'!F445,Cad_Natureza!$C$3:$C$52,0),MATCH('2026'!D$2,Cad_Natureza!$B$3:$C$3,0))</f>
        <v>DESP3</v>
      </c>
      <c r="E445" s="52" t="str">
        <f t="shared" si="96"/>
        <v>Despesa 443</v>
      </c>
      <c r="F445" s="53" t="s">
        <v>59</v>
      </c>
      <c r="G445" s="54" t="s">
        <v>25</v>
      </c>
      <c r="H445" s="55">
        <v>46153</v>
      </c>
      <c r="I445" s="55"/>
      <c r="J445" s="50" t="str">
        <f t="shared" si="97"/>
        <v>Observação da despesa 443</v>
      </c>
      <c r="K445" s="43">
        <v>-60</v>
      </c>
      <c r="L445" s="43">
        <f t="shared" si="98"/>
        <v>267.3700000000008</v>
      </c>
      <c r="M445" s="183"/>
      <c r="N445" s="37" t="str">
        <f t="shared" si="0"/>
        <v xml:space="preserve">MCSDESP3CPF - Desp. com veículo - Manut. / Gastos </v>
      </c>
      <c r="O445" s="37" t="str">
        <f t="shared" si="1"/>
        <v xml:space="preserve">DESP3CPF - Desp. com veículo - Manut. / Gastos </v>
      </c>
      <c r="P445" s="37" t="str">
        <f t="shared" si="2"/>
        <v xml:space="preserve">MCSDESP3CPF - Desp. com veículo - Manut. / Gastos </v>
      </c>
      <c r="Q445" s="37" t="str">
        <f t="shared" si="3"/>
        <v>MCSDESP3</v>
      </c>
      <c r="R445" s="37" t="str">
        <f t="shared" si="4"/>
        <v>MCSDESP3</v>
      </c>
      <c r="S445" s="31"/>
      <c r="T445" s="185">
        <f t="shared" si="5"/>
        <v>46143</v>
      </c>
      <c r="U445" s="181">
        <v>443</v>
      </c>
    </row>
    <row r="446" spans="2:21" s="181" customFormat="1" x14ac:dyDescent="0.25">
      <c r="B446" s="182" t="s">
        <v>25</v>
      </c>
      <c r="C446" s="183"/>
      <c r="D446" s="54" t="str">
        <f>INDEX(Cad_Natureza!$B$3:$C$52,MATCH('2026'!F446,Cad_Natureza!$C$3:$C$52,0),MATCH('2026'!D$2,Cad_Natureza!$B$3:$C$3,0))</f>
        <v>DESP4</v>
      </c>
      <c r="E446" s="52" t="str">
        <f t="shared" si="96"/>
        <v>Despesa 444</v>
      </c>
      <c r="F446" s="53" t="s">
        <v>74</v>
      </c>
      <c r="G446" s="54" t="s">
        <v>25</v>
      </c>
      <c r="H446" s="55">
        <v>46153</v>
      </c>
      <c r="I446" s="55"/>
      <c r="J446" s="50" t="str">
        <f t="shared" si="97"/>
        <v>Observação da despesa 444</v>
      </c>
      <c r="K446" s="43">
        <v>-17.489999999999998</v>
      </c>
      <c r="L446" s="43">
        <f t="shared" si="98"/>
        <v>249.88000000000079</v>
      </c>
      <c r="M446" s="183"/>
      <c r="N446" s="37" t="str">
        <f t="shared" si="0"/>
        <v>MCSDESP4CPF - Desp. Moradia</v>
      </c>
      <c r="O446" s="37" t="str">
        <f t="shared" si="1"/>
        <v>DESP4CPF - Desp. Moradia</v>
      </c>
      <c r="P446" s="37" t="str">
        <f t="shared" si="2"/>
        <v>MCSDESP4CPF - Desp. Moradia</v>
      </c>
      <c r="Q446" s="37" t="str">
        <f t="shared" si="3"/>
        <v>MCSDESP4</v>
      </c>
      <c r="R446" s="37" t="str">
        <f t="shared" si="4"/>
        <v>MCSDESP4</v>
      </c>
      <c r="S446" s="31"/>
      <c r="T446" s="185">
        <f t="shared" si="5"/>
        <v>46143</v>
      </c>
      <c r="U446" s="181">
        <v>444</v>
      </c>
    </row>
    <row r="447" spans="2:21" s="181" customFormat="1" x14ac:dyDescent="0.25">
      <c r="B447" s="182" t="s">
        <v>25</v>
      </c>
      <c r="C447" s="183"/>
      <c r="D447" s="54" t="str">
        <f>INDEX(Cad_Natureza!$B$3:$C$52,MATCH('2026'!F447,Cad_Natureza!$C$3:$C$52,0),MATCH('2026'!D$2,Cad_Natureza!$B$3:$C$3,0))</f>
        <v>GAST1</v>
      </c>
      <c r="E447" s="52" t="str">
        <f t="shared" si="96"/>
        <v>Despesa 445</v>
      </c>
      <c r="F447" s="53" t="s">
        <v>65</v>
      </c>
      <c r="G447" s="54" t="s">
        <v>25</v>
      </c>
      <c r="H447" s="55">
        <v>46153</v>
      </c>
      <c r="I447" s="55"/>
      <c r="J447" s="50" t="str">
        <f t="shared" si="97"/>
        <v>Observação da despesa 445</v>
      </c>
      <c r="K447" s="43">
        <v>-6.5</v>
      </c>
      <c r="L447" s="43">
        <f t="shared" si="98"/>
        <v>243.38000000000079</v>
      </c>
      <c r="M447" s="183"/>
      <c r="N447" s="37" t="str">
        <f t="shared" si="0"/>
        <v>MCSGAST1CPF - Desp. Lazer e Entretenimento - Bares</v>
      </c>
      <c r="O447" s="37" t="str">
        <f t="shared" si="1"/>
        <v>GAST1CPF - Desp. Lazer e Entretenimento - Bares</v>
      </c>
      <c r="P447" s="37" t="str">
        <f t="shared" si="2"/>
        <v>MCSGAST1CPF - Desp. Lazer e Entretenimento - Bares</v>
      </c>
      <c r="Q447" s="37" t="str">
        <f t="shared" si="3"/>
        <v>MCSGAST1</v>
      </c>
      <c r="R447" s="37" t="str">
        <f t="shared" si="4"/>
        <v>MCSGAST1</v>
      </c>
      <c r="S447" s="31"/>
      <c r="T447" s="185">
        <f t="shared" si="5"/>
        <v>46143</v>
      </c>
      <c r="U447" s="181">
        <v>445</v>
      </c>
    </row>
    <row r="448" spans="2:21" s="181" customFormat="1" x14ac:dyDescent="0.25">
      <c r="B448" s="182" t="s">
        <v>25</v>
      </c>
      <c r="C448" s="183"/>
      <c r="D448" s="54" t="str">
        <f>INDEX(Cad_Natureza!$B$3:$C$52,MATCH('2026'!F448,Cad_Natureza!$C$3:$C$52,0),MATCH('2026'!D$2,Cad_Natureza!$B$3:$C$3,0))</f>
        <v>GAST1</v>
      </c>
      <c r="E448" s="52" t="str">
        <f t="shared" si="96"/>
        <v>Despesa 446</v>
      </c>
      <c r="F448" s="53" t="s">
        <v>65</v>
      </c>
      <c r="G448" s="54" t="s">
        <v>25</v>
      </c>
      <c r="H448" s="55">
        <v>46153</v>
      </c>
      <c r="I448" s="55"/>
      <c r="J448" s="50" t="str">
        <f t="shared" si="97"/>
        <v>Observação da despesa 446</v>
      </c>
      <c r="K448" s="43">
        <v>-15</v>
      </c>
      <c r="L448" s="43">
        <f t="shared" si="98"/>
        <v>228.38000000000079</v>
      </c>
      <c r="M448" s="183"/>
      <c r="N448" s="37" t="str">
        <f t="shared" si="0"/>
        <v>MCSGAST1CPF - Desp. Lazer e Entretenimento - Bares</v>
      </c>
      <c r="O448" s="37" t="str">
        <f t="shared" si="1"/>
        <v>GAST1CPF - Desp. Lazer e Entretenimento - Bares</v>
      </c>
      <c r="P448" s="37" t="str">
        <f t="shared" si="2"/>
        <v>MCSGAST1CPF - Desp. Lazer e Entretenimento - Bares</v>
      </c>
      <c r="Q448" s="37" t="str">
        <f t="shared" si="3"/>
        <v>MCSGAST1</v>
      </c>
      <c r="R448" s="37" t="str">
        <f t="shared" si="4"/>
        <v>MCSGAST1</v>
      </c>
      <c r="S448" s="31"/>
      <c r="T448" s="185">
        <f t="shared" si="5"/>
        <v>46143</v>
      </c>
      <c r="U448" s="181">
        <v>446</v>
      </c>
    </row>
    <row r="449" spans="2:21" s="181" customFormat="1" x14ac:dyDescent="0.25">
      <c r="B449" s="182" t="s">
        <v>25</v>
      </c>
      <c r="C449" s="183"/>
      <c r="D449" s="54" t="str">
        <f>INDEX(Cad_Natureza!$B$3:$C$52,MATCH('2026'!F449,Cad_Natureza!$C$3:$C$52,0),MATCH('2026'!D$2,Cad_Natureza!$B$3:$C$3,0))</f>
        <v>GAST1</v>
      </c>
      <c r="E449" s="52" t="str">
        <f t="shared" si="96"/>
        <v>Despesa 447</v>
      </c>
      <c r="F449" s="53" t="s">
        <v>65</v>
      </c>
      <c r="G449" s="54" t="s">
        <v>25</v>
      </c>
      <c r="H449" s="55">
        <v>46153</v>
      </c>
      <c r="I449" s="55"/>
      <c r="J449" s="50" t="str">
        <f t="shared" si="97"/>
        <v>Observação da despesa 447</v>
      </c>
      <c r="K449" s="43">
        <v>-6</v>
      </c>
      <c r="L449" s="43">
        <f t="shared" si="98"/>
        <v>222.38000000000079</v>
      </c>
      <c r="M449" s="183"/>
      <c r="N449" s="37" t="str">
        <f t="shared" si="0"/>
        <v>MCSGAST1CPF - Desp. Lazer e Entretenimento - Bares</v>
      </c>
      <c r="O449" s="37" t="str">
        <f t="shared" si="1"/>
        <v>GAST1CPF - Desp. Lazer e Entretenimento - Bares</v>
      </c>
      <c r="P449" s="37" t="str">
        <f t="shared" si="2"/>
        <v>MCSGAST1CPF - Desp. Lazer e Entretenimento - Bares</v>
      </c>
      <c r="Q449" s="37" t="str">
        <f t="shared" si="3"/>
        <v>MCSGAST1</v>
      </c>
      <c r="R449" s="37" t="str">
        <f t="shared" si="4"/>
        <v>MCSGAST1</v>
      </c>
      <c r="S449" s="31"/>
      <c r="T449" s="185">
        <f t="shared" si="5"/>
        <v>46143</v>
      </c>
      <c r="U449" s="181">
        <v>447</v>
      </c>
    </row>
    <row r="450" spans="2:21" s="181" customFormat="1" x14ac:dyDescent="0.25">
      <c r="B450" s="182" t="s">
        <v>25</v>
      </c>
      <c r="C450" s="183"/>
      <c r="D450" s="54" t="str">
        <f>INDEX(Cad_Natureza!$B$3:$C$52,MATCH('2026'!F450,Cad_Natureza!$C$3:$C$52,0),MATCH('2026'!D$2,Cad_Natureza!$B$3:$C$3,0))</f>
        <v>GAST1</v>
      </c>
      <c r="E450" s="52" t="str">
        <f t="shared" si="96"/>
        <v>Despesa 448</v>
      </c>
      <c r="F450" s="53" t="s">
        <v>65</v>
      </c>
      <c r="G450" s="54" t="s">
        <v>25</v>
      </c>
      <c r="H450" s="55">
        <v>46153</v>
      </c>
      <c r="I450" s="55"/>
      <c r="J450" s="50" t="str">
        <f t="shared" si="97"/>
        <v>Observação da despesa 448</v>
      </c>
      <c r="K450" s="43">
        <v>-15</v>
      </c>
      <c r="L450" s="43">
        <f t="shared" si="98"/>
        <v>207.38000000000079</v>
      </c>
      <c r="M450" s="183"/>
      <c r="N450" s="37" t="str">
        <f t="shared" si="0"/>
        <v>MCSGAST1CPF - Desp. Lazer e Entretenimento - Bares</v>
      </c>
      <c r="O450" s="37" t="str">
        <f t="shared" si="1"/>
        <v>GAST1CPF - Desp. Lazer e Entretenimento - Bares</v>
      </c>
      <c r="P450" s="37" t="str">
        <f t="shared" si="2"/>
        <v>MCSGAST1CPF - Desp. Lazer e Entretenimento - Bares</v>
      </c>
      <c r="Q450" s="37" t="str">
        <f t="shared" si="3"/>
        <v>MCSGAST1</v>
      </c>
      <c r="R450" s="37" t="str">
        <f t="shared" si="4"/>
        <v>MCSGAST1</v>
      </c>
      <c r="S450" s="31"/>
      <c r="T450" s="185">
        <f t="shared" si="5"/>
        <v>46143</v>
      </c>
      <c r="U450" s="181">
        <v>448</v>
      </c>
    </row>
    <row r="451" spans="2:21" s="181" customFormat="1" x14ac:dyDescent="0.25">
      <c r="B451" s="182" t="s">
        <v>25</v>
      </c>
      <c r="C451" s="183"/>
      <c r="D451" s="54" t="str">
        <f>INDEX(Cad_Natureza!$B$3:$C$52,MATCH('2026'!F451,Cad_Natureza!$C$3:$C$52,0),MATCH('2026'!D$2,Cad_Natureza!$B$3:$C$3,0))</f>
        <v>GAST1</v>
      </c>
      <c r="E451" s="52" t="str">
        <f t="shared" si="96"/>
        <v>Despesa 449</v>
      </c>
      <c r="F451" s="53" t="s">
        <v>65</v>
      </c>
      <c r="G451" s="54" t="s">
        <v>25</v>
      </c>
      <c r="H451" s="55">
        <v>46153</v>
      </c>
      <c r="I451" s="55"/>
      <c r="J451" s="50" t="str">
        <f t="shared" si="97"/>
        <v>Observação da despesa 449</v>
      </c>
      <c r="K451" s="43">
        <v>-10</v>
      </c>
      <c r="L451" s="43">
        <f t="shared" si="98"/>
        <v>197.38000000000079</v>
      </c>
      <c r="M451" s="183"/>
      <c r="N451" s="37" t="str">
        <f t="shared" si="0"/>
        <v>MCSGAST1CPF - Desp. Lazer e Entretenimento - Bares</v>
      </c>
      <c r="O451" s="37" t="str">
        <f t="shared" si="1"/>
        <v>GAST1CPF - Desp. Lazer e Entretenimento - Bares</v>
      </c>
      <c r="P451" s="37" t="str">
        <f t="shared" si="2"/>
        <v>MCSGAST1CPF - Desp. Lazer e Entretenimento - Bares</v>
      </c>
      <c r="Q451" s="37" t="str">
        <f t="shared" si="3"/>
        <v>MCSGAST1</v>
      </c>
      <c r="R451" s="37" t="str">
        <f t="shared" si="4"/>
        <v>MCSGAST1</v>
      </c>
      <c r="S451" s="31"/>
      <c r="T451" s="185">
        <f t="shared" si="5"/>
        <v>46143</v>
      </c>
      <c r="U451" s="181">
        <v>449</v>
      </c>
    </row>
    <row r="452" spans="2:21" s="181" customFormat="1" x14ac:dyDescent="0.25">
      <c r="B452" s="182" t="s">
        <v>25</v>
      </c>
      <c r="C452" s="183"/>
      <c r="D452" s="54" t="str">
        <f>INDEX(Cad_Natureza!$B$3:$C$52,MATCH('2026'!F452,Cad_Natureza!$C$3:$C$52,0),MATCH('2026'!D$2,Cad_Natureza!$B$3:$C$3,0))</f>
        <v>PENS6</v>
      </c>
      <c r="E452" s="52" t="str">
        <f t="shared" ref="E452:E515" si="111">IF(K452&lt;0,"Despesa "&amp;U452,"Receita "&amp;U452)</f>
        <v>Despesa 450</v>
      </c>
      <c r="F452" s="186" t="s">
        <v>34</v>
      </c>
      <c r="G452" s="54" t="s">
        <v>25</v>
      </c>
      <c r="H452" s="55">
        <v>46153</v>
      </c>
      <c r="I452" s="55"/>
      <c r="J452" s="50" t="str">
        <f t="shared" ref="J452:J515" si="112">IF(K452&lt;0,"Observação da despesa "&amp;U452,"Observação da receita "&amp;U452)</f>
        <v>Observação da despesa 450</v>
      </c>
      <c r="K452" s="43">
        <v>-140.54</v>
      </c>
      <c r="L452" s="43">
        <f t="shared" ref="L452:L515" si="113">L451+K452</f>
        <v>56.840000000000799</v>
      </c>
      <c r="M452" s="183"/>
      <c r="N452" s="37" t="str">
        <f t="shared" si="0"/>
        <v>MCSPENS6CPF - Pensão - Farmácia e Saúde</v>
      </c>
      <c r="O452" s="37" t="str">
        <f t="shared" si="1"/>
        <v>PENS6CPF - Pensão - Farmácia e Saúde</v>
      </c>
      <c r="P452" s="37" t="str">
        <f t="shared" si="2"/>
        <v>MCSPENS6CPF - Pensão - Farmácia e Saúde</v>
      </c>
      <c r="Q452" s="37" t="str">
        <f t="shared" si="3"/>
        <v>MCSPENS6</v>
      </c>
      <c r="R452" s="37" t="str">
        <f t="shared" si="4"/>
        <v>MCSPENS6</v>
      </c>
      <c r="S452" s="31"/>
      <c r="T452" s="185">
        <f t="shared" si="5"/>
        <v>46143</v>
      </c>
      <c r="U452" s="181">
        <v>450</v>
      </c>
    </row>
    <row r="453" spans="2:21" s="177" customFormat="1" x14ac:dyDescent="0.25">
      <c r="B453" s="174" t="s">
        <v>25</v>
      </c>
      <c r="C453" s="51"/>
      <c r="D453" s="44" t="str">
        <f>INDEX(Cad_Natureza!$B$3:$C$52,MATCH('2026'!F453,Cad_Natureza!$C$3:$C$52,0),MATCH('2026'!D$2,Cad_Natureza!$B$3:$C$3,0))</f>
        <v>REC4</v>
      </c>
      <c r="E453" s="45" t="str">
        <f t="shared" si="111"/>
        <v>Receita 451</v>
      </c>
      <c r="F453" s="46" t="s">
        <v>57</v>
      </c>
      <c r="G453" s="44" t="s">
        <v>25</v>
      </c>
      <c r="H453" s="47">
        <v>46153</v>
      </c>
      <c r="I453" s="47"/>
      <c r="J453" s="48" t="str">
        <f t="shared" si="112"/>
        <v>Observação da receita 451</v>
      </c>
      <c r="K453" s="49">
        <v>1000</v>
      </c>
      <c r="L453" s="49">
        <f t="shared" si="113"/>
        <v>1056.8400000000008</v>
      </c>
      <c r="M453" s="51"/>
      <c r="N453" s="37" t="str">
        <f t="shared" si="0"/>
        <v>MCSREC4CPF - Transf. Da conta PJ para a conta PF</v>
      </c>
      <c r="O453" s="37" t="str">
        <f t="shared" si="1"/>
        <v>REC4CPF - Transf. Da conta PJ para a conta PF</v>
      </c>
      <c r="P453" s="37" t="str">
        <f t="shared" si="2"/>
        <v>MCSREC4CPF - Transf. Da conta PJ para a conta PF</v>
      </c>
      <c r="Q453" s="37" t="str">
        <f t="shared" si="3"/>
        <v>MCSREC4</v>
      </c>
      <c r="R453" s="37" t="str">
        <f t="shared" si="4"/>
        <v>MCSREC4</v>
      </c>
      <c r="S453" s="31"/>
      <c r="T453" s="176">
        <f t="shared" si="5"/>
        <v>46143</v>
      </c>
      <c r="U453" s="181">
        <v>451</v>
      </c>
    </row>
    <row r="454" spans="2:21" s="181" customFormat="1" x14ac:dyDescent="0.25">
      <c r="B454" s="182" t="s">
        <v>25</v>
      </c>
      <c r="C454" s="183"/>
      <c r="D454" s="54" t="str">
        <f>INDEX(Cad_Natureza!$B$3:$C$52,MATCH('2026'!F454,Cad_Natureza!$C$3:$C$52,0),MATCH('2026'!D$2,Cad_Natureza!$B$3:$C$3,0))</f>
        <v>DESP4</v>
      </c>
      <c r="E454" s="52" t="str">
        <f t="shared" si="111"/>
        <v>Despesa 452</v>
      </c>
      <c r="F454" s="53" t="s">
        <v>74</v>
      </c>
      <c r="G454" s="54" t="s">
        <v>25</v>
      </c>
      <c r="H454" s="55">
        <v>46153</v>
      </c>
      <c r="I454" s="55"/>
      <c r="J454" s="50" t="str">
        <f t="shared" si="112"/>
        <v>Observação da despesa 452</v>
      </c>
      <c r="K454" s="43">
        <v>-300</v>
      </c>
      <c r="L454" s="43">
        <f t="shared" si="113"/>
        <v>756.84000000000083</v>
      </c>
      <c r="M454" s="183"/>
      <c r="N454" s="37" t="str">
        <f t="shared" si="0"/>
        <v>MCSDESP4CPF - Desp. Moradia</v>
      </c>
      <c r="O454" s="37" t="str">
        <f t="shared" si="1"/>
        <v>DESP4CPF - Desp. Moradia</v>
      </c>
      <c r="P454" s="37" t="str">
        <f t="shared" si="2"/>
        <v>MCSDESP4CPF - Desp. Moradia</v>
      </c>
      <c r="Q454" s="37" t="str">
        <f t="shared" si="3"/>
        <v>MCSDESP4</v>
      </c>
      <c r="R454" s="37" t="str">
        <f t="shared" si="4"/>
        <v>MCSDESP4</v>
      </c>
      <c r="S454" s="31"/>
      <c r="T454" s="185">
        <f t="shared" si="5"/>
        <v>46143</v>
      </c>
      <c r="U454" s="181">
        <v>452</v>
      </c>
    </row>
    <row r="455" spans="2:21" s="181" customFormat="1" x14ac:dyDescent="0.25">
      <c r="B455" s="182" t="s">
        <v>25</v>
      </c>
      <c r="C455" s="183"/>
      <c r="D455" s="54" t="str">
        <f>INDEX(Cad_Natureza!$B$3:$C$52,MATCH('2026'!F455,Cad_Natureza!$C$3:$C$52,0),MATCH('2026'!D$2,Cad_Natureza!$B$3:$C$3,0))</f>
        <v>PENS6</v>
      </c>
      <c r="E455" s="52" t="str">
        <f t="shared" si="111"/>
        <v>Despesa 453</v>
      </c>
      <c r="F455" s="53" t="s">
        <v>34</v>
      </c>
      <c r="G455" s="54" t="s">
        <v>25</v>
      </c>
      <c r="H455" s="55">
        <v>46153</v>
      </c>
      <c r="I455" s="55"/>
      <c r="J455" s="50" t="str">
        <f t="shared" si="112"/>
        <v>Observação da despesa 453</v>
      </c>
      <c r="K455" s="43">
        <v>-45.98</v>
      </c>
      <c r="L455" s="43">
        <f t="shared" si="113"/>
        <v>710.86000000000081</v>
      </c>
      <c r="M455" s="183"/>
      <c r="N455" s="37" t="str">
        <f t="shared" si="0"/>
        <v>MCSPENS6CPF - Pensão - Farmácia e Saúde</v>
      </c>
      <c r="O455" s="37" t="str">
        <f t="shared" si="1"/>
        <v>PENS6CPF - Pensão - Farmácia e Saúde</v>
      </c>
      <c r="P455" s="37" t="str">
        <f t="shared" si="2"/>
        <v>MCSPENS6CPF - Pensão - Farmácia e Saúde</v>
      </c>
      <c r="Q455" s="37" t="str">
        <f t="shared" si="3"/>
        <v>MCSPENS6</v>
      </c>
      <c r="R455" s="37" t="str">
        <f t="shared" si="4"/>
        <v>MCSPENS6</v>
      </c>
      <c r="S455" s="31"/>
      <c r="T455" s="185">
        <f t="shared" si="5"/>
        <v>46143</v>
      </c>
      <c r="U455" s="181">
        <v>453</v>
      </c>
    </row>
    <row r="456" spans="2:21" s="181" customFormat="1" x14ac:dyDescent="0.25">
      <c r="B456" s="182" t="s">
        <v>25</v>
      </c>
      <c r="C456" s="183"/>
      <c r="D456" s="54" t="str">
        <f>INDEX(Cad_Natureza!$B$3:$C$52,MATCH('2026'!F456,Cad_Natureza!$C$3:$C$52,0),MATCH('2026'!D$2,Cad_Natureza!$B$3:$C$3,0))</f>
        <v>DESP4</v>
      </c>
      <c r="E456" s="52" t="str">
        <f t="shared" si="111"/>
        <v>Despesa 454</v>
      </c>
      <c r="F456" s="53" t="s">
        <v>74</v>
      </c>
      <c r="G456" s="54" t="s">
        <v>25</v>
      </c>
      <c r="H456" s="55">
        <v>46153</v>
      </c>
      <c r="I456" s="55"/>
      <c r="J456" s="50" t="str">
        <f t="shared" si="112"/>
        <v>Observação da despesa 454</v>
      </c>
      <c r="K456" s="43">
        <v>-28</v>
      </c>
      <c r="L456" s="43">
        <f t="shared" si="113"/>
        <v>682.86000000000081</v>
      </c>
      <c r="M456" s="183"/>
      <c r="N456" s="37" t="str">
        <f t="shared" si="0"/>
        <v>MCSDESP4CPF - Desp. Moradia</v>
      </c>
      <c r="O456" s="37" t="str">
        <f t="shared" si="1"/>
        <v>DESP4CPF - Desp. Moradia</v>
      </c>
      <c r="P456" s="37" t="str">
        <f t="shared" si="2"/>
        <v>MCSDESP4CPF - Desp. Moradia</v>
      </c>
      <c r="Q456" s="37" t="str">
        <f t="shared" si="3"/>
        <v>MCSDESP4</v>
      </c>
      <c r="R456" s="37" t="str">
        <f t="shared" si="4"/>
        <v>MCSDESP4</v>
      </c>
      <c r="S456" s="31"/>
      <c r="T456" s="185">
        <f t="shared" si="5"/>
        <v>46143</v>
      </c>
      <c r="U456" s="181">
        <v>454</v>
      </c>
    </row>
    <row r="457" spans="2:21" s="181" customFormat="1" x14ac:dyDescent="0.25">
      <c r="B457" s="182" t="s">
        <v>25</v>
      </c>
      <c r="C457" s="183"/>
      <c r="D457" s="54" t="str">
        <f>INDEX(Cad_Natureza!$B$3:$C$52,MATCH('2026'!F457,Cad_Natureza!$C$3:$C$52,0),MATCH('2026'!D$2,Cad_Natureza!$B$3:$C$3,0))</f>
        <v>OPF2</v>
      </c>
      <c r="E457" s="52" t="str">
        <f t="shared" si="111"/>
        <v>Despesa 455</v>
      </c>
      <c r="F457" s="53" t="s">
        <v>64</v>
      </c>
      <c r="G457" s="54" t="s">
        <v>25</v>
      </c>
      <c r="H457" s="55">
        <v>46153</v>
      </c>
      <c r="I457" s="55"/>
      <c r="J457" s="50" t="str">
        <f t="shared" si="112"/>
        <v>Observação da despesa 455</v>
      </c>
      <c r="K457" s="43">
        <v>-80</v>
      </c>
      <c r="L457" s="43">
        <f t="shared" si="113"/>
        <v>602.86000000000081</v>
      </c>
      <c r="M457" s="183"/>
      <c r="N457" s="37" t="str">
        <f t="shared" si="0"/>
        <v>MCSOPF2CPF - Desp. Transporte / Combustível</v>
      </c>
      <c r="O457" s="37" t="str">
        <f t="shared" si="1"/>
        <v>OPF2CPF - Desp. Transporte / Combustível</v>
      </c>
      <c r="P457" s="37" t="str">
        <f t="shared" si="2"/>
        <v>MCSOPF2CPF - Desp. Transporte / Combustível</v>
      </c>
      <c r="Q457" s="37" t="str">
        <f t="shared" si="3"/>
        <v>MCSOPF2</v>
      </c>
      <c r="R457" s="37" t="str">
        <f t="shared" si="4"/>
        <v>MCSOPF2</v>
      </c>
      <c r="S457" s="31"/>
      <c r="T457" s="185">
        <f t="shared" si="5"/>
        <v>46143</v>
      </c>
      <c r="U457" s="181">
        <v>455</v>
      </c>
    </row>
    <row r="458" spans="2:21" s="181" customFormat="1" x14ac:dyDescent="0.25">
      <c r="B458" s="182" t="s">
        <v>25</v>
      </c>
      <c r="C458" s="183"/>
      <c r="D458" s="54" t="str">
        <f>INDEX(Cad_Natureza!$B$3:$C$52,MATCH('2026'!F458,Cad_Natureza!$C$3:$C$52,0),MATCH('2026'!D$2,Cad_Natureza!$B$3:$C$3,0))</f>
        <v>FIN3</v>
      </c>
      <c r="E458" s="52" t="str">
        <f t="shared" si="111"/>
        <v>Despesa 456</v>
      </c>
      <c r="F458" s="53" t="s">
        <v>113</v>
      </c>
      <c r="G458" s="54" t="s">
        <v>25</v>
      </c>
      <c r="H458" s="55">
        <v>46153</v>
      </c>
      <c r="I458" s="55"/>
      <c r="J458" s="50" t="str">
        <f t="shared" si="112"/>
        <v>Observação da despesa 456</v>
      </c>
      <c r="K458" s="43">
        <v>-290.26</v>
      </c>
      <c r="L458" s="43">
        <f t="shared" si="113"/>
        <v>312.60000000000082</v>
      </c>
      <c r="M458" s="183"/>
      <c r="N458" s="37" t="str">
        <f t="shared" si="0"/>
        <v>MCSFIN3CPF - Desp. Financeiras - Empréstimos bancários</v>
      </c>
      <c r="O458" s="37" t="str">
        <f t="shared" si="1"/>
        <v>FIN3CPF - Desp. Financeiras - Empréstimos bancários</v>
      </c>
      <c r="P458" s="37" t="str">
        <f t="shared" si="2"/>
        <v>MCSFIN3CPF - Desp. Financeiras - Empréstimos bancários</v>
      </c>
      <c r="Q458" s="37" t="str">
        <f t="shared" si="3"/>
        <v>MCSFIN3</v>
      </c>
      <c r="R458" s="37" t="str">
        <f t="shared" si="4"/>
        <v>MCSFIN3</v>
      </c>
      <c r="S458" s="31"/>
      <c r="T458" s="185">
        <f t="shared" si="5"/>
        <v>46143</v>
      </c>
      <c r="U458" s="181">
        <v>456</v>
      </c>
    </row>
    <row r="459" spans="2:21" s="181" customFormat="1" x14ac:dyDescent="0.25">
      <c r="B459" s="182" t="s">
        <v>25</v>
      </c>
      <c r="C459" s="183"/>
      <c r="D459" s="54" t="str">
        <f>INDEX(Cad_Natureza!$B$3:$C$52,MATCH('2026'!F459,Cad_Natureza!$C$3:$C$52,0),MATCH('2026'!D$2,Cad_Natureza!$B$3:$C$3,0))</f>
        <v>FIN3</v>
      </c>
      <c r="E459" s="52" t="str">
        <f t="shared" si="111"/>
        <v>Despesa 457</v>
      </c>
      <c r="F459" s="53" t="s">
        <v>113</v>
      </c>
      <c r="G459" s="54" t="s">
        <v>25</v>
      </c>
      <c r="H459" s="55">
        <v>46153</v>
      </c>
      <c r="I459" s="55"/>
      <c r="J459" s="50" t="str">
        <f t="shared" si="112"/>
        <v>Observação da despesa 457</v>
      </c>
      <c r="K459" s="43">
        <v>-6.79</v>
      </c>
      <c r="L459" s="43">
        <f t="shared" si="113"/>
        <v>305.8100000000008</v>
      </c>
      <c r="M459" s="183"/>
      <c r="N459" s="37" t="str">
        <f t="shared" si="0"/>
        <v>MCSFIN3CPF - Desp. Financeiras - Empréstimos bancários</v>
      </c>
      <c r="O459" s="37" t="str">
        <f t="shared" si="1"/>
        <v>FIN3CPF - Desp. Financeiras - Empréstimos bancários</v>
      </c>
      <c r="P459" s="37" t="str">
        <f t="shared" si="2"/>
        <v>MCSFIN3CPF - Desp. Financeiras - Empréstimos bancários</v>
      </c>
      <c r="Q459" s="37" t="str">
        <f t="shared" si="3"/>
        <v>MCSFIN3</v>
      </c>
      <c r="R459" s="37" t="str">
        <f t="shared" si="4"/>
        <v>MCSFIN3</v>
      </c>
      <c r="S459" s="31"/>
      <c r="T459" s="185">
        <f t="shared" si="5"/>
        <v>46143</v>
      </c>
      <c r="U459" s="181">
        <v>457</v>
      </c>
    </row>
    <row r="460" spans="2:21" s="181" customFormat="1" x14ac:dyDescent="0.25">
      <c r="B460" s="182" t="s">
        <v>25</v>
      </c>
      <c r="C460" s="183"/>
      <c r="D460" s="54" t="str">
        <f>INDEX(Cad_Natureza!$B$3:$C$52,MATCH('2026'!F460,Cad_Natureza!$C$3:$C$52,0),MATCH('2026'!D$2,Cad_Natureza!$B$3:$C$3,0))</f>
        <v>OPF1</v>
      </c>
      <c r="E460" s="52" t="str">
        <f t="shared" si="111"/>
        <v>Despesa 458</v>
      </c>
      <c r="F460" s="53" t="s">
        <v>67</v>
      </c>
      <c r="G460" s="54" t="s">
        <v>25</v>
      </c>
      <c r="H460" s="55">
        <v>46153</v>
      </c>
      <c r="I460" s="55"/>
      <c r="J460" s="50" t="str">
        <f t="shared" si="112"/>
        <v>Observação da despesa 458</v>
      </c>
      <c r="K460" s="43">
        <v>-20</v>
      </c>
      <c r="L460" s="43">
        <f t="shared" si="113"/>
        <v>285.8100000000008</v>
      </c>
      <c r="M460" s="183"/>
      <c r="N460" s="37" t="str">
        <f t="shared" si="0"/>
        <v>MCSOPF1CPF - Desp. Alimentação / Refeição</v>
      </c>
      <c r="O460" s="37" t="str">
        <f t="shared" si="1"/>
        <v>OPF1CPF - Desp. Alimentação / Refeição</v>
      </c>
      <c r="P460" s="37" t="str">
        <f t="shared" si="2"/>
        <v>MCSOPF1CPF - Desp. Alimentação / Refeição</v>
      </c>
      <c r="Q460" s="37" t="str">
        <f t="shared" si="3"/>
        <v>MCSOPF1</v>
      </c>
      <c r="R460" s="37" t="str">
        <f t="shared" si="4"/>
        <v>MCSOPF1</v>
      </c>
      <c r="S460" s="31"/>
      <c r="T460" s="185">
        <f t="shared" si="5"/>
        <v>46143</v>
      </c>
      <c r="U460" s="181">
        <v>458</v>
      </c>
    </row>
    <row r="461" spans="2:21" s="181" customFormat="1" x14ac:dyDescent="0.25">
      <c r="B461" s="182" t="s">
        <v>25</v>
      </c>
      <c r="C461" s="183"/>
      <c r="D461" s="54" t="str">
        <f>INDEX(Cad_Natureza!$B$3:$C$52,MATCH('2026'!F461,Cad_Natureza!$C$3:$C$52,0),MATCH('2026'!D$2,Cad_Natureza!$B$3:$C$3,0))</f>
        <v>GAST1</v>
      </c>
      <c r="E461" s="52" t="str">
        <f t="shared" si="111"/>
        <v>Despesa 459</v>
      </c>
      <c r="F461" s="53" t="s">
        <v>65</v>
      </c>
      <c r="G461" s="54" t="s">
        <v>25</v>
      </c>
      <c r="H461" s="55">
        <v>46153</v>
      </c>
      <c r="I461" s="55"/>
      <c r="J461" s="50" t="str">
        <f t="shared" si="112"/>
        <v>Observação da despesa 459</v>
      </c>
      <c r="K461" s="43">
        <v>-29</v>
      </c>
      <c r="L461" s="43">
        <f t="shared" si="113"/>
        <v>256.8100000000008</v>
      </c>
      <c r="M461" s="183"/>
      <c r="N461" s="37" t="str">
        <f t="shared" ref="N461:N480" si="114">B461&amp;D461&amp;F461</f>
        <v>MCSGAST1CPF - Desp. Lazer e Entretenimento - Bares</v>
      </c>
      <c r="O461" s="37" t="str">
        <f t="shared" ref="O461:O480" si="115">D461&amp;F461</f>
        <v>GAST1CPF - Desp. Lazer e Entretenimento - Bares</v>
      </c>
      <c r="P461" s="37" t="str">
        <f t="shared" ref="P461:P480" si="116">"MCS"&amp;D461&amp;F461</f>
        <v>MCSGAST1CPF - Desp. Lazer e Entretenimento - Bares</v>
      </c>
      <c r="Q461" s="37" t="str">
        <f t="shared" ref="Q461:Q480" si="117">"MCS"&amp;D461</f>
        <v>MCSGAST1</v>
      </c>
      <c r="R461" s="37" t="str">
        <f t="shared" ref="R461:R480" si="118">B461&amp;D461</f>
        <v>MCSGAST1</v>
      </c>
      <c r="S461" s="31"/>
      <c r="T461" s="185">
        <f t="shared" ref="T461:T480" si="119">(1&amp;"/"&amp;MONTH(H461)&amp;"/"&amp;YEAR(H461))*1</f>
        <v>46143</v>
      </c>
      <c r="U461" s="181">
        <v>459</v>
      </c>
    </row>
    <row r="462" spans="2:21" s="181" customFormat="1" x14ac:dyDescent="0.25">
      <c r="B462" s="182" t="s">
        <v>25</v>
      </c>
      <c r="C462" s="183"/>
      <c r="D462" s="54" t="str">
        <f>INDEX(Cad_Natureza!$B$3:$C$52,MATCH('2026'!F462,Cad_Natureza!$C$3:$C$52,0),MATCH('2026'!D$2,Cad_Natureza!$B$3:$C$3,0))</f>
        <v>OPF1</v>
      </c>
      <c r="E462" s="52" t="str">
        <f t="shared" si="111"/>
        <v>Despesa 460</v>
      </c>
      <c r="F462" s="53" t="s">
        <v>67</v>
      </c>
      <c r="G462" s="54" t="s">
        <v>25</v>
      </c>
      <c r="H462" s="55">
        <v>46154</v>
      </c>
      <c r="I462" s="55"/>
      <c r="J462" s="50" t="str">
        <f t="shared" si="112"/>
        <v>Observação da despesa 460</v>
      </c>
      <c r="K462" s="43">
        <v>-20</v>
      </c>
      <c r="L462" s="43">
        <f t="shared" si="113"/>
        <v>236.8100000000008</v>
      </c>
      <c r="M462" s="183"/>
      <c r="N462" s="37" t="str">
        <f t="shared" si="114"/>
        <v>MCSOPF1CPF - Desp. Alimentação / Refeição</v>
      </c>
      <c r="O462" s="37" t="str">
        <f t="shared" si="115"/>
        <v>OPF1CPF - Desp. Alimentação / Refeição</v>
      </c>
      <c r="P462" s="37" t="str">
        <f t="shared" si="116"/>
        <v>MCSOPF1CPF - Desp. Alimentação / Refeição</v>
      </c>
      <c r="Q462" s="37" t="str">
        <f t="shared" si="117"/>
        <v>MCSOPF1</v>
      </c>
      <c r="R462" s="37" t="str">
        <f t="shared" si="118"/>
        <v>MCSOPF1</v>
      </c>
      <c r="S462" s="31"/>
      <c r="T462" s="185">
        <f t="shared" si="119"/>
        <v>46143</v>
      </c>
      <c r="U462" s="181">
        <v>460</v>
      </c>
    </row>
    <row r="463" spans="2:21" s="181" customFormat="1" x14ac:dyDescent="0.25">
      <c r="B463" s="182" t="s">
        <v>25</v>
      </c>
      <c r="C463" s="183"/>
      <c r="D463" s="54" t="str">
        <f>INDEX(Cad_Natureza!$B$3:$C$52,MATCH('2026'!F463,Cad_Natureza!$C$3:$C$52,0),MATCH('2026'!D$2,Cad_Natureza!$B$3:$C$3,0))</f>
        <v>DESP2</v>
      </c>
      <c r="E463" s="52" t="str">
        <f t="shared" si="111"/>
        <v>Despesa 461</v>
      </c>
      <c r="F463" s="53" t="s">
        <v>62</v>
      </c>
      <c r="G463" s="54" t="s">
        <v>25</v>
      </c>
      <c r="H463" s="55">
        <v>46154</v>
      </c>
      <c r="I463" s="55"/>
      <c r="J463" s="50" t="str">
        <f t="shared" si="112"/>
        <v>Observação da despesa 461</v>
      </c>
      <c r="K463" s="43">
        <v>-184.1</v>
      </c>
      <c r="L463" s="43">
        <f t="shared" si="113"/>
        <v>52.710000000000804</v>
      </c>
      <c r="M463" s="183"/>
      <c r="N463" s="37" t="str">
        <f t="shared" si="114"/>
        <v>MCSDESP2CPF - Desp. Telefone / Internet</v>
      </c>
      <c r="O463" s="37" t="str">
        <f t="shared" si="115"/>
        <v>DESP2CPF - Desp. Telefone / Internet</v>
      </c>
      <c r="P463" s="37" t="str">
        <f t="shared" si="116"/>
        <v>MCSDESP2CPF - Desp. Telefone / Internet</v>
      </c>
      <c r="Q463" s="37" t="str">
        <f t="shared" si="117"/>
        <v>MCSDESP2</v>
      </c>
      <c r="R463" s="37" t="str">
        <f t="shared" si="118"/>
        <v>MCSDESP2</v>
      </c>
      <c r="S463" s="31"/>
      <c r="T463" s="185">
        <f t="shared" si="119"/>
        <v>46143</v>
      </c>
      <c r="U463" s="181">
        <v>461</v>
      </c>
    </row>
    <row r="464" spans="2:21" s="181" customFormat="1" x14ac:dyDescent="0.25">
      <c r="B464" s="182" t="s">
        <v>25</v>
      </c>
      <c r="C464" s="183"/>
      <c r="D464" s="54" t="str">
        <f>INDEX(Cad_Natureza!$B$3:$C$52,MATCH('2026'!F464,Cad_Natureza!$C$3:$C$52,0),MATCH('2026'!D$2,Cad_Natureza!$B$3:$C$3,0))</f>
        <v>GAST2</v>
      </c>
      <c r="E464" s="52" t="str">
        <f t="shared" si="111"/>
        <v>Despesa 462</v>
      </c>
      <c r="F464" s="53" t="s">
        <v>66</v>
      </c>
      <c r="G464" s="54" t="s">
        <v>25</v>
      </c>
      <c r="H464" s="55">
        <v>46154</v>
      </c>
      <c r="I464" s="55"/>
      <c r="J464" s="50" t="str">
        <f t="shared" si="112"/>
        <v>Observação da despesa 462</v>
      </c>
      <c r="K464" s="43">
        <v>-34</v>
      </c>
      <c r="L464" s="43">
        <f t="shared" si="113"/>
        <v>18.710000000000804</v>
      </c>
      <c r="M464" s="183"/>
      <c r="N464" s="37" t="str">
        <f t="shared" si="114"/>
        <v>MCSGAST2CPF - Desp. Lazer e Entretenimento - Cigarro</v>
      </c>
      <c r="O464" s="37" t="str">
        <f t="shared" si="115"/>
        <v>GAST2CPF - Desp. Lazer e Entretenimento - Cigarro</v>
      </c>
      <c r="P464" s="37" t="str">
        <f t="shared" si="116"/>
        <v>MCSGAST2CPF - Desp. Lazer e Entretenimento - Cigarro</v>
      </c>
      <c r="Q464" s="37" t="str">
        <f t="shared" si="117"/>
        <v>MCSGAST2</v>
      </c>
      <c r="R464" s="37" t="str">
        <f t="shared" si="118"/>
        <v>MCSGAST2</v>
      </c>
      <c r="S464" s="31"/>
      <c r="T464" s="185">
        <f t="shared" si="119"/>
        <v>46143</v>
      </c>
      <c r="U464" s="181">
        <v>462</v>
      </c>
    </row>
    <row r="465" spans="2:21" s="181" customFormat="1" x14ac:dyDescent="0.25">
      <c r="B465" s="182" t="s">
        <v>25</v>
      </c>
      <c r="C465" s="183"/>
      <c r="D465" s="54" t="str">
        <f>INDEX(Cad_Natureza!$B$3:$C$52,MATCH('2026'!F465,Cad_Natureza!$C$3:$C$52,0),MATCH('2026'!D$2,Cad_Natureza!$B$3:$C$3,0))</f>
        <v>GAST1</v>
      </c>
      <c r="E465" s="52" t="str">
        <f t="shared" si="111"/>
        <v>Despesa 463</v>
      </c>
      <c r="F465" s="53" t="s">
        <v>65</v>
      </c>
      <c r="G465" s="54" t="s">
        <v>25</v>
      </c>
      <c r="H465" s="55">
        <v>46154</v>
      </c>
      <c r="I465" s="55"/>
      <c r="J465" s="50" t="str">
        <f t="shared" si="112"/>
        <v>Observação da despesa 463</v>
      </c>
      <c r="K465" s="43">
        <v>-18.600000000000001</v>
      </c>
      <c r="L465" s="43">
        <f t="shared" si="113"/>
        <v>0.11000000000080234</v>
      </c>
      <c r="M465" s="183"/>
      <c r="N465" s="37" t="str">
        <f t="shared" si="114"/>
        <v>MCSGAST1CPF - Desp. Lazer e Entretenimento - Bares</v>
      </c>
      <c r="O465" s="37" t="str">
        <f t="shared" si="115"/>
        <v>GAST1CPF - Desp. Lazer e Entretenimento - Bares</v>
      </c>
      <c r="P465" s="37" t="str">
        <f t="shared" si="116"/>
        <v>MCSGAST1CPF - Desp. Lazer e Entretenimento - Bares</v>
      </c>
      <c r="Q465" s="37" t="str">
        <f t="shared" si="117"/>
        <v>MCSGAST1</v>
      </c>
      <c r="R465" s="37" t="str">
        <f t="shared" si="118"/>
        <v>MCSGAST1</v>
      </c>
      <c r="S465" s="31"/>
      <c r="T465" s="185">
        <f t="shared" si="119"/>
        <v>46143</v>
      </c>
      <c r="U465" s="181">
        <v>463</v>
      </c>
    </row>
    <row r="466" spans="2:21" s="177" customFormat="1" x14ac:dyDescent="0.25">
      <c r="B466" s="174" t="s">
        <v>25</v>
      </c>
      <c r="C466" s="51"/>
      <c r="D466" s="44" t="str">
        <f>INDEX(Cad_Natureza!$B$3:$C$52,MATCH('2026'!F466,Cad_Natureza!$C$3:$C$52,0),MATCH('2026'!D$2,Cad_Natureza!$B$3:$C$3,0))</f>
        <v>REC4</v>
      </c>
      <c r="E466" s="45" t="str">
        <f t="shared" si="111"/>
        <v>Receita 464</v>
      </c>
      <c r="F466" s="46" t="s">
        <v>57</v>
      </c>
      <c r="G466" s="44" t="s">
        <v>25</v>
      </c>
      <c r="H466" s="47">
        <v>46154</v>
      </c>
      <c r="I466" s="47"/>
      <c r="J466" s="48" t="str">
        <f t="shared" si="112"/>
        <v>Observação da receita 464</v>
      </c>
      <c r="K466" s="49">
        <v>1000</v>
      </c>
      <c r="L466" s="49">
        <f t="shared" si="113"/>
        <v>1000.1100000000008</v>
      </c>
      <c r="M466" s="51"/>
      <c r="N466" s="37" t="str">
        <f t="shared" si="114"/>
        <v>MCSREC4CPF - Transf. Da conta PJ para a conta PF</v>
      </c>
      <c r="O466" s="37" t="str">
        <f t="shared" si="115"/>
        <v>REC4CPF - Transf. Da conta PJ para a conta PF</v>
      </c>
      <c r="P466" s="37" t="str">
        <f t="shared" si="116"/>
        <v>MCSREC4CPF - Transf. Da conta PJ para a conta PF</v>
      </c>
      <c r="Q466" s="37" t="str">
        <f t="shared" si="117"/>
        <v>MCSREC4</v>
      </c>
      <c r="R466" s="37" t="str">
        <f t="shared" si="118"/>
        <v>MCSREC4</v>
      </c>
      <c r="S466" s="31"/>
      <c r="T466" s="176">
        <f t="shared" si="119"/>
        <v>46143</v>
      </c>
      <c r="U466" s="181">
        <v>464</v>
      </c>
    </row>
    <row r="467" spans="2:21" s="181" customFormat="1" x14ac:dyDescent="0.25">
      <c r="B467" s="182" t="s">
        <v>25</v>
      </c>
      <c r="C467" s="183"/>
      <c r="D467" s="54" t="str">
        <f>INDEX(Cad_Natureza!$B$3:$C$52,MATCH('2026'!F467,Cad_Natureza!$C$3:$C$52,0),MATCH('2026'!D$2,Cad_Natureza!$B$3:$C$3,0))</f>
        <v>OPF2</v>
      </c>
      <c r="E467" s="52" t="str">
        <f t="shared" si="111"/>
        <v>Despesa 465</v>
      </c>
      <c r="F467" s="53" t="s">
        <v>64</v>
      </c>
      <c r="G467" s="54" t="s">
        <v>25</v>
      </c>
      <c r="H467" s="55">
        <v>46154</v>
      </c>
      <c r="I467" s="55"/>
      <c r="J467" s="50" t="str">
        <f t="shared" si="112"/>
        <v>Observação da despesa 465</v>
      </c>
      <c r="K467" s="43">
        <v>-80</v>
      </c>
      <c r="L467" s="43">
        <f t="shared" si="113"/>
        <v>920.11000000000081</v>
      </c>
      <c r="M467" s="183"/>
      <c r="N467" s="37" t="str">
        <f t="shared" si="114"/>
        <v>MCSOPF2CPF - Desp. Transporte / Combustível</v>
      </c>
      <c r="O467" s="37" t="str">
        <f t="shared" si="115"/>
        <v>OPF2CPF - Desp. Transporte / Combustível</v>
      </c>
      <c r="P467" s="37" t="str">
        <f t="shared" si="116"/>
        <v>MCSOPF2CPF - Desp. Transporte / Combustível</v>
      </c>
      <c r="Q467" s="37" t="str">
        <f t="shared" si="117"/>
        <v>MCSOPF2</v>
      </c>
      <c r="R467" s="37" t="str">
        <f t="shared" si="118"/>
        <v>MCSOPF2</v>
      </c>
      <c r="S467" s="31"/>
      <c r="T467" s="185">
        <f t="shared" si="119"/>
        <v>46143</v>
      </c>
      <c r="U467" s="181">
        <v>465</v>
      </c>
    </row>
    <row r="468" spans="2:21" s="181" customFormat="1" x14ac:dyDescent="0.25">
      <c r="B468" s="182" t="s">
        <v>25</v>
      </c>
      <c r="C468" s="183"/>
      <c r="D468" s="54" t="str">
        <f>INDEX(Cad_Natureza!$B$3:$C$52,MATCH('2026'!F468,Cad_Natureza!$C$3:$C$52,0),MATCH('2026'!D$2,Cad_Natureza!$B$3:$C$3,0))</f>
        <v>OPF1</v>
      </c>
      <c r="E468" s="52" t="str">
        <f t="shared" si="111"/>
        <v>Despesa 466</v>
      </c>
      <c r="F468" s="53" t="s">
        <v>67</v>
      </c>
      <c r="G468" s="54" t="s">
        <v>25</v>
      </c>
      <c r="H468" s="55">
        <v>46155</v>
      </c>
      <c r="I468" s="55"/>
      <c r="J468" s="50" t="str">
        <f t="shared" si="112"/>
        <v>Observação da despesa 466</v>
      </c>
      <c r="K468" s="43">
        <v>-20</v>
      </c>
      <c r="L468" s="43">
        <f t="shared" si="113"/>
        <v>900.11000000000081</v>
      </c>
      <c r="M468" s="183"/>
      <c r="N468" s="37" t="str">
        <f t="shared" si="114"/>
        <v>MCSOPF1CPF - Desp. Alimentação / Refeição</v>
      </c>
      <c r="O468" s="37" t="str">
        <f t="shared" si="115"/>
        <v>OPF1CPF - Desp. Alimentação / Refeição</v>
      </c>
      <c r="P468" s="37" t="str">
        <f t="shared" si="116"/>
        <v>MCSOPF1CPF - Desp. Alimentação / Refeição</v>
      </c>
      <c r="Q468" s="37" t="str">
        <f t="shared" si="117"/>
        <v>MCSOPF1</v>
      </c>
      <c r="R468" s="37" t="str">
        <f t="shared" si="118"/>
        <v>MCSOPF1</v>
      </c>
      <c r="S468" s="31"/>
      <c r="T468" s="185">
        <f t="shared" si="119"/>
        <v>46143</v>
      </c>
      <c r="U468" s="181">
        <v>466</v>
      </c>
    </row>
    <row r="469" spans="2:21" s="181" customFormat="1" x14ac:dyDescent="0.25">
      <c r="B469" s="182" t="s">
        <v>25</v>
      </c>
      <c r="C469" s="183"/>
      <c r="D469" s="54" t="str">
        <f>INDEX(Cad_Natureza!$B$3:$C$52,MATCH('2026'!F469,Cad_Natureza!$C$3:$C$52,0),MATCH('2026'!D$2,Cad_Natureza!$B$3:$C$3,0))</f>
        <v>OUG1</v>
      </c>
      <c r="E469" s="52" t="str">
        <f t="shared" si="111"/>
        <v>Despesa 467</v>
      </c>
      <c r="F469" s="53" t="s">
        <v>70</v>
      </c>
      <c r="G469" s="54" t="s">
        <v>25</v>
      </c>
      <c r="H469" s="55">
        <v>46155</v>
      </c>
      <c r="I469" s="55"/>
      <c r="J469" s="50" t="str">
        <f t="shared" si="112"/>
        <v>Observação da despesa 467</v>
      </c>
      <c r="K469" s="43">
        <v>-20</v>
      </c>
      <c r="L469" s="43">
        <f t="shared" si="113"/>
        <v>880.11000000000081</v>
      </c>
      <c r="M469" s="183"/>
      <c r="N469" s="37" t="str">
        <f t="shared" si="114"/>
        <v>MCSOUG1CPF - Outros gastos</v>
      </c>
      <c r="O469" s="37" t="str">
        <f t="shared" si="115"/>
        <v>OUG1CPF - Outros gastos</v>
      </c>
      <c r="P469" s="37" t="str">
        <f t="shared" si="116"/>
        <v>MCSOUG1CPF - Outros gastos</v>
      </c>
      <c r="Q469" s="37" t="str">
        <f t="shared" si="117"/>
        <v>MCSOUG1</v>
      </c>
      <c r="R469" s="37" t="str">
        <f t="shared" si="118"/>
        <v>MCSOUG1</v>
      </c>
      <c r="S469" s="31"/>
      <c r="T469" s="185">
        <f t="shared" si="119"/>
        <v>46143</v>
      </c>
      <c r="U469" s="181">
        <v>467</v>
      </c>
    </row>
    <row r="470" spans="2:21" s="181" customFormat="1" x14ac:dyDescent="0.25">
      <c r="B470" s="182" t="s">
        <v>25</v>
      </c>
      <c r="C470" s="183"/>
      <c r="D470" s="54" t="str">
        <f>INDEX(Cad_Natureza!$B$3:$C$52,MATCH('2026'!F470,Cad_Natureza!$C$3:$C$52,0),MATCH('2026'!D$2,Cad_Natureza!$B$3:$C$3,0))</f>
        <v>GAST1</v>
      </c>
      <c r="E470" s="52" t="str">
        <f t="shared" si="111"/>
        <v>Despesa 468</v>
      </c>
      <c r="F470" s="53" t="s">
        <v>65</v>
      </c>
      <c r="G470" s="54" t="s">
        <v>25</v>
      </c>
      <c r="H470" s="55">
        <v>46155</v>
      </c>
      <c r="I470" s="55"/>
      <c r="J470" s="50" t="str">
        <f t="shared" si="112"/>
        <v>Observação da despesa 468</v>
      </c>
      <c r="K470" s="43">
        <v>-30</v>
      </c>
      <c r="L470" s="43">
        <f t="shared" si="113"/>
        <v>850.11000000000081</v>
      </c>
      <c r="M470" s="183"/>
      <c r="N470" s="37" t="str">
        <f t="shared" si="114"/>
        <v>MCSGAST1CPF - Desp. Lazer e Entretenimento - Bares</v>
      </c>
      <c r="O470" s="37" t="str">
        <f t="shared" si="115"/>
        <v>GAST1CPF - Desp. Lazer e Entretenimento - Bares</v>
      </c>
      <c r="P470" s="37" t="str">
        <f t="shared" si="116"/>
        <v>MCSGAST1CPF - Desp. Lazer e Entretenimento - Bares</v>
      </c>
      <c r="Q470" s="37" t="str">
        <f t="shared" si="117"/>
        <v>MCSGAST1</v>
      </c>
      <c r="R470" s="37" t="str">
        <f t="shared" si="118"/>
        <v>MCSGAST1</v>
      </c>
      <c r="S470" s="31"/>
      <c r="T470" s="185">
        <f t="shared" si="119"/>
        <v>46143</v>
      </c>
      <c r="U470" s="181">
        <v>468</v>
      </c>
    </row>
    <row r="471" spans="2:21" s="181" customFormat="1" x14ac:dyDescent="0.25">
      <c r="B471" s="182" t="s">
        <v>25</v>
      </c>
      <c r="C471" s="183"/>
      <c r="D471" s="54" t="str">
        <f>INDEX(Cad_Natureza!$B$3:$C$52,MATCH('2026'!F471,Cad_Natureza!$C$3:$C$52,0),MATCH('2026'!D$2,Cad_Natureza!$B$3:$C$3,0))</f>
        <v>GAST1</v>
      </c>
      <c r="E471" s="52" t="str">
        <f t="shared" si="111"/>
        <v>Despesa 469</v>
      </c>
      <c r="F471" s="53" t="s">
        <v>65</v>
      </c>
      <c r="G471" s="54" t="s">
        <v>25</v>
      </c>
      <c r="H471" s="55">
        <v>46155</v>
      </c>
      <c r="I471" s="55"/>
      <c r="J471" s="50" t="str">
        <f t="shared" si="112"/>
        <v>Observação da despesa 469</v>
      </c>
      <c r="K471" s="43">
        <v>-20</v>
      </c>
      <c r="L471" s="43">
        <f t="shared" si="113"/>
        <v>830.11000000000081</v>
      </c>
      <c r="M471" s="183"/>
      <c r="N471" s="37" t="str">
        <f t="shared" si="114"/>
        <v>MCSGAST1CPF - Desp. Lazer e Entretenimento - Bares</v>
      </c>
      <c r="O471" s="37" t="str">
        <f t="shared" si="115"/>
        <v>GAST1CPF - Desp. Lazer e Entretenimento - Bares</v>
      </c>
      <c r="P471" s="37" t="str">
        <f t="shared" si="116"/>
        <v>MCSGAST1CPF - Desp. Lazer e Entretenimento - Bares</v>
      </c>
      <c r="Q471" s="37" t="str">
        <f t="shared" si="117"/>
        <v>MCSGAST1</v>
      </c>
      <c r="R471" s="37" t="str">
        <f t="shared" si="118"/>
        <v>MCSGAST1</v>
      </c>
      <c r="S471" s="31"/>
      <c r="T471" s="185">
        <f t="shared" si="119"/>
        <v>46143</v>
      </c>
      <c r="U471" s="181">
        <v>469</v>
      </c>
    </row>
    <row r="472" spans="2:21" s="181" customFormat="1" x14ac:dyDescent="0.25">
      <c r="B472" s="182" t="s">
        <v>25</v>
      </c>
      <c r="C472" s="183"/>
      <c r="D472" s="54" t="str">
        <f>INDEX(Cad_Natureza!$B$3:$C$52,MATCH('2026'!F472,Cad_Natureza!$C$3:$C$52,0),MATCH('2026'!D$2,Cad_Natureza!$B$3:$C$3,0))</f>
        <v>PENS1</v>
      </c>
      <c r="E472" s="52" t="str">
        <f t="shared" si="111"/>
        <v>Despesa 470</v>
      </c>
      <c r="F472" s="53" t="s">
        <v>40</v>
      </c>
      <c r="G472" s="54" t="s">
        <v>25</v>
      </c>
      <c r="H472" s="55">
        <v>46155</v>
      </c>
      <c r="I472" s="55"/>
      <c r="J472" s="50" t="str">
        <f t="shared" si="112"/>
        <v>Observação da despesa 470</v>
      </c>
      <c r="K472" s="43">
        <v>-700</v>
      </c>
      <c r="L472" s="43">
        <f t="shared" si="113"/>
        <v>130.11000000000081</v>
      </c>
      <c r="M472" s="183"/>
      <c r="N472" s="37" t="str">
        <f t="shared" si="114"/>
        <v>MCSPENS1CPF - Pensão - Aluguel</v>
      </c>
      <c r="O472" s="37" t="str">
        <f t="shared" si="115"/>
        <v>PENS1CPF - Pensão - Aluguel</v>
      </c>
      <c r="P472" s="37" t="str">
        <f t="shared" si="116"/>
        <v>MCSPENS1CPF - Pensão - Aluguel</v>
      </c>
      <c r="Q472" s="37" t="str">
        <f t="shared" si="117"/>
        <v>MCSPENS1</v>
      </c>
      <c r="R472" s="37" t="str">
        <f t="shared" si="118"/>
        <v>MCSPENS1</v>
      </c>
      <c r="S472" s="31"/>
      <c r="T472" s="185">
        <f t="shared" si="119"/>
        <v>46143</v>
      </c>
      <c r="U472" s="181">
        <v>470</v>
      </c>
    </row>
    <row r="473" spans="2:21" s="177" customFormat="1" x14ac:dyDescent="0.25">
      <c r="B473" s="174" t="s">
        <v>25</v>
      </c>
      <c r="C473" s="51"/>
      <c r="D473" s="44" t="str">
        <f>INDEX(Cad_Natureza!$B$3:$C$52,MATCH('2026'!F473,Cad_Natureza!$C$3:$C$52,0),MATCH('2026'!D$2,Cad_Natureza!$B$3:$C$3,0))</f>
        <v>REC4</v>
      </c>
      <c r="E473" s="45" t="str">
        <f t="shared" si="111"/>
        <v>Receita 471</v>
      </c>
      <c r="F473" s="46" t="s">
        <v>57</v>
      </c>
      <c r="G473" s="44" t="s">
        <v>25</v>
      </c>
      <c r="H473" s="47">
        <v>46156</v>
      </c>
      <c r="I473" s="47"/>
      <c r="J473" s="48" t="str">
        <f t="shared" si="112"/>
        <v>Observação da receita 471</v>
      </c>
      <c r="K473" s="49">
        <v>1000</v>
      </c>
      <c r="L473" s="49">
        <f t="shared" si="113"/>
        <v>1130.1100000000008</v>
      </c>
      <c r="M473" s="51"/>
      <c r="N473" s="37" t="str">
        <f t="shared" si="114"/>
        <v>MCSREC4CPF - Transf. Da conta PJ para a conta PF</v>
      </c>
      <c r="O473" s="37" t="str">
        <f t="shared" si="115"/>
        <v>REC4CPF - Transf. Da conta PJ para a conta PF</v>
      </c>
      <c r="P473" s="37" t="str">
        <f t="shared" si="116"/>
        <v>MCSREC4CPF - Transf. Da conta PJ para a conta PF</v>
      </c>
      <c r="Q473" s="37" t="str">
        <f t="shared" si="117"/>
        <v>MCSREC4</v>
      </c>
      <c r="R473" s="37" t="str">
        <f t="shared" si="118"/>
        <v>MCSREC4</v>
      </c>
      <c r="S473" s="31"/>
      <c r="T473" s="176">
        <f t="shared" si="119"/>
        <v>46143</v>
      </c>
      <c r="U473" s="181">
        <v>471</v>
      </c>
    </row>
    <row r="474" spans="2:21" s="181" customFormat="1" x14ac:dyDescent="0.25">
      <c r="B474" s="182" t="s">
        <v>25</v>
      </c>
      <c r="C474" s="183"/>
      <c r="D474" s="54" t="str">
        <f>INDEX(Cad_Natureza!$B$3:$C$52,MATCH('2026'!F474,Cad_Natureza!$C$3:$C$52,0),MATCH('2026'!D$2,Cad_Natureza!$B$3:$C$3,0))</f>
        <v>OPF2</v>
      </c>
      <c r="E474" s="52" t="str">
        <f t="shared" si="111"/>
        <v>Despesa 472</v>
      </c>
      <c r="F474" s="53" t="s">
        <v>64</v>
      </c>
      <c r="G474" s="54" t="s">
        <v>25</v>
      </c>
      <c r="H474" s="55">
        <v>46156</v>
      </c>
      <c r="I474" s="55"/>
      <c r="J474" s="50" t="str">
        <f t="shared" si="112"/>
        <v>Observação da despesa 472</v>
      </c>
      <c r="K474" s="43">
        <v>-80</v>
      </c>
      <c r="L474" s="43">
        <f t="shared" si="113"/>
        <v>1050.1100000000008</v>
      </c>
      <c r="M474" s="183"/>
      <c r="N474" s="37" t="str">
        <f t="shared" si="114"/>
        <v>MCSOPF2CPF - Desp. Transporte / Combustível</v>
      </c>
      <c r="O474" s="37" t="str">
        <f t="shared" si="115"/>
        <v>OPF2CPF - Desp. Transporte / Combustível</v>
      </c>
      <c r="P474" s="37" t="str">
        <f t="shared" si="116"/>
        <v>MCSOPF2CPF - Desp. Transporte / Combustível</v>
      </c>
      <c r="Q474" s="37" t="str">
        <f t="shared" si="117"/>
        <v>MCSOPF2</v>
      </c>
      <c r="R474" s="37" t="str">
        <f t="shared" si="118"/>
        <v>MCSOPF2</v>
      </c>
      <c r="S474" s="31"/>
      <c r="T474" s="185">
        <f t="shared" si="119"/>
        <v>46143</v>
      </c>
      <c r="U474" s="181">
        <v>472</v>
      </c>
    </row>
    <row r="475" spans="2:21" s="181" customFormat="1" x14ac:dyDescent="0.25">
      <c r="B475" s="182" t="s">
        <v>25</v>
      </c>
      <c r="C475" s="183"/>
      <c r="D475" s="54" t="str">
        <f>INDEX(Cad_Natureza!$B$3:$C$52,MATCH('2026'!F475,Cad_Natureza!$C$3:$C$52,0),MATCH('2026'!D$2,Cad_Natureza!$B$3:$C$3,0))</f>
        <v>OPF1</v>
      </c>
      <c r="E475" s="52" t="str">
        <f t="shared" si="111"/>
        <v>Despesa 473</v>
      </c>
      <c r="F475" s="53" t="s">
        <v>67</v>
      </c>
      <c r="G475" s="54" t="s">
        <v>25</v>
      </c>
      <c r="H475" s="55">
        <v>46156</v>
      </c>
      <c r="I475" s="55"/>
      <c r="J475" s="50" t="str">
        <f t="shared" si="112"/>
        <v>Observação da despesa 473</v>
      </c>
      <c r="K475" s="43">
        <v>-24</v>
      </c>
      <c r="L475" s="43">
        <f t="shared" si="113"/>
        <v>1026.1100000000008</v>
      </c>
      <c r="M475" s="183"/>
      <c r="N475" s="37" t="str">
        <f t="shared" si="114"/>
        <v>MCSOPF1CPF - Desp. Alimentação / Refeição</v>
      </c>
      <c r="O475" s="37" t="str">
        <f t="shared" si="115"/>
        <v>OPF1CPF - Desp. Alimentação / Refeição</v>
      </c>
      <c r="P475" s="37" t="str">
        <f t="shared" si="116"/>
        <v>MCSOPF1CPF - Desp. Alimentação / Refeição</v>
      </c>
      <c r="Q475" s="37" t="str">
        <f t="shared" si="117"/>
        <v>MCSOPF1</v>
      </c>
      <c r="R475" s="37" t="str">
        <f t="shared" si="118"/>
        <v>MCSOPF1</v>
      </c>
      <c r="S475" s="31"/>
      <c r="T475" s="185">
        <f t="shared" si="119"/>
        <v>46143</v>
      </c>
      <c r="U475" s="181">
        <v>473</v>
      </c>
    </row>
    <row r="476" spans="2:21" s="181" customFormat="1" x14ac:dyDescent="0.25">
      <c r="B476" s="182" t="s">
        <v>25</v>
      </c>
      <c r="C476" s="183"/>
      <c r="D476" s="54" t="str">
        <f>INDEX(Cad_Natureza!$B$3:$C$52,MATCH('2026'!F476,Cad_Natureza!$C$3:$C$52,0),MATCH('2026'!D$2,Cad_Natureza!$B$3:$C$3,0))</f>
        <v>DESP4</v>
      </c>
      <c r="E476" s="52" t="str">
        <f t="shared" si="111"/>
        <v>Despesa 474</v>
      </c>
      <c r="F476" s="53" t="s">
        <v>74</v>
      </c>
      <c r="G476" s="54" t="s">
        <v>25</v>
      </c>
      <c r="H476" s="55">
        <v>46156</v>
      </c>
      <c r="I476" s="55"/>
      <c r="J476" s="50" t="str">
        <f t="shared" si="112"/>
        <v>Observação da despesa 474</v>
      </c>
      <c r="K476" s="43">
        <v>-35</v>
      </c>
      <c r="L476" s="43">
        <f t="shared" si="113"/>
        <v>991.11000000000081</v>
      </c>
      <c r="M476" s="183"/>
      <c r="N476" s="37" t="str">
        <f t="shared" si="114"/>
        <v>MCSDESP4CPF - Desp. Moradia</v>
      </c>
      <c r="O476" s="37" t="str">
        <f t="shared" si="115"/>
        <v>DESP4CPF - Desp. Moradia</v>
      </c>
      <c r="P476" s="37" t="str">
        <f t="shared" si="116"/>
        <v>MCSDESP4CPF - Desp. Moradia</v>
      </c>
      <c r="Q476" s="37" t="str">
        <f t="shared" si="117"/>
        <v>MCSDESP4</v>
      </c>
      <c r="R476" s="37" t="str">
        <f t="shared" si="118"/>
        <v>MCSDESP4</v>
      </c>
      <c r="S476" s="31"/>
      <c r="T476" s="185">
        <f t="shared" si="119"/>
        <v>46143</v>
      </c>
      <c r="U476" s="181">
        <v>474</v>
      </c>
    </row>
    <row r="477" spans="2:21" s="181" customFormat="1" x14ac:dyDescent="0.25">
      <c r="B477" s="182" t="s">
        <v>25</v>
      </c>
      <c r="C477" s="183"/>
      <c r="D477" s="54" t="str">
        <f>INDEX(Cad_Natureza!$B$3:$C$52,MATCH('2026'!F477,Cad_Natureza!$C$3:$C$52,0),MATCH('2026'!D$2,Cad_Natureza!$B$3:$C$3,0))</f>
        <v>OPF1</v>
      </c>
      <c r="E477" s="52" t="str">
        <f t="shared" si="111"/>
        <v>Despesa 475</v>
      </c>
      <c r="F477" s="53" t="s">
        <v>67</v>
      </c>
      <c r="G477" s="54" t="s">
        <v>25</v>
      </c>
      <c r="H477" s="55">
        <v>46156</v>
      </c>
      <c r="I477" s="55"/>
      <c r="J477" s="50" t="str">
        <f t="shared" si="112"/>
        <v>Observação da despesa 475</v>
      </c>
      <c r="K477" s="43">
        <v>-42</v>
      </c>
      <c r="L477" s="43">
        <f t="shared" si="113"/>
        <v>949.11000000000081</v>
      </c>
      <c r="M477" s="183"/>
      <c r="N477" s="37" t="str">
        <f t="shared" si="114"/>
        <v>MCSOPF1CPF - Desp. Alimentação / Refeição</v>
      </c>
      <c r="O477" s="37" t="str">
        <f t="shared" si="115"/>
        <v>OPF1CPF - Desp. Alimentação / Refeição</v>
      </c>
      <c r="P477" s="37" t="str">
        <f t="shared" si="116"/>
        <v>MCSOPF1CPF - Desp. Alimentação / Refeição</v>
      </c>
      <c r="Q477" s="37" t="str">
        <f t="shared" si="117"/>
        <v>MCSOPF1</v>
      </c>
      <c r="R477" s="37" t="str">
        <f t="shared" si="118"/>
        <v>MCSOPF1</v>
      </c>
      <c r="S477" s="31"/>
      <c r="T477" s="185">
        <f t="shared" si="119"/>
        <v>46143</v>
      </c>
      <c r="U477" s="181">
        <v>475</v>
      </c>
    </row>
    <row r="478" spans="2:21" s="181" customFormat="1" x14ac:dyDescent="0.25">
      <c r="B478" s="182" t="s">
        <v>25</v>
      </c>
      <c r="C478" s="183"/>
      <c r="D478" s="54" t="str">
        <f>INDEX(Cad_Natureza!$B$3:$C$52,MATCH('2026'!F478,Cad_Natureza!$C$3:$C$52,0),MATCH('2026'!D$2,Cad_Natureza!$B$3:$C$3,0))</f>
        <v>OPF1</v>
      </c>
      <c r="E478" s="52" t="str">
        <f t="shared" si="111"/>
        <v>Despesa 476</v>
      </c>
      <c r="F478" s="53" t="s">
        <v>67</v>
      </c>
      <c r="G478" s="54" t="s">
        <v>25</v>
      </c>
      <c r="H478" s="55">
        <v>46157</v>
      </c>
      <c r="I478" s="55"/>
      <c r="J478" s="50" t="str">
        <f t="shared" si="112"/>
        <v>Observação da despesa 476</v>
      </c>
      <c r="K478" s="43">
        <v>-24</v>
      </c>
      <c r="L478" s="43">
        <f t="shared" si="113"/>
        <v>925.11000000000081</v>
      </c>
      <c r="M478" s="183"/>
      <c r="N478" s="37" t="str">
        <f t="shared" si="114"/>
        <v>MCSOPF1CPF - Desp. Alimentação / Refeição</v>
      </c>
      <c r="O478" s="37" t="str">
        <f t="shared" si="115"/>
        <v>OPF1CPF - Desp. Alimentação / Refeição</v>
      </c>
      <c r="P478" s="37" t="str">
        <f t="shared" si="116"/>
        <v>MCSOPF1CPF - Desp. Alimentação / Refeição</v>
      </c>
      <c r="Q478" s="37" t="str">
        <f t="shared" si="117"/>
        <v>MCSOPF1</v>
      </c>
      <c r="R478" s="37" t="str">
        <f t="shared" si="118"/>
        <v>MCSOPF1</v>
      </c>
      <c r="S478" s="31"/>
      <c r="T478" s="185">
        <f t="shared" si="119"/>
        <v>46143</v>
      </c>
      <c r="U478" s="181">
        <v>476</v>
      </c>
    </row>
    <row r="479" spans="2:21" s="181" customFormat="1" x14ac:dyDescent="0.25">
      <c r="B479" s="182" t="s">
        <v>25</v>
      </c>
      <c r="C479" s="183"/>
      <c r="D479" s="54" t="str">
        <f>INDEX(Cad_Natureza!$B$3:$C$52,MATCH('2026'!F479,Cad_Natureza!$C$3:$C$52,0),MATCH('2026'!D$2,Cad_Natureza!$B$3:$C$3,0))</f>
        <v>GAST1</v>
      </c>
      <c r="E479" s="52" t="str">
        <f t="shared" si="111"/>
        <v>Despesa 477</v>
      </c>
      <c r="F479" s="53" t="s">
        <v>65</v>
      </c>
      <c r="G479" s="54" t="s">
        <v>25</v>
      </c>
      <c r="H479" s="55">
        <v>46157</v>
      </c>
      <c r="I479" s="55"/>
      <c r="J479" s="50" t="str">
        <f t="shared" si="112"/>
        <v>Observação da despesa 477</v>
      </c>
      <c r="K479" s="43">
        <v>-35.35</v>
      </c>
      <c r="L479" s="43">
        <f t="shared" si="113"/>
        <v>889.76000000000079</v>
      </c>
      <c r="M479" s="183"/>
      <c r="N479" s="37" t="str">
        <f t="shared" si="114"/>
        <v>MCSGAST1CPF - Desp. Lazer e Entretenimento - Bares</v>
      </c>
      <c r="O479" s="37" t="str">
        <f t="shared" si="115"/>
        <v>GAST1CPF - Desp. Lazer e Entretenimento - Bares</v>
      </c>
      <c r="P479" s="37" t="str">
        <f t="shared" si="116"/>
        <v>MCSGAST1CPF - Desp. Lazer e Entretenimento - Bares</v>
      </c>
      <c r="Q479" s="37" t="str">
        <f t="shared" si="117"/>
        <v>MCSGAST1</v>
      </c>
      <c r="R479" s="37" t="str">
        <f t="shared" si="118"/>
        <v>MCSGAST1</v>
      </c>
      <c r="S479" s="31"/>
      <c r="T479" s="185">
        <f t="shared" si="119"/>
        <v>46143</v>
      </c>
      <c r="U479" s="181">
        <v>477</v>
      </c>
    </row>
    <row r="480" spans="2:21" s="181" customFormat="1" x14ac:dyDescent="0.25">
      <c r="B480" s="182" t="s">
        <v>25</v>
      </c>
      <c r="C480" s="183"/>
      <c r="D480" s="54" t="str">
        <f>INDEX(Cad_Natureza!$B$3:$C$52,MATCH('2026'!F480,Cad_Natureza!$C$3:$C$52,0),MATCH('2026'!D$2,Cad_Natureza!$B$3:$C$3,0))</f>
        <v>GAST1</v>
      </c>
      <c r="E480" s="52" t="str">
        <f t="shared" si="111"/>
        <v>Despesa 478</v>
      </c>
      <c r="F480" s="53" t="s">
        <v>65</v>
      </c>
      <c r="G480" s="54" t="s">
        <v>25</v>
      </c>
      <c r="H480" s="55">
        <v>46157</v>
      </c>
      <c r="I480" s="55"/>
      <c r="J480" s="50" t="str">
        <f t="shared" si="112"/>
        <v>Observação da despesa 478</v>
      </c>
      <c r="K480" s="43">
        <v>-12</v>
      </c>
      <c r="L480" s="43">
        <f t="shared" si="113"/>
        <v>877.76000000000079</v>
      </c>
      <c r="M480" s="183"/>
      <c r="N480" s="37" t="str">
        <f t="shared" si="114"/>
        <v>MCSGAST1CPF - Desp. Lazer e Entretenimento - Bares</v>
      </c>
      <c r="O480" s="37" t="str">
        <f t="shared" si="115"/>
        <v>GAST1CPF - Desp. Lazer e Entretenimento - Bares</v>
      </c>
      <c r="P480" s="37" t="str">
        <f t="shared" si="116"/>
        <v>MCSGAST1CPF - Desp. Lazer e Entretenimento - Bares</v>
      </c>
      <c r="Q480" s="37" t="str">
        <f t="shared" si="117"/>
        <v>MCSGAST1</v>
      </c>
      <c r="R480" s="37" t="str">
        <f t="shared" si="118"/>
        <v>MCSGAST1</v>
      </c>
      <c r="S480" s="31"/>
      <c r="T480" s="185">
        <f t="shared" si="119"/>
        <v>46143</v>
      </c>
      <c r="U480" s="181">
        <v>478</v>
      </c>
    </row>
    <row r="481" spans="2:21" s="181" customFormat="1" x14ac:dyDescent="0.25">
      <c r="B481" s="182" t="s">
        <v>25</v>
      </c>
      <c r="C481" s="183"/>
      <c r="D481" s="54" t="str">
        <f>INDEX(Cad_Natureza!$B$3:$C$52,MATCH('2026'!F481,Cad_Natureza!$C$3:$C$52,0),MATCH('2026'!D$2,Cad_Natureza!$B$3:$C$3,0))</f>
        <v>OPF2</v>
      </c>
      <c r="E481" s="52" t="str">
        <f t="shared" si="111"/>
        <v>Despesa 479</v>
      </c>
      <c r="F481" s="53" t="s">
        <v>64</v>
      </c>
      <c r="G481" s="54" t="s">
        <v>25</v>
      </c>
      <c r="H481" s="55">
        <v>46157</v>
      </c>
      <c r="I481" s="55"/>
      <c r="J481" s="50" t="str">
        <f t="shared" si="112"/>
        <v>Observação da despesa 479</v>
      </c>
      <c r="K481" s="43">
        <v>-3.99</v>
      </c>
      <c r="L481" s="43">
        <f t="shared" si="113"/>
        <v>873.77000000000078</v>
      </c>
      <c r="M481" s="183"/>
      <c r="N481" s="37" t="str">
        <f t="shared" si="0"/>
        <v>MCSOPF2CPF - Desp. Transporte / Combustível</v>
      </c>
      <c r="O481" s="37" t="str">
        <f t="shared" si="1"/>
        <v>OPF2CPF - Desp. Transporte / Combustível</v>
      </c>
      <c r="P481" s="37" t="str">
        <f t="shared" si="2"/>
        <v>MCSOPF2CPF - Desp. Transporte / Combustível</v>
      </c>
      <c r="Q481" s="37" t="str">
        <f t="shared" si="3"/>
        <v>MCSOPF2</v>
      </c>
      <c r="R481" s="37" t="str">
        <f t="shared" si="4"/>
        <v>MCSOPF2</v>
      </c>
      <c r="S481" s="31"/>
      <c r="T481" s="185">
        <f t="shared" si="5"/>
        <v>46143</v>
      </c>
      <c r="U481" s="181">
        <v>479</v>
      </c>
    </row>
    <row r="482" spans="2:21" s="181" customFormat="1" x14ac:dyDescent="0.25">
      <c r="B482" s="182" t="s">
        <v>25</v>
      </c>
      <c r="C482" s="183"/>
      <c r="D482" s="54" t="str">
        <f>INDEX(Cad_Natureza!$B$3:$C$52,MATCH('2026'!F482,Cad_Natureza!$C$3:$C$52,0),MATCH('2026'!D$2,Cad_Natureza!$B$3:$C$3,0))</f>
        <v>GAST1</v>
      </c>
      <c r="E482" s="52" t="str">
        <f t="shared" si="111"/>
        <v>Despesa 480</v>
      </c>
      <c r="F482" s="53" t="s">
        <v>65</v>
      </c>
      <c r="G482" s="54" t="s">
        <v>25</v>
      </c>
      <c r="H482" s="55">
        <v>46157</v>
      </c>
      <c r="I482" s="55"/>
      <c r="J482" s="50" t="str">
        <f t="shared" si="112"/>
        <v>Observação da despesa 480</v>
      </c>
      <c r="K482" s="43">
        <v>-15</v>
      </c>
      <c r="L482" s="43">
        <f t="shared" si="113"/>
        <v>858.77000000000078</v>
      </c>
      <c r="M482" s="183"/>
      <c r="N482" s="37" t="str">
        <f t="shared" si="0"/>
        <v>MCSGAST1CPF - Desp. Lazer e Entretenimento - Bares</v>
      </c>
      <c r="O482" s="37" t="str">
        <f t="shared" si="1"/>
        <v>GAST1CPF - Desp. Lazer e Entretenimento - Bares</v>
      </c>
      <c r="P482" s="37" t="str">
        <f t="shared" si="2"/>
        <v>MCSGAST1CPF - Desp. Lazer e Entretenimento - Bares</v>
      </c>
      <c r="Q482" s="37" t="str">
        <f t="shared" si="3"/>
        <v>MCSGAST1</v>
      </c>
      <c r="R482" s="37" t="str">
        <f t="shared" si="4"/>
        <v>MCSGAST1</v>
      </c>
      <c r="S482" s="31"/>
      <c r="T482" s="185">
        <f t="shared" si="5"/>
        <v>46143</v>
      </c>
      <c r="U482" s="181">
        <v>480</v>
      </c>
    </row>
    <row r="483" spans="2:21" s="181" customFormat="1" x14ac:dyDescent="0.25">
      <c r="B483" s="182" t="s">
        <v>25</v>
      </c>
      <c r="C483" s="183"/>
      <c r="D483" s="54" t="str">
        <f>INDEX(Cad_Natureza!$B$3:$C$52,MATCH('2026'!F483,Cad_Natureza!$C$3:$C$52,0),MATCH('2026'!D$2,Cad_Natureza!$B$3:$C$3,0))</f>
        <v>GAST1</v>
      </c>
      <c r="E483" s="52" t="str">
        <f t="shared" si="111"/>
        <v>Despesa 481</v>
      </c>
      <c r="F483" s="53" t="s">
        <v>65</v>
      </c>
      <c r="G483" s="54" t="s">
        <v>25</v>
      </c>
      <c r="H483" s="55">
        <v>46157</v>
      </c>
      <c r="I483" s="55"/>
      <c r="J483" s="50" t="str">
        <f t="shared" si="112"/>
        <v>Observação da despesa 481</v>
      </c>
      <c r="K483" s="43">
        <v>-10</v>
      </c>
      <c r="L483" s="43">
        <f t="shared" si="113"/>
        <v>848.77000000000078</v>
      </c>
      <c r="M483" s="183"/>
      <c r="N483" s="37" t="str">
        <f t="shared" si="0"/>
        <v>MCSGAST1CPF - Desp. Lazer e Entretenimento - Bares</v>
      </c>
      <c r="O483" s="37" t="str">
        <f t="shared" si="1"/>
        <v>GAST1CPF - Desp. Lazer e Entretenimento - Bares</v>
      </c>
      <c r="P483" s="37" t="str">
        <f t="shared" si="2"/>
        <v>MCSGAST1CPF - Desp. Lazer e Entretenimento - Bares</v>
      </c>
      <c r="Q483" s="37" t="str">
        <f t="shared" si="3"/>
        <v>MCSGAST1</v>
      </c>
      <c r="R483" s="37" t="str">
        <f t="shared" si="4"/>
        <v>MCSGAST1</v>
      </c>
      <c r="S483" s="31"/>
      <c r="T483" s="185">
        <f t="shared" si="5"/>
        <v>46143</v>
      </c>
      <c r="U483" s="181">
        <v>481</v>
      </c>
    </row>
    <row r="484" spans="2:21" s="181" customFormat="1" x14ac:dyDescent="0.25">
      <c r="B484" s="182" t="s">
        <v>25</v>
      </c>
      <c r="C484" s="183"/>
      <c r="D484" s="54" t="str">
        <f>INDEX(Cad_Natureza!$B$3:$C$52,MATCH('2026'!F484,Cad_Natureza!$C$3:$C$52,0),MATCH('2026'!D$2,Cad_Natureza!$B$3:$C$3,0))</f>
        <v>GAST1</v>
      </c>
      <c r="E484" s="52" t="str">
        <f t="shared" si="111"/>
        <v>Despesa 482</v>
      </c>
      <c r="F484" s="53" t="s">
        <v>65</v>
      </c>
      <c r="G484" s="54" t="s">
        <v>25</v>
      </c>
      <c r="H484" s="55">
        <v>46157</v>
      </c>
      <c r="I484" s="55"/>
      <c r="J484" s="50" t="str">
        <f t="shared" si="112"/>
        <v>Observação da despesa 482</v>
      </c>
      <c r="K484" s="43">
        <v>-7</v>
      </c>
      <c r="L484" s="43">
        <f t="shared" si="113"/>
        <v>841.77000000000078</v>
      </c>
      <c r="M484" s="183"/>
      <c r="N484" s="37" t="str">
        <f t="shared" si="0"/>
        <v>MCSGAST1CPF - Desp. Lazer e Entretenimento - Bares</v>
      </c>
      <c r="O484" s="37" t="str">
        <f t="shared" si="1"/>
        <v>GAST1CPF - Desp. Lazer e Entretenimento - Bares</v>
      </c>
      <c r="P484" s="37" t="str">
        <f t="shared" si="2"/>
        <v>MCSGAST1CPF - Desp. Lazer e Entretenimento - Bares</v>
      </c>
      <c r="Q484" s="37" t="str">
        <f t="shared" si="3"/>
        <v>MCSGAST1</v>
      </c>
      <c r="R484" s="37" t="str">
        <f t="shared" si="4"/>
        <v>MCSGAST1</v>
      </c>
      <c r="S484" s="31"/>
      <c r="T484" s="185">
        <f t="shared" si="5"/>
        <v>46143</v>
      </c>
      <c r="U484" s="181">
        <v>482</v>
      </c>
    </row>
    <row r="485" spans="2:21" s="181" customFormat="1" x14ac:dyDescent="0.25">
      <c r="B485" s="182" t="s">
        <v>25</v>
      </c>
      <c r="C485" s="183"/>
      <c r="D485" s="54" t="str">
        <f>INDEX(Cad_Natureza!$B$3:$C$52,MATCH('2026'!F485,Cad_Natureza!$C$3:$C$52,0),MATCH('2026'!D$2,Cad_Natureza!$B$3:$C$3,0))</f>
        <v>GAST1</v>
      </c>
      <c r="E485" s="52" t="str">
        <f t="shared" si="111"/>
        <v>Despesa 483</v>
      </c>
      <c r="F485" s="53" t="s">
        <v>65</v>
      </c>
      <c r="G485" s="54" t="s">
        <v>25</v>
      </c>
      <c r="H485" s="55">
        <v>46160</v>
      </c>
      <c r="I485" s="55"/>
      <c r="J485" s="50" t="str">
        <f t="shared" si="112"/>
        <v>Observação da despesa 483</v>
      </c>
      <c r="K485" s="43">
        <v>-42</v>
      </c>
      <c r="L485" s="43">
        <f t="shared" si="113"/>
        <v>799.77000000000078</v>
      </c>
      <c r="M485" s="183"/>
      <c r="N485" s="37" t="str">
        <f t="shared" si="0"/>
        <v>MCSGAST1CPF - Desp. Lazer e Entretenimento - Bares</v>
      </c>
      <c r="O485" s="37" t="str">
        <f t="shared" si="1"/>
        <v>GAST1CPF - Desp. Lazer e Entretenimento - Bares</v>
      </c>
      <c r="P485" s="37" t="str">
        <f t="shared" si="2"/>
        <v>MCSGAST1CPF - Desp. Lazer e Entretenimento - Bares</v>
      </c>
      <c r="Q485" s="37" t="str">
        <f t="shared" si="3"/>
        <v>MCSGAST1</v>
      </c>
      <c r="R485" s="37" t="str">
        <f t="shared" si="4"/>
        <v>MCSGAST1</v>
      </c>
      <c r="S485" s="31"/>
      <c r="T485" s="185">
        <f t="shared" si="5"/>
        <v>46143</v>
      </c>
      <c r="U485" s="181">
        <v>483</v>
      </c>
    </row>
    <row r="486" spans="2:21" s="181" customFormat="1" x14ac:dyDescent="0.25">
      <c r="B486" s="182" t="s">
        <v>25</v>
      </c>
      <c r="C486" s="183"/>
      <c r="D486" s="54" t="str">
        <f>INDEX(Cad_Natureza!$B$3:$C$52,MATCH('2026'!F486,Cad_Natureza!$C$3:$C$52,0),MATCH('2026'!D$2,Cad_Natureza!$B$3:$C$3,0))</f>
        <v>GAST1</v>
      </c>
      <c r="E486" s="52" t="str">
        <f t="shared" si="111"/>
        <v>Despesa 484</v>
      </c>
      <c r="F486" s="53" t="s">
        <v>65</v>
      </c>
      <c r="G486" s="54" t="s">
        <v>25</v>
      </c>
      <c r="H486" s="55">
        <v>46160</v>
      </c>
      <c r="I486" s="55"/>
      <c r="J486" s="50" t="str">
        <f t="shared" si="112"/>
        <v>Observação da despesa 484</v>
      </c>
      <c r="K486" s="43">
        <v>-12</v>
      </c>
      <c r="L486" s="43">
        <f t="shared" si="113"/>
        <v>787.77000000000078</v>
      </c>
      <c r="M486" s="183"/>
      <c r="N486" s="37" t="str">
        <f t="shared" si="0"/>
        <v>MCSGAST1CPF - Desp. Lazer e Entretenimento - Bares</v>
      </c>
      <c r="O486" s="37" t="str">
        <f t="shared" si="1"/>
        <v>GAST1CPF - Desp. Lazer e Entretenimento - Bares</v>
      </c>
      <c r="P486" s="37" t="str">
        <f t="shared" si="2"/>
        <v>MCSGAST1CPF - Desp. Lazer e Entretenimento - Bares</v>
      </c>
      <c r="Q486" s="37" t="str">
        <f t="shared" si="3"/>
        <v>MCSGAST1</v>
      </c>
      <c r="R486" s="37" t="str">
        <f t="shared" si="4"/>
        <v>MCSGAST1</v>
      </c>
      <c r="S486" s="31"/>
      <c r="T486" s="185">
        <f t="shared" si="5"/>
        <v>46143</v>
      </c>
      <c r="U486" s="181">
        <v>484</v>
      </c>
    </row>
    <row r="487" spans="2:21" s="181" customFormat="1" x14ac:dyDescent="0.25">
      <c r="B487" s="182" t="s">
        <v>25</v>
      </c>
      <c r="C487" s="183"/>
      <c r="D487" s="54" t="str">
        <f>INDEX(Cad_Natureza!$B$3:$C$52,MATCH('2026'!F487,Cad_Natureza!$C$3:$C$52,0),MATCH('2026'!D$2,Cad_Natureza!$B$3:$C$3,0))</f>
        <v>GAST1</v>
      </c>
      <c r="E487" s="52" t="str">
        <f t="shared" si="111"/>
        <v>Despesa 485</v>
      </c>
      <c r="F487" s="53" t="s">
        <v>65</v>
      </c>
      <c r="G487" s="54" t="s">
        <v>25</v>
      </c>
      <c r="H487" s="55">
        <v>46160</v>
      </c>
      <c r="I487" s="55"/>
      <c r="J487" s="50" t="str">
        <f t="shared" si="112"/>
        <v>Observação da despesa 485</v>
      </c>
      <c r="K487" s="43">
        <v>-6.5</v>
      </c>
      <c r="L487" s="43">
        <f t="shared" si="113"/>
        <v>781.27000000000078</v>
      </c>
      <c r="M487" s="183"/>
      <c r="N487" s="37" t="str">
        <f t="shared" si="0"/>
        <v>MCSGAST1CPF - Desp. Lazer e Entretenimento - Bares</v>
      </c>
      <c r="O487" s="37" t="str">
        <f t="shared" si="1"/>
        <v>GAST1CPF - Desp. Lazer e Entretenimento - Bares</v>
      </c>
      <c r="P487" s="37" t="str">
        <f t="shared" si="2"/>
        <v>MCSGAST1CPF - Desp. Lazer e Entretenimento - Bares</v>
      </c>
      <c r="Q487" s="37" t="str">
        <f t="shared" si="3"/>
        <v>MCSGAST1</v>
      </c>
      <c r="R487" s="37" t="str">
        <f t="shared" si="4"/>
        <v>MCSGAST1</v>
      </c>
      <c r="S487" s="31"/>
      <c r="T487" s="185">
        <f t="shared" si="5"/>
        <v>46143</v>
      </c>
      <c r="U487" s="181">
        <v>485</v>
      </c>
    </row>
    <row r="488" spans="2:21" s="181" customFormat="1" x14ac:dyDescent="0.25">
      <c r="B488" s="182" t="s">
        <v>25</v>
      </c>
      <c r="C488" s="183"/>
      <c r="D488" s="54" t="str">
        <f>INDEX(Cad_Natureza!$B$3:$C$52,MATCH('2026'!F488,Cad_Natureza!$C$3:$C$52,0),MATCH('2026'!D$2,Cad_Natureza!$B$3:$C$3,0))</f>
        <v>OPF1</v>
      </c>
      <c r="E488" s="52" t="str">
        <f t="shared" si="111"/>
        <v>Despesa 486</v>
      </c>
      <c r="F488" s="53" t="s">
        <v>67</v>
      </c>
      <c r="G488" s="54" t="s">
        <v>25</v>
      </c>
      <c r="H488" s="55">
        <v>46160</v>
      </c>
      <c r="I488" s="55"/>
      <c r="J488" s="50" t="str">
        <f t="shared" si="112"/>
        <v>Observação da despesa 486</v>
      </c>
      <c r="K488" s="43">
        <v>-7.5</v>
      </c>
      <c r="L488" s="43">
        <f t="shared" si="113"/>
        <v>773.77000000000078</v>
      </c>
      <c r="M488" s="183"/>
      <c r="N488" s="37" t="str">
        <f t="shared" si="0"/>
        <v>MCSOPF1CPF - Desp. Alimentação / Refeição</v>
      </c>
      <c r="O488" s="37" t="str">
        <f t="shared" si="1"/>
        <v>OPF1CPF - Desp. Alimentação / Refeição</v>
      </c>
      <c r="P488" s="37" t="str">
        <f t="shared" si="2"/>
        <v>MCSOPF1CPF - Desp. Alimentação / Refeição</v>
      </c>
      <c r="Q488" s="37" t="str">
        <f t="shared" si="3"/>
        <v>MCSOPF1</v>
      </c>
      <c r="R488" s="37" t="str">
        <f t="shared" si="4"/>
        <v>MCSOPF1</v>
      </c>
      <c r="S488" s="31"/>
      <c r="T488" s="185">
        <f t="shared" si="5"/>
        <v>46143</v>
      </c>
      <c r="U488" s="181">
        <v>486</v>
      </c>
    </row>
    <row r="489" spans="2:21" s="181" customFormat="1" x14ac:dyDescent="0.25">
      <c r="B489" s="182" t="s">
        <v>25</v>
      </c>
      <c r="C489" s="183"/>
      <c r="D489" s="54" t="str">
        <f>INDEX(Cad_Natureza!$B$3:$C$52,MATCH('2026'!F489,Cad_Natureza!$C$3:$C$52,0),MATCH('2026'!D$2,Cad_Natureza!$B$3:$C$3,0))</f>
        <v>DESP2</v>
      </c>
      <c r="E489" s="52" t="str">
        <f t="shared" si="111"/>
        <v>Despesa 487</v>
      </c>
      <c r="F489" s="53" t="s">
        <v>62</v>
      </c>
      <c r="G489" s="54" t="s">
        <v>25</v>
      </c>
      <c r="H489" s="55">
        <v>46160</v>
      </c>
      <c r="I489" s="55"/>
      <c r="J489" s="50" t="str">
        <f t="shared" si="112"/>
        <v>Observação da despesa 487</v>
      </c>
      <c r="K489" s="43">
        <v>-124.92</v>
      </c>
      <c r="L489" s="43">
        <f t="shared" si="113"/>
        <v>648.85000000000082</v>
      </c>
      <c r="M489" s="183"/>
      <c r="N489" s="37" t="str">
        <f t="shared" si="0"/>
        <v>MCSDESP2CPF - Desp. Telefone / Internet</v>
      </c>
      <c r="O489" s="37" t="str">
        <f t="shared" si="1"/>
        <v>DESP2CPF - Desp. Telefone / Internet</v>
      </c>
      <c r="P489" s="37" t="str">
        <f t="shared" si="2"/>
        <v>MCSDESP2CPF - Desp. Telefone / Internet</v>
      </c>
      <c r="Q489" s="37" t="str">
        <f t="shared" si="3"/>
        <v>MCSDESP2</v>
      </c>
      <c r="R489" s="37" t="str">
        <f t="shared" si="4"/>
        <v>MCSDESP2</v>
      </c>
      <c r="S489" s="31"/>
      <c r="T489" s="185">
        <f t="shared" si="5"/>
        <v>46143</v>
      </c>
      <c r="U489" s="181">
        <v>487</v>
      </c>
    </row>
    <row r="490" spans="2:21" s="181" customFormat="1" x14ac:dyDescent="0.25">
      <c r="B490" s="182" t="s">
        <v>25</v>
      </c>
      <c r="C490" s="183"/>
      <c r="D490" s="54" t="str">
        <f>INDEX(Cad_Natureza!$B$3:$C$52,MATCH('2026'!F490,Cad_Natureza!$C$3:$C$52,0),MATCH('2026'!D$2,Cad_Natureza!$B$3:$C$3,0))</f>
        <v>DESP3</v>
      </c>
      <c r="E490" s="52" t="str">
        <f t="shared" si="111"/>
        <v>Despesa 488</v>
      </c>
      <c r="F490" s="53" t="s">
        <v>59</v>
      </c>
      <c r="G490" s="54" t="s">
        <v>25</v>
      </c>
      <c r="H490" s="55">
        <v>46160</v>
      </c>
      <c r="I490" s="55"/>
      <c r="J490" s="50" t="str">
        <f t="shared" si="112"/>
        <v>Observação da despesa 488</v>
      </c>
      <c r="K490" s="43">
        <v>-15</v>
      </c>
      <c r="L490" s="43">
        <f t="shared" si="113"/>
        <v>633.85000000000082</v>
      </c>
      <c r="M490" s="183"/>
      <c r="N490" s="37" t="str">
        <f t="shared" si="0"/>
        <v xml:space="preserve">MCSDESP3CPF - Desp. com veículo - Manut. / Gastos </v>
      </c>
      <c r="O490" s="37" t="str">
        <f t="shared" si="1"/>
        <v xml:space="preserve">DESP3CPF - Desp. com veículo - Manut. / Gastos </v>
      </c>
      <c r="P490" s="37" t="str">
        <f t="shared" si="2"/>
        <v xml:space="preserve">MCSDESP3CPF - Desp. com veículo - Manut. / Gastos </v>
      </c>
      <c r="Q490" s="37" t="str">
        <f t="shared" si="3"/>
        <v>MCSDESP3</v>
      </c>
      <c r="R490" s="37" t="str">
        <f t="shared" si="4"/>
        <v>MCSDESP3</v>
      </c>
      <c r="S490" s="31"/>
      <c r="T490" s="185">
        <f t="shared" si="5"/>
        <v>46143</v>
      </c>
      <c r="U490" s="181">
        <v>488</v>
      </c>
    </row>
    <row r="491" spans="2:21" s="181" customFormat="1" x14ac:dyDescent="0.25">
      <c r="B491" s="182" t="s">
        <v>25</v>
      </c>
      <c r="C491" s="183"/>
      <c r="D491" s="54" t="str">
        <f>INDEX(Cad_Natureza!$B$3:$C$52,MATCH('2026'!F491,Cad_Natureza!$C$3:$C$52,0),MATCH('2026'!D$2,Cad_Natureza!$B$3:$C$3,0))</f>
        <v>OPF1</v>
      </c>
      <c r="E491" s="52" t="str">
        <f t="shared" si="111"/>
        <v>Despesa 489</v>
      </c>
      <c r="F491" s="53" t="s">
        <v>67</v>
      </c>
      <c r="G491" s="54" t="s">
        <v>25</v>
      </c>
      <c r="H491" s="55">
        <v>46160</v>
      </c>
      <c r="I491" s="55"/>
      <c r="J491" s="50" t="str">
        <f t="shared" si="112"/>
        <v>Observação da despesa 489</v>
      </c>
      <c r="K491" s="43">
        <v>-25</v>
      </c>
      <c r="L491" s="43">
        <f t="shared" si="113"/>
        <v>608.85000000000082</v>
      </c>
      <c r="M491" s="183"/>
      <c r="N491" s="37" t="str">
        <f t="shared" si="0"/>
        <v>MCSOPF1CPF - Desp. Alimentação / Refeição</v>
      </c>
      <c r="O491" s="37" t="str">
        <f t="shared" si="1"/>
        <v>OPF1CPF - Desp. Alimentação / Refeição</v>
      </c>
      <c r="P491" s="37" t="str">
        <f t="shared" si="2"/>
        <v>MCSOPF1CPF - Desp. Alimentação / Refeição</v>
      </c>
      <c r="Q491" s="37" t="str">
        <f t="shared" si="3"/>
        <v>MCSOPF1</v>
      </c>
      <c r="R491" s="37" t="str">
        <f t="shared" si="4"/>
        <v>MCSOPF1</v>
      </c>
      <c r="S491" s="31"/>
      <c r="T491" s="185">
        <f t="shared" si="5"/>
        <v>46143</v>
      </c>
      <c r="U491" s="181">
        <v>489</v>
      </c>
    </row>
    <row r="492" spans="2:21" s="181" customFormat="1" x14ac:dyDescent="0.25">
      <c r="B492" s="182" t="s">
        <v>25</v>
      </c>
      <c r="C492" s="183"/>
      <c r="D492" s="54" t="str">
        <f>INDEX(Cad_Natureza!$B$3:$C$52,MATCH('2026'!F492,Cad_Natureza!$C$3:$C$52,0),MATCH('2026'!D$2,Cad_Natureza!$B$3:$C$3,0))</f>
        <v>GAST1</v>
      </c>
      <c r="E492" s="52" t="str">
        <f t="shared" si="111"/>
        <v>Despesa 490</v>
      </c>
      <c r="F492" s="53" t="s">
        <v>65</v>
      </c>
      <c r="G492" s="54" t="s">
        <v>25</v>
      </c>
      <c r="H492" s="55">
        <v>46160</v>
      </c>
      <c r="I492" s="55"/>
      <c r="J492" s="50" t="str">
        <f t="shared" si="112"/>
        <v>Observação da despesa 490</v>
      </c>
      <c r="K492" s="43">
        <v>-3</v>
      </c>
      <c r="L492" s="43">
        <f t="shared" si="113"/>
        <v>605.85000000000082</v>
      </c>
      <c r="M492" s="183"/>
      <c r="N492" s="37" t="str">
        <f t="shared" si="0"/>
        <v>MCSGAST1CPF - Desp. Lazer e Entretenimento - Bares</v>
      </c>
      <c r="O492" s="37" t="str">
        <f t="shared" si="1"/>
        <v>GAST1CPF - Desp. Lazer e Entretenimento - Bares</v>
      </c>
      <c r="P492" s="37" t="str">
        <f t="shared" si="2"/>
        <v>MCSGAST1CPF - Desp. Lazer e Entretenimento - Bares</v>
      </c>
      <c r="Q492" s="37" t="str">
        <f t="shared" si="3"/>
        <v>MCSGAST1</v>
      </c>
      <c r="R492" s="37" t="str">
        <f t="shared" si="4"/>
        <v>MCSGAST1</v>
      </c>
      <c r="S492" s="31"/>
      <c r="T492" s="185">
        <f t="shared" si="5"/>
        <v>46143</v>
      </c>
      <c r="U492" s="181">
        <v>490</v>
      </c>
    </row>
    <row r="493" spans="2:21" s="181" customFormat="1" x14ac:dyDescent="0.25">
      <c r="B493" s="182" t="s">
        <v>25</v>
      </c>
      <c r="C493" s="183"/>
      <c r="D493" s="54" t="str">
        <f>INDEX(Cad_Natureza!$B$3:$C$52,MATCH('2026'!F493,Cad_Natureza!$C$3:$C$52,0),MATCH('2026'!D$2,Cad_Natureza!$B$3:$C$3,0))</f>
        <v>GAST1</v>
      </c>
      <c r="E493" s="52" t="str">
        <f t="shared" si="111"/>
        <v>Despesa 491</v>
      </c>
      <c r="F493" s="53" t="s">
        <v>65</v>
      </c>
      <c r="G493" s="54" t="s">
        <v>25</v>
      </c>
      <c r="H493" s="55">
        <v>46160</v>
      </c>
      <c r="I493" s="55"/>
      <c r="J493" s="50" t="str">
        <f t="shared" si="112"/>
        <v>Observação da despesa 491</v>
      </c>
      <c r="K493" s="43">
        <v>-25</v>
      </c>
      <c r="L493" s="43">
        <f t="shared" si="113"/>
        <v>580.85000000000082</v>
      </c>
      <c r="M493" s="183"/>
      <c r="N493" s="37" t="str">
        <f t="shared" si="0"/>
        <v>MCSGAST1CPF - Desp. Lazer e Entretenimento - Bares</v>
      </c>
      <c r="O493" s="37" t="str">
        <f t="shared" si="1"/>
        <v>GAST1CPF - Desp. Lazer e Entretenimento - Bares</v>
      </c>
      <c r="P493" s="37" t="str">
        <f t="shared" si="2"/>
        <v>MCSGAST1CPF - Desp. Lazer e Entretenimento - Bares</v>
      </c>
      <c r="Q493" s="37" t="str">
        <f t="shared" si="3"/>
        <v>MCSGAST1</v>
      </c>
      <c r="R493" s="37" t="str">
        <f t="shared" si="4"/>
        <v>MCSGAST1</v>
      </c>
      <c r="S493" s="31"/>
      <c r="T493" s="185">
        <f t="shared" si="5"/>
        <v>46143</v>
      </c>
      <c r="U493" s="181">
        <v>491</v>
      </c>
    </row>
    <row r="494" spans="2:21" s="181" customFormat="1" x14ac:dyDescent="0.25">
      <c r="B494" s="182" t="s">
        <v>25</v>
      </c>
      <c r="C494" s="183"/>
      <c r="D494" s="54" t="str">
        <f>INDEX(Cad_Natureza!$B$3:$C$52,MATCH('2026'!F494,Cad_Natureza!$C$3:$C$52,0),MATCH('2026'!D$2,Cad_Natureza!$B$3:$C$3,0))</f>
        <v>GAST1</v>
      </c>
      <c r="E494" s="52" t="str">
        <f t="shared" si="111"/>
        <v>Despesa 492</v>
      </c>
      <c r="F494" s="53" t="s">
        <v>65</v>
      </c>
      <c r="G494" s="54" t="s">
        <v>25</v>
      </c>
      <c r="H494" s="55">
        <v>46160</v>
      </c>
      <c r="I494" s="55"/>
      <c r="J494" s="50" t="str">
        <f t="shared" si="112"/>
        <v>Observação da despesa 492</v>
      </c>
      <c r="K494" s="43">
        <v>-22</v>
      </c>
      <c r="L494" s="43">
        <f t="shared" si="113"/>
        <v>558.85000000000082</v>
      </c>
      <c r="M494" s="183"/>
      <c r="N494" s="37" t="str">
        <f t="shared" si="0"/>
        <v>MCSGAST1CPF - Desp. Lazer e Entretenimento - Bares</v>
      </c>
      <c r="O494" s="37" t="str">
        <f t="shared" si="1"/>
        <v>GAST1CPF - Desp. Lazer e Entretenimento - Bares</v>
      </c>
      <c r="P494" s="37" t="str">
        <f t="shared" si="2"/>
        <v>MCSGAST1CPF - Desp. Lazer e Entretenimento - Bares</v>
      </c>
      <c r="Q494" s="37" t="str">
        <f t="shared" si="3"/>
        <v>MCSGAST1</v>
      </c>
      <c r="R494" s="37" t="str">
        <f t="shared" si="4"/>
        <v>MCSGAST1</v>
      </c>
      <c r="S494" s="31"/>
      <c r="T494" s="185">
        <f t="shared" si="5"/>
        <v>46143</v>
      </c>
      <c r="U494" s="181">
        <v>492</v>
      </c>
    </row>
    <row r="495" spans="2:21" s="181" customFormat="1" x14ac:dyDescent="0.25">
      <c r="B495" s="182" t="s">
        <v>25</v>
      </c>
      <c r="C495" s="183"/>
      <c r="D495" s="54" t="str">
        <f>INDEX(Cad_Natureza!$B$3:$C$52,MATCH('2026'!F495,Cad_Natureza!$C$3:$C$52,0),MATCH('2026'!D$2,Cad_Natureza!$B$3:$C$3,0))</f>
        <v>GAST1</v>
      </c>
      <c r="E495" s="52" t="str">
        <f t="shared" si="111"/>
        <v>Despesa 493</v>
      </c>
      <c r="F495" s="53" t="s">
        <v>65</v>
      </c>
      <c r="G495" s="54" t="s">
        <v>25</v>
      </c>
      <c r="H495" s="55">
        <v>46160</v>
      </c>
      <c r="I495" s="55"/>
      <c r="J495" s="50" t="str">
        <f t="shared" si="112"/>
        <v>Observação da despesa 493</v>
      </c>
      <c r="K495" s="43">
        <v>-48</v>
      </c>
      <c r="L495" s="43">
        <f t="shared" si="113"/>
        <v>510.85000000000082</v>
      </c>
      <c r="M495" s="183"/>
      <c r="N495" s="37" t="str">
        <f t="shared" si="0"/>
        <v>MCSGAST1CPF - Desp. Lazer e Entretenimento - Bares</v>
      </c>
      <c r="O495" s="37" t="str">
        <f t="shared" si="1"/>
        <v>GAST1CPF - Desp. Lazer e Entretenimento - Bares</v>
      </c>
      <c r="P495" s="37" t="str">
        <f t="shared" si="2"/>
        <v>MCSGAST1CPF - Desp. Lazer e Entretenimento - Bares</v>
      </c>
      <c r="Q495" s="37" t="str">
        <f t="shared" si="3"/>
        <v>MCSGAST1</v>
      </c>
      <c r="R495" s="37" t="str">
        <f t="shared" si="4"/>
        <v>MCSGAST1</v>
      </c>
      <c r="S495" s="31"/>
      <c r="T495" s="185">
        <f t="shared" si="5"/>
        <v>46143</v>
      </c>
      <c r="U495" s="181">
        <v>493</v>
      </c>
    </row>
    <row r="496" spans="2:21" s="181" customFormat="1" x14ac:dyDescent="0.25">
      <c r="B496" s="182" t="s">
        <v>25</v>
      </c>
      <c r="C496" s="183"/>
      <c r="D496" s="54" t="str">
        <f>INDEX(Cad_Natureza!$B$3:$C$52,MATCH('2026'!F496,Cad_Natureza!$C$3:$C$52,0),MATCH('2026'!D$2,Cad_Natureza!$B$3:$C$3,0))</f>
        <v>GAST1</v>
      </c>
      <c r="E496" s="52" t="str">
        <f t="shared" si="111"/>
        <v>Despesa 494</v>
      </c>
      <c r="F496" s="53" t="s">
        <v>65</v>
      </c>
      <c r="G496" s="54" t="s">
        <v>25</v>
      </c>
      <c r="H496" s="55">
        <v>46160</v>
      </c>
      <c r="I496" s="55"/>
      <c r="J496" s="50" t="str">
        <f t="shared" si="112"/>
        <v>Observação da despesa 494</v>
      </c>
      <c r="K496" s="43">
        <v>-48</v>
      </c>
      <c r="L496" s="43">
        <f t="shared" si="113"/>
        <v>462.85000000000082</v>
      </c>
      <c r="M496" s="183"/>
      <c r="N496" s="37" t="str">
        <f t="shared" si="0"/>
        <v>MCSGAST1CPF - Desp. Lazer e Entretenimento - Bares</v>
      </c>
      <c r="O496" s="37" t="str">
        <f t="shared" si="1"/>
        <v>GAST1CPF - Desp. Lazer e Entretenimento - Bares</v>
      </c>
      <c r="P496" s="37" t="str">
        <f t="shared" si="2"/>
        <v>MCSGAST1CPF - Desp. Lazer e Entretenimento - Bares</v>
      </c>
      <c r="Q496" s="37" t="str">
        <f t="shared" si="3"/>
        <v>MCSGAST1</v>
      </c>
      <c r="R496" s="37" t="str">
        <f t="shared" si="4"/>
        <v>MCSGAST1</v>
      </c>
      <c r="S496" s="31"/>
      <c r="T496" s="185">
        <f t="shared" si="5"/>
        <v>46143</v>
      </c>
      <c r="U496" s="181">
        <v>494</v>
      </c>
    </row>
    <row r="497" spans="2:21" s="181" customFormat="1" x14ac:dyDescent="0.25">
      <c r="B497" s="182" t="s">
        <v>25</v>
      </c>
      <c r="C497" s="183"/>
      <c r="D497" s="54" t="str">
        <f>INDEX(Cad_Natureza!$B$3:$C$52,MATCH('2026'!F497,Cad_Natureza!$C$3:$C$52,0),MATCH('2026'!D$2,Cad_Natureza!$B$3:$C$3,0))</f>
        <v>GAST1</v>
      </c>
      <c r="E497" s="52" t="str">
        <f t="shared" si="111"/>
        <v>Despesa 495</v>
      </c>
      <c r="F497" s="53" t="s">
        <v>65</v>
      </c>
      <c r="G497" s="54" t="s">
        <v>25</v>
      </c>
      <c r="H497" s="55">
        <v>46160</v>
      </c>
      <c r="I497" s="55"/>
      <c r="J497" s="50" t="str">
        <f t="shared" si="112"/>
        <v>Observação da despesa 495</v>
      </c>
      <c r="K497" s="43">
        <v>-72</v>
      </c>
      <c r="L497" s="43">
        <f t="shared" si="113"/>
        <v>390.85000000000082</v>
      </c>
      <c r="M497" s="183"/>
      <c r="N497" s="37" t="str">
        <f t="shared" si="0"/>
        <v>MCSGAST1CPF - Desp. Lazer e Entretenimento - Bares</v>
      </c>
      <c r="O497" s="37" t="str">
        <f t="shared" si="1"/>
        <v>GAST1CPF - Desp. Lazer e Entretenimento - Bares</v>
      </c>
      <c r="P497" s="37" t="str">
        <f t="shared" si="2"/>
        <v>MCSGAST1CPF - Desp. Lazer e Entretenimento - Bares</v>
      </c>
      <c r="Q497" s="37" t="str">
        <f t="shared" si="3"/>
        <v>MCSGAST1</v>
      </c>
      <c r="R497" s="37" t="str">
        <f t="shared" si="4"/>
        <v>MCSGAST1</v>
      </c>
      <c r="S497" s="31"/>
      <c r="T497" s="185">
        <f t="shared" si="5"/>
        <v>46143</v>
      </c>
      <c r="U497" s="181">
        <v>495</v>
      </c>
    </row>
    <row r="498" spans="2:21" s="181" customFormat="1" x14ac:dyDescent="0.25">
      <c r="B498" s="182" t="s">
        <v>25</v>
      </c>
      <c r="C498" s="183"/>
      <c r="D498" s="54" t="str">
        <f>INDEX(Cad_Natureza!$B$3:$C$52,MATCH('2026'!F498,Cad_Natureza!$C$3:$C$52,0),MATCH('2026'!D$2,Cad_Natureza!$B$3:$C$3,0))</f>
        <v>OUG1</v>
      </c>
      <c r="E498" s="52" t="str">
        <f t="shared" si="111"/>
        <v>Despesa 496</v>
      </c>
      <c r="F498" s="53" t="s">
        <v>70</v>
      </c>
      <c r="G498" s="54" t="s">
        <v>25</v>
      </c>
      <c r="H498" s="55">
        <v>46160</v>
      </c>
      <c r="I498" s="55"/>
      <c r="J498" s="50" t="str">
        <f t="shared" si="112"/>
        <v>Observação da despesa 496</v>
      </c>
      <c r="K498" s="43">
        <v>-28</v>
      </c>
      <c r="L498" s="43">
        <f t="shared" si="113"/>
        <v>362.85000000000082</v>
      </c>
      <c r="M498" s="183"/>
      <c r="N498" s="37" t="str">
        <f t="shared" si="0"/>
        <v>MCSOUG1CPF - Outros gastos</v>
      </c>
      <c r="O498" s="37" t="str">
        <f t="shared" si="1"/>
        <v>OUG1CPF - Outros gastos</v>
      </c>
      <c r="P498" s="37" t="str">
        <f t="shared" si="2"/>
        <v>MCSOUG1CPF - Outros gastos</v>
      </c>
      <c r="Q498" s="37" t="str">
        <f t="shared" si="3"/>
        <v>MCSOUG1</v>
      </c>
      <c r="R498" s="37" t="str">
        <f t="shared" si="4"/>
        <v>MCSOUG1</v>
      </c>
      <c r="S498" s="31"/>
      <c r="T498" s="185">
        <f t="shared" si="5"/>
        <v>46143</v>
      </c>
      <c r="U498" s="181">
        <v>496</v>
      </c>
    </row>
    <row r="499" spans="2:21" s="181" customFormat="1" x14ac:dyDescent="0.25">
      <c r="B499" s="182" t="s">
        <v>25</v>
      </c>
      <c r="C499" s="183"/>
      <c r="D499" s="54" t="str">
        <f>INDEX(Cad_Natureza!$B$3:$C$52,MATCH('2026'!F499,Cad_Natureza!$C$3:$C$52,0),MATCH('2026'!D$2,Cad_Natureza!$B$3:$C$3,0))</f>
        <v>OPF1</v>
      </c>
      <c r="E499" s="52" t="str">
        <f t="shared" si="111"/>
        <v>Despesa 497</v>
      </c>
      <c r="F499" s="53" t="s">
        <v>67</v>
      </c>
      <c r="G499" s="54" t="s">
        <v>25</v>
      </c>
      <c r="H499" s="55">
        <v>46160</v>
      </c>
      <c r="I499" s="55"/>
      <c r="J499" s="50" t="str">
        <f t="shared" si="112"/>
        <v>Observação da despesa 497</v>
      </c>
      <c r="K499" s="43">
        <v>-23.99</v>
      </c>
      <c r="L499" s="43">
        <f t="shared" si="113"/>
        <v>338.86000000000081</v>
      </c>
      <c r="M499" s="183"/>
      <c r="N499" s="37" t="str">
        <f t="shared" si="0"/>
        <v>MCSOPF1CPF - Desp. Alimentação / Refeição</v>
      </c>
      <c r="O499" s="37" t="str">
        <f t="shared" si="1"/>
        <v>OPF1CPF - Desp. Alimentação / Refeição</v>
      </c>
      <c r="P499" s="37" t="str">
        <f t="shared" si="2"/>
        <v>MCSOPF1CPF - Desp. Alimentação / Refeição</v>
      </c>
      <c r="Q499" s="37" t="str">
        <f t="shared" si="3"/>
        <v>MCSOPF1</v>
      </c>
      <c r="R499" s="37" t="str">
        <f t="shared" si="4"/>
        <v>MCSOPF1</v>
      </c>
      <c r="S499" s="31"/>
      <c r="T499" s="185">
        <f t="shared" si="5"/>
        <v>46143</v>
      </c>
      <c r="U499" s="181">
        <v>497</v>
      </c>
    </row>
    <row r="500" spans="2:21" s="181" customFormat="1" x14ac:dyDescent="0.25">
      <c r="B500" s="182" t="s">
        <v>25</v>
      </c>
      <c r="C500" s="183"/>
      <c r="D500" s="54" t="str">
        <f>INDEX(Cad_Natureza!$B$3:$C$52,MATCH('2026'!F500,Cad_Natureza!$C$3:$C$52,0),MATCH('2026'!D$2,Cad_Natureza!$B$3:$C$3,0))</f>
        <v>OPF2</v>
      </c>
      <c r="E500" s="52" t="str">
        <f t="shared" si="111"/>
        <v>Despesa 498</v>
      </c>
      <c r="F500" s="53" t="s">
        <v>64</v>
      </c>
      <c r="G500" s="54" t="s">
        <v>25</v>
      </c>
      <c r="H500" s="55">
        <v>46160</v>
      </c>
      <c r="I500" s="55"/>
      <c r="J500" s="50" t="str">
        <f t="shared" si="112"/>
        <v>Observação da despesa 498</v>
      </c>
      <c r="K500" s="43">
        <v>-80</v>
      </c>
      <c r="L500" s="43">
        <f t="shared" si="113"/>
        <v>258.86000000000081</v>
      </c>
      <c r="M500" s="183"/>
      <c r="N500" s="37" t="str">
        <f t="shared" si="0"/>
        <v>MCSOPF2CPF - Desp. Transporte / Combustível</v>
      </c>
      <c r="O500" s="37" t="str">
        <f t="shared" si="1"/>
        <v>OPF2CPF - Desp. Transporte / Combustível</v>
      </c>
      <c r="P500" s="37" t="str">
        <f t="shared" si="2"/>
        <v>MCSOPF2CPF - Desp. Transporte / Combustível</v>
      </c>
      <c r="Q500" s="37" t="str">
        <f t="shared" si="3"/>
        <v>MCSOPF2</v>
      </c>
      <c r="R500" s="37" t="str">
        <f t="shared" si="4"/>
        <v>MCSOPF2</v>
      </c>
      <c r="S500" s="31"/>
      <c r="T500" s="185">
        <f t="shared" si="5"/>
        <v>46143</v>
      </c>
      <c r="U500" s="181">
        <v>498</v>
      </c>
    </row>
    <row r="501" spans="2:21" s="181" customFormat="1" x14ac:dyDescent="0.25">
      <c r="B501" s="182" t="s">
        <v>25</v>
      </c>
      <c r="C501" s="183"/>
      <c r="D501" s="54" t="str">
        <f>INDEX(Cad_Natureza!$B$3:$C$52,MATCH('2026'!F501,Cad_Natureza!$C$3:$C$52,0),MATCH('2026'!D$2,Cad_Natureza!$B$3:$C$3,0))</f>
        <v>GAST1</v>
      </c>
      <c r="E501" s="52" t="str">
        <f t="shared" si="111"/>
        <v>Despesa 499</v>
      </c>
      <c r="F501" s="53" t="s">
        <v>65</v>
      </c>
      <c r="G501" s="54" t="s">
        <v>25</v>
      </c>
      <c r="H501" s="55">
        <v>46160</v>
      </c>
      <c r="I501" s="55"/>
      <c r="J501" s="50" t="str">
        <f t="shared" si="112"/>
        <v>Observação da despesa 499</v>
      </c>
      <c r="K501" s="43">
        <v>-12</v>
      </c>
      <c r="L501" s="43">
        <f t="shared" si="113"/>
        <v>246.86000000000081</v>
      </c>
      <c r="M501" s="183"/>
      <c r="N501" s="37" t="str">
        <f t="shared" ref="N501:N520" si="120">B501&amp;D501&amp;F501</f>
        <v>MCSGAST1CPF - Desp. Lazer e Entretenimento - Bares</v>
      </c>
      <c r="O501" s="37" t="str">
        <f t="shared" ref="O501:O520" si="121">D501&amp;F501</f>
        <v>GAST1CPF - Desp. Lazer e Entretenimento - Bares</v>
      </c>
      <c r="P501" s="37" t="str">
        <f t="shared" ref="P501:P520" si="122">"MCS"&amp;D501&amp;F501</f>
        <v>MCSGAST1CPF - Desp. Lazer e Entretenimento - Bares</v>
      </c>
      <c r="Q501" s="37" t="str">
        <f t="shared" ref="Q501:Q520" si="123">"MCS"&amp;D501</f>
        <v>MCSGAST1</v>
      </c>
      <c r="R501" s="37" t="str">
        <f t="shared" ref="R501:R520" si="124">B501&amp;D501</f>
        <v>MCSGAST1</v>
      </c>
      <c r="S501" s="31"/>
      <c r="T501" s="185">
        <f t="shared" ref="T501:T520" si="125">(1&amp;"/"&amp;MONTH(H501)&amp;"/"&amp;YEAR(H501))*1</f>
        <v>46143</v>
      </c>
      <c r="U501" s="181">
        <v>499</v>
      </c>
    </row>
    <row r="502" spans="2:21" s="181" customFormat="1" x14ac:dyDescent="0.25">
      <c r="B502" s="182" t="s">
        <v>25</v>
      </c>
      <c r="C502" s="183"/>
      <c r="D502" s="54" t="str">
        <f>INDEX(Cad_Natureza!$B$3:$C$52,MATCH('2026'!F502,Cad_Natureza!$C$3:$C$52,0),MATCH('2026'!D$2,Cad_Natureza!$B$3:$C$3,0))</f>
        <v>GAST1</v>
      </c>
      <c r="E502" s="52" t="str">
        <f t="shared" si="111"/>
        <v>Despesa 500</v>
      </c>
      <c r="F502" s="53" t="s">
        <v>65</v>
      </c>
      <c r="G502" s="54" t="s">
        <v>25</v>
      </c>
      <c r="H502" s="55">
        <v>46160</v>
      </c>
      <c r="I502" s="55"/>
      <c r="J502" s="50" t="str">
        <f t="shared" si="112"/>
        <v>Observação da despesa 500</v>
      </c>
      <c r="K502" s="43">
        <v>-44</v>
      </c>
      <c r="L502" s="43">
        <f t="shared" si="113"/>
        <v>202.86000000000081</v>
      </c>
      <c r="M502" s="183"/>
      <c r="N502" s="37" t="str">
        <f t="shared" si="120"/>
        <v>MCSGAST1CPF - Desp. Lazer e Entretenimento - Bares</v>
      </c>
      <c r="O502" s="37" t="str">
        <f t="shared" si="121"/>
        <v>GAST1CPF - Desp. Lazer e Entretenimento - Bares</v>
      </c>
      <c r="P502" s="37" t="str">
        <f t="shared" si="122"/>
        <v>MCSGAST1CPF - Desp. Lazer e Entretenimento - Bares</v>
      </c>
      <c r="Q502" s="37" t="str">
        <f t="shared" si="123"/>
        <v>MCSGAST1</v>
      </c>
      <c r="R502" s="37" t="str">
        <f t="shared" si="124"/>
        <v>MCSGAST1</v>
      </c>
      <c r="S502" s="31"/>
      <c r="T502" s="185">
        <f t="shared" si="125"/>
        <v>46143</v>
      </c>
      <c r="U502" s="181">
        <v>500</v>
      </c>
    </row>
    <row r="503" spans="2:21" s="181" customFormat="1" x14ac:dyDescent="0.25">
      <c r="B503" s="182" t="s">
        <v>25</v>
      </c>
      <c r="C503" s="183"/>
      <c r="D503" s="54" t="str">
        <f>INDEX(Cad_Natureza!$B$3:$C$52,MATCH('2026'!F503,Cad_Natureza!$C$3:$C$52,0),MATCH('2026'!D$2,Cad_Natureza!$B$3:$C$3,0))</f>
        <v>OPF1</v>
      </c>
      <c r="E503" s="52" t="str">
        <f t="shared" si="111"/>
        <v>Despesa 501</v>
      </c>
      <c r="F503" s="53" t="s">
        <v>67</v>
      </c>
      <c r="G503" s="54" t="s">
        <v>25</v>
      </c>
      <c r="H503" s="55">
        <v>46161</v>
      </c>
      <c r="I503" s="55"/>
      <c r="J503" s="50" t="str">
        <f t="shared" si="112"/>
        <v>Observação da despesa 501</v>
      </c>
      <c r="K503" s="43">
        <v>-23.99</v>
      </c>
      <c r="L503" s="43">
        <f t="shared" si="113"/>
        <v>178.8700000000008</v>
      </c>
      <c r="M503" s="183"/>
      <c r="N503" s="37" t="str">
        <f t="shared" si="120"/>
        <v>MCSOPF1CPF - Desp. Alimentação / Refeição</v>
      </c>
      <c r="O503" s="37" t="str">
        <f t="shared" si="121"/>
        <v>OPF1CPF - Desp. Alimentação / Refeição</v>
      </c>
      <c r="P503" s="37" t="str">
        <f t="shared" si="122"/>
        <v>MCSOPF1CPF - Desp. Alimentação / Refeição</v>
      </c>
      <c r="Q503" s="37" t="str">
        <f t="shared" si="123"/>
        <v>MCSOPF1</v>
      </c>
      <c r="R503" s="37" t="str">
        <f t="shared" si="124"/>
        <v>MCSOPF1</v>
      </c>
      <c r="S503" s="31"/>
      <c r="T503" s="185">
        <f t="shared" si="125"/>
        <v>46143</v>
      </c>
      <c r="U503" s="181">
        <v>501</v>
      </c>
    </row>
    <row r="504" spans="2:21" s="181" customFormat="1" x14ac:dyDescent="0.25">
      <c r="B504" s="182" t="s">
        <v>25</v>
      </c>
      <c r="C504" s="183"/>
      <c r="D504" s="54" t="str">
        <f>INDEX(Cad_Natureza!$B$3:$C$52,MATCH('2026'!F504,Cad_Natureza!$C$3:$C$52,0),MATCH('2026'!D$2,Cad_Natureza!$B$3:$C$3,0))</f>
        <v>GAST1</v>
      </c>
      <c r="E504" s="52" t="str">
        <f t="shared" si="111"/>
        <v>Despesa 502</v>
      </c>
      <c r="F504" s="53" t="s">
        <v>65</v>
      </c>
      <c r="G504" s="54" t="s">
        <v>25</v>
      </c>
      <c r="H504" s="55">
        <v>46161</v>
      </c>
      <c r="I504" s="55"/>
      <c r="J504" s="50" t="str">
        <f t="shared" si="112"/>
        <v>Observação da despesa 502</v>
      </c>
      <c r="K504" s="43">
        <v>-12</v>
      </c>
      <c r="L504" s="43">
        <f t="shared" si="113"/>
        <v>166.8700000000008</v>
      </c>
      <c r="M504" s="183"/>
      <c r="N504" s="37" t="str">
        <f t="shared" si="120"/>
        <v>MCSGAST1CPF - Desp. Lazer e Entretenimento - Bares</v>
      </c>
      <c r="O504" s="37" t="str">
        <f t="shared" si="121"/>
        <v>GAST1CPF - Desp. Lazer e Entretenimento - Bares</v>
      </c>
      <c r="P504" s="37" t="str">
        <f t="shared" si="122"/>
        <v>MCSGAST1CPF - Desp. Lazer e Entretenimento - Bares</v>
      </c>
      <c r="Q504" s="37" t="str">
        <f t="shared" si="123"/>
        <v>MCSGAST1</v>
      </c>
      <c r="R504" s="37" t="str">
        <f t="shared" si="124"/>
        <v>MCSGAST1</v>
      </c>
      <c r="S504" s="31"/>
      <c r="T504" s="185">
        <f t="shared" si="125"/>
        <v>46143</v>
      </c>
      <c r="U504" s="181">
        <v>502</v>
      </c>
    </row>
    <row r="505" spans="2:21" s="181" customFormat="1" x14ac:dyDescent="0.25">
      <c r="B505" s="182" t="s">
        <v>25</v>
      </c>
      <c r="C505" s="183"/>
      <c r="D505" s="54" t="str">
        <f>INDEX(Cad_Natureza!$B$3:$C$52,MATCH('2026'!F505,Cad_Natureza!$C$3:$C$52,0),MATCH('2026'!D$2,Cad_Natureza!$B$3:$C$3,0))</f>
        <v>OPF1</v>
      </c>
      <c r="E505" s="52" t="str">
        <f t="shared" si="111"/>
        <v>Despesa 503</v>
      </c>
      <c r="F505" s="53" t="s">
        <v>67</v>
      </c>
      <c r="G505" s="54" t="s">
        <v>25</v>
      </c>
      <c r="H505" s="55">
        <v>46162</v>
      </c>
      <c r="I505" s="55"/>
      <c r="J505" s="50" t="str">
        <f t="shared" si="112"/>
        <v>Observação da despesa 503</v>
      </c>
      <c r="K505" s="43">
        <v>-24</v>
      </c>
      <c r="L505" s="43">
        <f t="shared" si="113"/>
        <v>142.8700000000008</v>
      </c>
      <c r="M505" s="183"/>
      <c r="N505" s="37" t="str">
        <f t="shared" si="120"/>
        <v>MCSOPF1CPF - Desp. Alimentação / Refeição</v>
      </c>
      <c r="O505" s="37" t="str">
        <f t="shared" si="121"/>
        <v>OPF1CPF - Desp. Alimentação / Refeição</v>
      </c>
      <c r="P505" s="37" t="str">
        <f t="shared" si="122"/>
        <v>MCSOPF1CPF - Desp. Alimentação / Refeição</v>
      </c>
      <c r="Q505" s="37" t="str">
        <f t="shared" si="123"/>
        <v>MCSOPF1</v>
      </c>
      <c r="R505" s="37" t="str">
        <f t="shared" si="124"/>
        <v>MCSOPF1</v>
      </c>
      <c r="S505" s="31"/>
      <c r="T505" s="185">
        <f t="shared" si="125"/>
        <v>46143</v>
      </c>
      <c r="U505" s="181">
        <v>503</v>
      </c>
    </row>
    <row r="506" spans="2:21" s="181" customFormat="1" x14ac:dyDescent="0.25">
      <c r="B506" s="182" t="s">
        <v>25</v>
      </c>
      <c r="C506" s="183"/>
      <c r="D506" s="54" t="str">
        <f>INDEX(Cad_Natureza!$B$3:$C$52,MATCH('2026'!F506,Cad_Natureza!$C$3:$C$52,0),MATCH('2026'!D$2,Cad_Natureza!$B$3:$C$3,0))</f>
        <v>OPF2</v>
      </c>
      <c r="E506" s="52" t="str">
        <f t="shared" si="111"/>
        <v>Despesa 504</v>
      </c>
      <c r="F506" s="53" t="s">
        <v>64</v>
      </c>
      <c r="G506" s="54" t="s">
        <v>25</v>
      </c>
      <c r="H506" s="55">
        <v>46162</v>
      </c>
      <c r="I506" s="55"/>
      <c r="J506" s="50" t="str">
        <f t="shared" si="112"/>
        <v>Observação da despesa 504</v>
      </c>
      <c r="K506" s="43">
        <v>-80</v>
      </c>
      <c r="L506" s="43">
        <f t="shared" si="113"/>
        <v>62.8700000000008</v>
      </c>
      <c r="M506" s="183"/>
      <c r="N506" s="37" t="str">
        <f t="shared" si="120"/>
        <v>MCSOPF2CPF - Desp. Transporte / Combustível</v>
      </c>
      <c r="O506" s="37" t="str">
        <f t="shared" si="121"/>
        <v>OPF2CPF - Desp. Transporte / Combustível</v>
      </c>
      <c r="P506" s="37" t="str">
        <f t="shared" si="122"/>
        <v>MCSOPF2CPF - Desp. Transporte / Combustível</v>
      </c>
      <c r="Q506" s="37" t="str">
        <f t="shared" si="123"/>
        <v>MCSOPF2</v>
      </c>
      <c r="R506" s="37" t="str">
        <f t="shared" si="124"/>
        <v>MCSOPF2</v>
      </c>
      <c r="S506" s="31"/>
      <c r="T506" s="185">
        <f t="shared" si="125"/>
        <v>46143</v>
      </c>
      <c r="U506" s="181">
        <v>504</v>
      </c>
    </row>
    <row r="507" spans="2:21" s="181" customFormat="1" x14ac:dyDescent="0.25">
      <c r="B507" s="182" t="s">
        <v>25</v>
      </c>
      <c r="C507" s="183"/>
      <c r="D507" s="54" t="str">
        <f>INDEX(Cad_Natureza!$B$3:$C$52,MATCH('2026'!F507,Cad_Natureza!$C$3:$C$52,0),MATCH('2026'!D$2,Cad_Natureza!$B$3:$C$3,0))</f>
        <v>GAST1</v>
      </c>
      <c r="E507" s="52" t="str">
        <f t="shared" si="111"/>
        <v>Despesa 505</v>
      </c>
      <c r="F507" s="53" t="s">
        <v>65</v>
      </c>
      <c r="G507" s="54" t="s">
        <v>25</v>
      </c>
      <c r="H507" s="55">
        <v>46162</v>
      </c>
      <c r="I507" s="55"/>
      <c r="J507" s="50" t="str">
        <f t="shared" si="112"/>
        <v>Observação da despesa 505</v>
      </c>
      <c r="K507" s="43">
        <v>-26.8</v>
      </c>
      <c r="L507" s="43">
        <f t="shared" si="113"/>
        <v>36.070000000000803</v>
      </c>
      <c r="M507" s="183"/>
      <c r="N507" s="37" t="str">
        <f t="shared" si="120"/>
        <v>MCSGAST1CPF - Desp. Lazer e Entretenimento - Bares</v>
      </c>
      <c r="O507" s="37" t="str">
        <f t="shared" si="121"/>
        <v>GAST1CPF - Desp. Lazer e Entretenimento - Bares</v>
      </c>
      <c r="P507" s="37" t="str">
        <f t="shared" si="122"/>
        <v>MCSGAST1CPF - Desp. Lazer e Entretenimento - Bares</v>
      </c>
      <c r="Q507" s="37" t="str">
        <f t="shared" si="123"/>
        <v>MCSGAST1</v>
      </c>
      <c r="R507" s="37" t="str">
        <f t="shared" si="124"/>
        <v>MCSGAST1</v>
      </c>
      <c r="S507" s="31"/>
      <c r="T507" s="185">
        <f t="shared" si="125"/>
        <v>46143</v>
      </c>
      <c r="U507" s="181">
        <v>505</v>
      </c>
    </row>
    <row r="508" spans="2:21" s="181" customFormat="1" x14ac:dyDescent="0.25">
      <c r="B508" s="182" t="s">
        <v>25</v>
      </c>
      <c r="C508" s="183"/>
      <c r="D508" s="54" t="str">
        <f>INDEX(Cad_Natureza!$B$3:$C$52,MATCH('2026'!F508,Cad_Natureza!$C$3:$C$52,0),MATCH('2026'!D$2,Cad_Natureza!$B$3:$C$3,0))</f>
        <v>OPF1</v>
      </c>
      <c r="E508" s="52" t="str">
        <f t="shared" si="111"/>
        <v>Despesa 506</v>
      </c>
      <c r="F508" s="53" t="s">
        <v>67</v>
      </c>
      <c r="G508" s="54" t="s">
        <v>25</v>
      </c>
      <c r="H508" s="55">
        <v>46163</v>
      </c>
      <c r="I508" s="55"/>
      <c r="J508" s="50" t="str">
        <f t="shared" si="112"/>
        <v>Observação da despesa 506</v>
      </c>
      <c r="K508" s="43">
        <v>-24</v>
      </c>
      <c r="L508" s="43">
        <f t="shared" si="113"/>
        <v>12.070000000000803</v>
      </c>
      <c r="M508" s="183"/>
      <c r="N508" s="37" t="str">
        <f t="shared" si="120"/>
        <v>MCSOPF1CPF - Desp. Alimentação / Refeição</v>
      </c>
      <c r="O508" s="37" t="str">
        <f t="shared" si="121"/>
        <v>OPF1CPF - Desp. Alimentação / Refeição</v>
      </c>
      <c r="P508" s="37" t="str">
        <f t="shared" si="122"/>
        <v>MCSOPF1CPF - Desp. Alimentação / Refeição</v>
      </c>
      <c r="Q508" s="37" t="str">
        <f t="shared" si="123"/>
        <v>MCSOPF1</v>
      </c>
      <c r="R508" s="37" t="str">
        <f t="shared" si="124"/>
        <v>MCSOPF1</v>
      </c>
      <c r="S508" s="31"/>
      <c r="T508" s="185">
        <f t="shared" si="125"/>
        <v>46143</v>
      </c>
      <c r="U508" s="181">
        <v>506</v>
      </c>
    </row>
    <row r="509" spans="2:21" s="181" customFormat="1" x14ac:dyDescent="0.25">
      <c r="B509" s="182" t="s">
        <v>25</v>
      </c>
      <c r="C509" s="183"/>
      <c r="D509" s="54" t="str">
        <f>INDEX(Cad_Natureza!$B$3:$C$52,MATCH('2026'!F509,Cad_Natureza!$C$3:$C$52,0),MATCH('2026'!D$2,Cad_Natureza!$B$3:$C$3,0))</f>
        <v>GAST1</v>
      </c>
      <c r="E509" s="52" t="str">
        <f t="shared" si="111"/>
        <v>Despesa 507</v>
      </c>
      <c r="F509" s="53" t="s">
        <v>65</v>
      </c>
      <c r="G509" s="54" t="s">
        <v>25</v>
      </c>
      <c r="H509" s="55">
        <v>46163</v>
      </c>
      <c r="I509" s="55"/>
      <c r="J509" s="50" t="str">
        <f t="shared" si="112"/>
        <v>Observação da despesa 507</v>
      </c>
      <c r="K509" s="43">
        <v>-12</v>
      </c>
      <c r="L509" s="43">
        <f t="shared" si="113"/>
        <v>7.0000000000803198E-2</v>
      </c>
      <c r="M509" s="183"/>
      <c r="N509" s="37" t="str">
        <f t="shared" si="120"/>
        <v>MCSGAST1CPF - Desp. Lazer e Entretenimento - Bares</v>
      </c>
      <c r="O509" s="37" t="str">
        <f t="shared" si="121"/>
        <v>GAST1CPF - Desp. Lazer e Entretenimento - Bares</v>
      </c>
      <c r="P509" s="37" t="str">
        <f t="shared" si="122"/>
        <v>MCSGAST1CPF - Desp. Lazer e Entretenimento - Bares</v>
      </c>
      <c r="Q509" s="37" t="str">
        <f t="shared" si="123"/>
        <v>MCSGAST1</v>
      </c>
      <c r="R509" s="37" t="str">
        <f t="shared" si="124"/>
        <v>MCSGAST1</v>
      </c>
      <c r="S509" s="31"/>
      <c r="T509" s="185">
        <f t="shared" si="125"/>
        <v>46143</v>
      </c>
      <c r="U509" s="181">
        <v>507</v>
      </c>
    </row>
    <row r="510" spans="2:21" s="177" customFormat="1" x14ac:dyDescent="0.25">
      <c r="B510" s="174" t="s">
        <v>25</v>
      </c>
      <c r="C510" s="51"/>
      <c r="D510" s="44" t="str">
        <f>INDEX(Cad_Natureza!$B$3:$C$52,MATCH('2026'!F510,Cad_Natureza!$C$3:$C$52,0),MATCH('2026'!D$2,Cad_Natureza!$B$3:$C$3,0))</f>
        <v>REC4</v>
      </c>
      <c r="E510" s="45" t="str">
        <f t="shared" si="111"/>
        <v>Receita 508</v>
      </c>
      <c r="F510" s="46" t="s">
        <v>57</v>
      </c>
      <c r="G510" s="44" t="s">
        <v>25</v>
      </c>
      <c r="H510" s="47">
        <v>46163</v>
      </c>
      <c r="I510" s="47"/>
      <c r="J510" s="48" t="str">
        <f t="shared" si="112"/>
        <v>Observação da receita 508</v>
      </c>
      <c r="K510" s="49">
        <v>1000</v>
      </c>
      <c r="L510" s="49">
        <f t="shared" si="113"/>
        <v>1000.0700000000008</v>
      </c>
      <c r="M510" s="51"/>
      <c r="N510" s="37" t="str">
        <f t="shared" si="120"/>
        <v>MCSREC4CPF - Transf. Da conta PJ para a conta PF</v>
      </c>
      <c r="O510" s="37" t="str">
        <f t="shared" si="121"/>
        <v>REC4CPF - Transf. Da conta PJ para a conta PF</v>
      </c>
      <c r="P510" s="37" t="str">
        <f t="shared" si="122"/>
        <v>MCSREC4CPF - Transf. Da conta PJ para a conta PF</v>
      </c>
      <c r="Q510" s="37" t="str">
        <f t="shared" si="123"/>
        <v>MCSREC4</v>
      </c>
      <c r="R510" s="37" t="str">
        <f t="shared" si="124"/>
        <v>MCSREC4</v>
      </c>
      <c r="S510" s="31"/>
      <c r="T510" s="176">
        <f t="shared" si="125"/>
        <v>46143</v>
      </c>
      <c r="U510" s="181">
        <v>508</v>
      </c>
    </row>
    <row r="511" spans="2:21" s="181" customFormat="1" x14ac:dyDescent="0.25">
      <c r="B511" s="182" t="s">
        <v>25</v>
      </c>
      <c r="C511" s="183"/>
      <c r="D511" s="54" t="str">
        <f>INDEX(Cad_Natureza!$B$3:$C$52,MATCH('2026'!F511,Cad_Natureza!$C$3:$C$52,0),MATCH('2026'!D$2,Cad_Natureza!$B$3:$C$3,0))</f>
        <v>OPF2</v>
      </c>
      <c r="E511" s="52" t="str">
        <f t="shared" si="111"/>
        <v>Despesa 509</v>
      </c>
      <c r="F511" s="53" t="s">
        <v>64</v>
      </c>
      <c r="G511" s="54" t="s">
        <v>25</v>
      </c>
      <c r="H511" s="55">
        <v>46163</v>
      </c>
      <c r="I511" s="55"/>
      <c r="J511" s="50" t="str">
        <f t="shared" si="112"/>
        <v>Observação da despesa 509</v>
      </c>
      <c r="K511" s="43">
        <v>-100</v>
      </c>
      <c r="L511" s="43">
        <f t="shared" si="113"/>
        <v>900.07000000000085</v>
      </c>
      <c r="M511" s="183"/>
      <c r="N511" s="37" t="str">
        <f t="shared" si="120"/>
        <v>MCSOPF2CPF - Desp. Transporte / Combustível</v>
      </c>
      <c r="O511" s="37" t="str">
        <f t="shared" si="121"/>
        <v>OPF2CPF - Desp. Transporte / Combustível</v>
      </c>
      <c r="P511" s="37" t="str">
        <f t="shared" si="122"/>
        <v>MCSOPF2CPF - Desp. Transporte / Combustível</v>
      </c>
      <c r="Q511" s="37" t="str">
        <f t="shared" si="123"/>
        <v>MCSOPF2</v>
      </c>
      <c r="R511" s="37" t="str">
        <f t="shared" si="124"/>
        <v>MCSOPF2</v>
      </c>
      <c r="S511" s="31"/>
      <c r="T511" s="185">
        <f t="shared" si="125"/>
        <v>46143</v>
      </c>
      <c r="U511" s="181">
        <v>509</v>
      </c>
    </row>
    <row r="512" spans="2:21" s="181" customFormat="1" x14ac:dyDescent="0.25">
      <c r="B512" s="182" t="s">
        <v>25</v>
      </c>
      <c r="C512" s="183"/>
      <c r="D512" s="54" t="str">
        <f>INDEX(Cad_Natureza!$B$3:$C$52,MATCH('2026'!F512,Cad_Natureza!$C$3:$C$52,0),MATCH('2026'!D$2,Cad_Natureza!$B$3:$C$3,0))</f>
        <v>OPF1</v>
      </c>
      <c r="E512" s="52" t="str">
        <f t="shared" si="111"/>
        <v>Despesa 510</v>
      </c>
      <c r="F512" s="53" t="s">
        <v>67</v>
      </c>
      <c r="G512" s="54" t="s">
        <v>25</v>
      </c>
      <c r="H512" s="55">
        <v>46164</v>
      </c>
      <c r="I512" s="55"/>
      <c r="J512" s="50" t="str">
        <f t="shared" si="112"/>
        <v>Observação da despesa 510</v>
      </c>
      <c r="K512" s="43">
        <v>-23.2</v>
      </c>
      <c r="L512" s="43">
        <f t="shared" si="113"/>
        <v>876.8700000000008</v>
      </c>
      <c r="M512" s="183"/>
      <c r="N512" s="37" t="str">
        <f t="shared" si="120"/>
        <v>MCSOPF1CPF - Desp. Alimentação / Refeição</v>
      </c>
      <c r="O512" s="37" t="str">
        <f t="shared" si="121"/>
        <v>OPF1CPF - Desp. Alimentação / Refeição</v>
      </c>
      <c r="P512" s="37" t="str">
        <f t="shared" si="122"/>
        <v>MCSOPF1CPF - Desp. Alimentação / Refeição</v>
      </c>
      <c r="Q512" s="37" t="str">
        <f t="shared" si="123"/>
        <v>MCSOPF1</v>
      </c>
      <c r="R512" s="37" t="str">
        <f t="shared" si="124"/>
        <v>MCSOPF1</v>
      </c>
      <c r="S512" s="31"/>
      <c r="T512" s="185">
        <f t="shared" si="125"/>
        <v>46143</v>
      </c>
      <c r="U512" s="181">
        <v>510</v>
      </c>
    </row>
    <row r="513" spans="2:21" s="181" customFormat="1" x14ac:dyDescent="0.25">
      <c r="B513" s="182" t="s">
        <v>25</v>
      </c>
      <c r="C513" s="183"/>
      <c r="D513" s="54" t="str">
        <f>INDEX(Cad_Natureza!$B$3:$C$52,MATCH('2026'!F513,Cad_Natureza!$C$3:$C$52,0),MATCH('2026'!D$2,Cad_Natureza!$B$3:$C$3,0))</f>
        <v>GAST2</v>
      </c>
      <c r="E513" s="52" t="str">
        <f t="shared" si="111"/>
        <v>Despesa 511</v>
      </c>
      <c r="F513" s="53" t="s">
        <v>66</v>
      </c>
      <c r="G513" s="54" t="s">
        <v>25</v>
      </c>
      <c r="H513" s="55">
        <v>46164</v>
      </c>
      <c r="I513" s="55"/>
      <c r="J513" s="50" t="str">
        <f t="shared" si="112"/>
        <v>Observação da despesa 511</v>
      </c>
      <c r="K513" s="43">
        <v>-35</v>
      </c>
      <c r="L513" s="43">
        <f t="shared" si="113"/>
        <v>841.8700000000008</v>
      </c>
      <c r="M513" s="183"/>
      <c r="N513" s="37" t="str">
        <f t="shared" si="120"/>
        <v>MCSGAST2CPF - Desp. Lazer e Entretenimento - Cigarro</v>
      </c>
      <c r="O513" s="37" t="str">
        <f t="shared" si="121"/>
        <v>GAST2CPF - Desp. Lazer e Entretenimento - Cigarro</v>
      </c>
      <c r="P513" s="37" t="str">
        <f t="shared" si="122"/>
        <v>MCSGAST2CPF - Desp. Lazer e Entretenimento - Cigarro</v>
      </c>
      <c r="Q513" s="37" t="str">
        <f t="shared" si="123"/>
        <v>MCSGAST2</v>
      </c>
      <c r="R513" s="37" t="str">
        <f t="shared" si="124"/>
        <v>MCSGAST2</v>
      </c>
      <c r="S513" s="31"/>
      <c r="T513" s="185">
        <f t="shared" si="125"/>
        <v>46143</v>
      </c>
      <c r="U513" s="181">
        <v>511</v>
      </c>
    </row>
    <row r="514" spans="2:21" s="181" customFormat="1" x14ac:dyDescent="0.25">
      <c r="B514" s="182" t="s">
        <v>25</v>
      </c>
      <c r="C514" s="183"/>
      <c r="D514" s="54" t="str">
        <f>INDEX(Cad_Natureza!$B$3:$C$52,MATCH('2026'!F514,Cad_Natureza!$C$3:$C$52,0),MATCH('2026'!D$2,Cad_Natureza!$B$3:$C$3,0))</f>
        <v>GAST1</v>
      </c>
      <c r="E514" s="52" t="str">
        <f t="shared" si="111"/>
        <v>Despesa 512</v>
      </c>
      <c r="F514" s="53" t="s">
        <v>65</v>
      </c>
      <c r="G514" s="54" t="s">
        <v>25</v>
      </c>
      <c r="H514" s="55">
        <v>46164</v>
      </c>
      <c r="I514" s="55"/>
      <c r="J514" s="50" t="str">
        <f t="shared" si="112"/>
        <v>Observação da despesa 512</v>
      </c>
      <c r="K514" s="43">
        <v>-20.6</v>
      </c>
      <c r="L514" s="43">
        <f t="shared" si="113"/>
        <v>821.27000000000078</v>
      </c>
      <c r="M514" s="183"/>
      <c r="N514" s="37" t="str">
        <f t="shared" si="120"/>
        <v>MCSGAST1CPF - Desp. Lazer e Entretenimento - Bares</v>
      </c>
      <c r="O514" s="37" t="str">
        <f t="shared" si="121"/>
        <v>GAST1CPF - Desp. Lazer e Entretenimento - Bares</v>
      </c>
      <c r="P514" s="37" t="str">
        <f t="shared" si="122"/>
        <v>MCSGAST1CPF - Desp. Lazer e Entretenimento - Bares</v>
      </c>
      <c r="Q514" s="37" t="str">
        <f t="shared" si="123"/>
        <v>MCSGAST1</v>
      </c>
      <c r="R514" s="37" t="str">
        <f t="shared" si="124"/>
        <v>MCSGAST1</v>
      </c>
      <c r="S514" s="31"/>
      <c r="T514" s="185">
        <f t="shared" si="125"/>
        <v>46143</v>
      </c>
      <c r="U514" s="181">
        <v>512</v>
      </c>
    </row>
    <row r="515" spans="2:21" s="181" customFormat="1" x14ac:dyDescent="0.25">
      <c r="B515" s="182" t="s">
        <v>25</v>
      </c>
      <c r="C515" s="183"/>
      <c r="D515" s="54" t="str">
        <f>INDEX(Cad_Natureza!$B$3:$C$52,MATCH('2026'!F515,Cad_Natureza!$C$3:$C$52,0),MATCH('2026'!D$2,Cad_Natureza!$B$3:$C$3,0))</f>
        <v>DESP4</v>
      </c>
      <c r="E515" s="52" t="str">
        <f t="shared" si="111"/>
        <v>Despesa 513</v>
      </c>
      <c r="F515" s="53" t="s">
        <v>74</v>
      </c>
      <c r="G515" s="54" t="s">
        <v>25</v>
      </c>
      <c r="H515" s="55">
        <v>46164</v>
      </c>
      <c r="I515" s="55"/>
      <c r="J515" s="50" t="str">
        <f t="shared" si="112"/>
        <v>Observação da despesa 513</v>
      </c>
      <c r="K515" s="43">
        <v>-23.99</v>
      </c>
      <c r="L515" s="43">
        <f t="shared" si="113"/>
        <v>797.28000000000077</v>
      </c>
      <c r="M515" s="183"/>
      <c r="N515" s="37" t="str">
        <f t="shared" si="120"/>
        <v>MCSDESP4CPF - Desp. Moradia</v>
      </c>
      <c r="O515" s="37" t="str">
        <f t="shared" si="121"/>
        <v>DESP4CPF - Desp. Moradia</v>
      </c>
      <c r="P515" s="37" t="str">
        <f t="shared" si="122"/>
        <v>MCSDESP4CPF - Desp. Moradia</v>
      </c>
      <c r="Q515" s="37" t="str">
        <f t="shared" si="123"/>
        <v>MCSDESP4</v>
      </c>
      <c r="R515" s="37" t="str">
        <f t="shared" si="124"/>
        <v>MCSDESP4</v>
      </c>
      <c r="S515" s="31"/>
      <c r="T515" s="185">
        <f t="shared" si="125"/>
        <v>46143</v>
      </c>
      <c r="U515" s="181">
        <v>513</v>
      </c>
    </row>
    <row r="516" spans="2:21" s="181" customFormat="1" x14ac:dyDescent="0.25">
      <c r="B516" s="182" t="s">
        <v>25</v>
      </c>
      <c r="C516" s="183"/>
      <c r="D516" s="54" t="str">
        <f>INDEX(Cad_Natureza!$B$3:$C$52,MATCH('2026'!F516,Cad_Natureza!$C$3:$C$52,0),MATCH('2026'!D$2,Cad_Natureza!$B$3:$C$3,0))</f>
        <v>PENS6</v>
      </c>
      <c r="E516" s="52" t="str">
        <f t="shared" ref="E516:E579" si="126">IF(K516&lt;0,"Despesa "&amp;U516,"Receita "&amp;U516)</f>
        <v>Despesa 514</v>
      </c>
      <c r="F516" s="53" t="s">
        <v>34</v>
      </c>
      <c r="G516" s="54" t="s">
        <v>25</v>
      </c>
      <c r="H516" s="55">
        <v>46164</v>
      </c>
      <c r="I516" s="55"/>
      <c r="J516" s="50" t="str">
        <f t="shared" ref="J516:J579" si="127">IF(K516&lt;0,"Observação da despesa "&amp;U516,"Observação da receita "&amp;U516)</f>
        <v>Observação da despesa 514</v>
      </c>
      <c r="K516" s="43">
        <v>-65.98</v>
      </c>
      <c r="L516" s="43">
        <f t="shared" ref="L516:L579" si="128">L515+K516</f>
        <v>731.30000000000075</v>
      </c>
      <c r="M516" s="183"/>
      <c r="N516" s="37" t="str">
        <f t="shared" si="120"/>
        <v>MCSPENS6CPF - Pensão - Farmácia e Saúde</v>
      </c>
      <c r="O516" s="37" t="str">
        <f t="shared" si="121"/>
        <v>PENS6CPF - Pensão - Farmácia e Saúde</v>
      </c>
      <c r="P516" s="37" t="str">
        <f t="shared" si="122"/>
        <v>MCSPENS6CPF - Pensão - Farmácia e Saúde</v>
      </c>
      <c r="Q516" s="37" t="str">
        <f t="shared" si="123"/>
        <v>MCSPENS6</v>
      </c>
      <c r="R516" s="37" t="str">
        <f t="shared" si="124"/>
        <v>MCSPENS6</v>
      </c>
      <c r="S516" s="31"/>
      <c r="T516" s="185">
        <f t="shared" si="125"/>
        <v>46143</v>
      </c>
      <c r="U516" s="181">
        <v>514</v>
      </c>
    </row>
    <row r="517" spans="2:21" s="181" customFormat="1" x14ac:dyDescent="0.25">
      <c r="B517" s="182" t="s">
        <v>25</v>
      </c>
      <c r="C517" s="183"/>
      <c r="D517" s="54" t="str">
        <f>INDEX(Cad_Natureza!$B$3:$C$52,MATCH('2026'!F517,Cad_Natureza!$C$3:$C$52,0),MATCH('2026'!D$2,Cad_Natureza!$B$3:$C$3,0))</f>
        <v>PENS6</v>
      </c>
      <c r="E517" s="52" t="str">
        <f t="shared" si="126"/>
        <v>Despesa 515</v>
      </c>
      <c r="F517" s="186" t="s">
        <v>34</v>
      </c>
      <c r="G517" s="54" t="s">
        <v>25</v>
      </c>
      <c r="H517" s="55">
        <v>46167</v>
      </c>
      <c r="I517" s="55"/>
      <c r="J517" s="50" t="str">
        <f t="shared" si="127"/>
        <v>Observação da despesa 515</v>
      </c>
      <c r="K517" s="43">
        <v>-66.27</v>
      </c>
      <c r="L517" s="43">
        <f t="shared" si="128"/>
        <v>665.03000000000077</v>
      </c>
      <c r="M517" s="183"/>
      <c r="N517" s="37" t="str">
        <f t="shared" si="120"/>
        <v>MCSPENS6CPF - Pensão - Farmácia e Saúde</v>
      </c>
      <c r="O517" s="37" t="str">
        <f t="shared" si="121"/>
        <v>PENS6CPF - Pensão - Farmácia e Saúde</v>
      </c>
      <c r="P517" s="37" t="str">
        <f t="shared" si="122"/>
        <v>MCSPENS6CPF - Pensão - Farmácia e Saúde</v>
      </c>
      <c r="Q517" s="37" t="str">
        <f t="shared" si="123"/>
        <v>MCSPENS6</v>
      </c>
      <c r="R517" s="37" t="str">
        <f t="shared" si="124"/>
        <v>MCSPENS6</v>
      </c>
      <c r="S517" s="31"/>
      <c r="T517" s="185">
        <f t="shared" si="125"/>
        <v>46143</v>
      </c>
      <c r="U517" s="181">
        <v>515</v>
      </c>
    </row>
    <row r="518" spans="2:21" s="181" customFormat="1" x14ac:dyDescent="0.25">
      <c r="B518" s="182" t="s">
        <v>25</v>
      </c>
      <c r="C518" s="183"/>
      <c r="D518" s="54" t="str">
        <f>INDEX(Cad_Natureza!$B$3:$C$52,MATCH('2026'!F518,Cad_Natureza!$C$3:$C$52,0),MATCH('2026'!D$2,Cad_Natureza!$B$3:$C$3,0))</f>
        <v>GAST1</v>
      </c>
      <c r="E518" s="52" t="str">
        <f t="shared" si="126"/>
        <v>Despesa 516</v>
      </c>
      <c r="F518" s="53" t="s">
        <v>65</v>
      </c>
      <c r="G518" s="54" t="s">
        <v>25</v>
      </c>
      <c r="H518" s="55">
        <v>46167</v>
      </c>
      <c r="I518" s="55"/>
      <c r="J518" s="50" t="str">
        <f t="shared" si="127"/>
        <v>Observação da despesa 516</v>
      </c>
      <c r="K518" s="43">
        <v>-9</v>
      </c>
      <c r="L518" s="43">
        <f t="shared" si="128"/>
        <v>656.03000000000077</v>
      </c>
      <c r="M518" s="183"/>
      <c r="N518" s="37" t="str">
        <f t="shared" si="120"/>
        <v>MCSGAST1CPF - Desp. Lazer e Entretenimento - Bares</v>
      </c>
      <c r="O518" s="37" t="str">
        <f t="shared" si="121"/>
        <v>GAST1CPF - Desp. Lazer e Entretenimento - Bares</v>
      </c>
      <c r="P518" s="37" t="str">
        <f t="shared" si="122"/>
        <v>MCSGAST1CPF - Desp. Lazer e Entretenimento - Bares</v>
      </c>
      <c r="Q518" s="37" t="str">
        <f t="shared" si="123"/>
        <v>MCSGAST1</v>
      </c>
      <c r="R518" s="37" t="str">
        <f t="shared" si="124"/>
        <v>MCSGAST1</v>
      </c>
      <c r="S518" s="31"/>
      <c r="T518" s="185">
        <f t="shared" si="125"/>
        <v>46143</v>
      </c>
      <c r="U518" s="181">
        <v>516</v>
      </c>
    </row>
    <row r="519" spans="2:21" s="181" customFormat="1" x14ac:dyDescent="0.25">
      <c r="B519" s="182" t="s">
        <v>25</v>
      </c>
      <c r="C519" s="183"/>
      <c r="D519" s="54" t="str">
        <f>INDEX(Cad_Natureza!$B$3:$C$52,MATCH('2026'!F519,Cad_Natureza!$C$3:$C$52,0),MATCH('2026'!D$2,Cad_Natureza!$B$3:$C$3,0))</f>
        <v>GAST1</v>
      </c>
      <c r="E519" s="52" t="str">
        <f t="shared" si="126"/>
        <v>Despesa 517</v>
      </c>
      <c r="F519" s="53" t="s">
        <v>65</v>
      </c>
      <c r="G519" s="54" t="s">
        <v>25</v>
      </c>
      <c r="H519" s="55">
        <v>46167</v>
      </c>
      <c r="I519" s="55"/>
      <c r="J519" s="50" t="str">
        <f t="shared" si="127"/>
        <v>Observação da despesa 517</v>
      </c>
      <c r="K519" s="43">
        <v>-55.5</v>
      </c>
      <c r="L519" s="43">
        <f t="shared" si="128"/>
        <v>600.53000000000077</v>
      </c>
      <c r="M519" s="183"/>
      <c r="N519" s="37" t="str">
        <f t="shared" si="120"/>
        <v>MCSGAST1CPF - Desp. Lazer e Entretenimento - Bares</v>
      </c>
      <c r="O519" s="37" t="str">
        <f t="shared" si="121"/>
        <v>GAST1CPF - Desp. Lazer e Entretenimento - Bares</v>
      </c>
      <c r="P519" s="37" t="str">
        <f t="shared" si="122"/>
        <v>MCSGAST1CPF - Desp. Lazer e Entretenimento - Bares</v>
      </c>
      <c r="Q519" s="37" t="str">
        <f t="shared" si="123"/>
        <v>MCSGAST1</v>
      </c>
      <c r="R519" s="37" t="str">
        <f t="shared" si="124"/>
        <v>MCSGAST1</v>
      </c>
      <c r="S519" s="31"/>
      <c r="T519" s="185">
        <f t="shared" si="125"/>
        <v>46143</v>
      </c>
      <c r="U519" s="181">
        <v>517</v>
      </c>
    </row>
    <row r="520" spans="2:21" s="181" customFormat="1" x14ac:dyDescent="0.25">
      <c r="B520" s="182" t="s">
        <v>25</v>
      </c>
      <c r="C520" s="183"/>
      <c r="D520" s="54" t="str">
        <f>INDEX(Cad_Natureza!$B$3:$C$52,MATCH('2026'!F520,Cad_Natureza!$C$3:$C$52,0),MATCH('2026'!D$2,Cad_Natureza!$B$3:$C$3,0))</f>
        <v>GAST1</v>
      </c>
      <c r="E520" s="52" t="str">
        <f t="shared" si="126"/>
        <v>Despesa 518</v>
      </c>
      <c r="F520" s="53" t="s">
        <v>65</v>
      </c>
      <c r="G520" s="54" t="s">
        <v>25</v>
      </c>
      <c r="H520" s="55">
        <v>46167</v>
      </c>
      <c r="I520" s="55"/>
      <c r="J520" s="50" t="str">
        <f t="shared" si="127"/>
        <v>Observação da despesa 518</v>
      </c>
      <c r="K520" s="43">
        <v>-6.5</v>
      </c>
      <c r="L520" s="43">
        <f t="shared" si="128"/>
        <v>594.03000000000077</v>
      </c>
      <c r="M520" s="183"/>
      <c r="N520" s="37" t="str">
        <f t="shared" si="120"/>
        <v>MCSGAST1CPF - Desp. Lazer e Entretenimento - Bares</v>
      </c>
      <c r="O520" s="37" t="str">
        <f t="shared" si="121"/>
        <v>GAST1CPF - Desp. Lazer e Entretenimento - Bares</v>
      </c>
      <c r="P520" s="37" t="str">
        <f t="shared" si="122"/>
        <v>MCSGAST1CPF - Desp. Lazer e Entretenimento - Bares</v>
      </c>
      <c r="Q520" s="37" t="str">
        <f t="shared" si="123"/>
        <v>MCSGAST1</v>
      </c>
      <c r="R520" s="37" t="str">
        <f t="shared" si="124"/>
        <v>MCSGAST1</v>
      </c>
      <c r="S520" s="31"/>
      <c r="T520" s="185">
        <f t="shared" si="125"/>
        <v>46143</v>
      </c>
      <c r="U520" s="181">
        <v>518</v>
      </c>
    </row>
    <row r="521" spans="2:21" s="181" customFormat="1" x14ac:dyDescent="0.25">
      <c r="B521" s="182" t="s">
        <v>25</v>
      </c>
      <c r="C521" s="183"/>
      <c r="D521" s="54" t="str">
        <f>INDEX(Cad_Natureza!$B$3:$C$52,MATCH('2026'!F521,Cad_Natureza!$C$3:$C$52,0),MATCH('2026'!D$2,Cad_Natureza!$B$3:$C$3,0))</f>
        <v>GAST1</v>
      </c>
      <c r="E521" s="52" t="str">
        <f t="shared" si="126"/>
        <v>Despesa 519</v>
      </c>
      <c r="F521" s="53" t="s">
        <v>65</v>
      </c>
      <c r="G521" s="54" t="s">
        <v>25</v>
      </c>
      <c r="H521" s="55">
        <v>46167</v>
      </c>
      <c r="I521" s="55"/>
      <c r="J521" s="50" t="str">
        <f t="shared" si="127"/>
        <v>Observação da despesa 519</v>
      </c>
      <c r="K521" s="43">
        <v>-6.5</v>
      </c>
      <c r="L521" s="43">
        <f t="shared" si="128"/>
        <v>587.53000000000077</v>
      </c>
      <c r="M521" s="183"/>
      <c r="N521" s="37" t="str">
        <f t="shared" si="0"/>
        <v>MCSGAST1CPF - Desp. Lazer e Entretenimento - Bares</v>
      </c>
      <c r="O521" s="37" t="str">
        <f t="shared" si="1"/>
        <v>GAST1CPF - Desp. Lazer e Entretenimento - Bares</v>
      </c>
      <c r="P521" s="37" t="str">
        <f t="shared" si="2"/>
        <v>MCSGAST1CPF - Desp. Lazer e Entretenimento - Bares</v>
      </c>
      <c r="Q521" s="37" t="str">
        <f t="shared" si="3"/>
        <v>MCSGAST1</v>
      </c>
      <c r="R521" s="37" t="str">
        <f t="shared" si="4"/>
        <v>MCSGAST1</v>
      </c>
      <c r="S521" s="31"/>
      <c r="T521" s="185">
        <f t="shared" si="5"/>
        <v>46143</v>
      </c>
      <c r="U521" s="181">
        <v>519</v>
      </c>
    </row>
    <row r="522" spans="2:21" s="181" customFormat="1" x14ac:dyDescent="0.25">
      <c r="B522" s="182" t="s">
        <v>25</v>
      </c>
      <c r="C522" s="183"/>
      <c r="D522" s="54" t="str">
        <f>INDEX(Cad_Natureza!$B$3:$C$52,MATCH('2026'!F522,Cad_Natureza!$C$3:$C$52,0),MATCH('2026'!D$2,Cad_Natureza!$B$3:$C$3,0))</f>
        <v>GAST1</v>
      </c>
      <c r="E522" s="52" t="str">
        <f t="shared" si="126"/>
        <v>Despesa 520</v>
      </c>
      <c r="F522" s="53" t="s">
        <v>65</v>
      </c>
      <c r="G522" s="54" t="s">
        <v>25</v>
      </c>
      <c r="H522" s="55">
        <v>46167</v>
      </c>
      <c r="I522" s="55"/>
      <c r="J522" s="50" t="str">
        <f t="shared" si="127"/>
        <v>Observação da despesa 520</v>
      </c>
      <c r="K522" s="43">
        <v>-6.5</v>
      </c>
      <c r="L522" s="43">
        <f t="shared" si="128"/>
        <v>581.03000000000077</v>
      </c>
      <c r="M522" s="183"/>
      <c r="N522" s="37" t="str">
        <f t="shared" si="0"/>
        <v>MCSGAST1CPF - Desp. Lazer e Entretenimento - Bares</v>
      </c>
      <c r="O522" s="37" t="str">
        <f t="shared" si="1"/>
        <v>GAST1CPF - Desp. Lazer e Entretenimento - Bares</v>
      </c>
      <c r="P522" s="37" t="str">
        <f t="shared" si="2"/>
        <v>MCSGAST1CPF - Desp. Lazer e Entretenimento - Bares</v>
      </c>
      <c r="Q522" s="37" t="str">
        <f t="shared" si="3"/>
        <v>MCSGAST1</v>
      </c>
      <c r="R522" s="37" t="str">
        <f t="shared" si="4"/>
        <v>MCSGAST1</v>
      </c>
      <c r="S522" s="31"/>
      <c r="T522" s="185">
        <f t="shared" si="5"/>
        <v>46143</v>
      </c>
      <c r="U522" s="181">
        <v>520</v>
      </c>
    </row>
    <row r="523" spans="2:21" s="181" customFormat="1" x14ac:dyDescent="0.25">
      <c r="B523" s="182" t="s">
        <v>25</v>
      </c>
      <c r="C523" s="183"/>
      <c r="D523" s="54" t="str">
        <f>INDEX(Cad_Natureza!$B$3:$C$52,MATCH('2026'!F523,Cad_Natureza!$C$3:$C$52,0),MATCH('2026'!D$2,Cad_Natureza!$B$3:$C$3,0))</f>
        <v>GAST1</v>
      </c>
      <c r="E523" s="52" t="str">
        <f t="shared" si="126"/>
        <v>Despesa 521</v>
      </c>
      <c r="F523" s="53" t="s">
        <v>65</v>
      </c>
      <c r="G523" s="54" t="s">
        <v>25</v>
      </c>
      <c r="H523" s="55">
        <v>46167</v>
      </c>
      <c r="I523" s="55"/>
      <c r="J523" s="50" t="str">
        <f t="shared" si="127"/>
        <v>Observação da despesa 521</v>
      </c>
      <c r="K523" s="43">
        <v>-15</v>
      </c>
      <c r="L523" s="43">
        <f t="shared" si="128"/>
        <v>566.03000000000077</v>
      </c>
      <c r="M523" s="183"/>
      <c r="N523" s="37" t="str">
        <f t="shared" si="0"/>
        <v>MCSGAST1CPF - Desp. Lazer e Entretenimento - Bares</v>
      </c>
      <c r="O523" s="37" t="str">
        <f t="shared" si="1"/>
        <v>GAST1CPF - Desp. Lazer e Entretenimento - Bares</v>
      </c>
      <c r="P523" s="37" t="str">
        <f t="shared" si="2"/>
        <v>MCSGAST1CPF - Desp. Lazer e Entretenimento - Bares</v>
      </c>
      <c r="Q523" s="37" t="str">
        <f t="shared" si="3"/>
        <v>MCSGAST1</v>
      </c>
      <c r="R523" s="37" t="str">
        <f t="shared" si="4"/>
        <v>MCSGAST1</v>
      </c>
      <c r="S523" s="31"/>
      <c r="T523" s="185">
        <f t="shared" si="5"/>
        <v>46143</v>
      </c>
      <c r="U523" s="181">
        <v>521</v>
      </c>
    </row>
    <row r="524" spans="2:21" s="181" customFormat="1" x14ac:dyDescent="0.25">
      <c r="B524" s="182" t="s">
        <v>25</v>
      </c>
      <c r="C524" s="183"/>
      <c r="D524" s="54" t="str">
        <f>INDEX(Cad_Natureza!$B$3:$C$52,MATCH('2026'!F524,Cad_Natureza!$C$3:$C$52,0),MATCH('2026'!D$2,Cad_Natureza!$B$3:$C$3,0))</f>
        <v>GAST1</v>
      </c>
      <c r="E524" s="52" t="str">
        <f t="shared" si="126"/>
        <v>Despesa 522</v>
      </c>
      <c r="F524" s="53" t="s">
        <v>65</v>
      </c>
      <c r="G524" s="54" t="s">
        <v>25</v>
      </c>
      <c r="H524" s="55">
        <v>46167</v>
      </c>
      <c r="I524" s="55"/>
      <c r="J524" s="50" t="str">
        <f t="shared" si="127"/>
        <v>Observação da despesa 522</v>
      </c>
      <c r="K524" s="43">
        <v>-22</v>
      </c>
      <c r="L524" s="43">
        <f t="shared" si="128"/>
        <v>544.03000000000077</v>
      </c>
      <c r="M524" s="183"/>
      <c r="N524" s="37" t="str">
        <f t="shared" si="0"/>
        <v>MCSGAST1CPF - Desp. Lazer e Entretenimento - Bares</v>
      </c>
      <c r="O524" s="37" t="str">
        <f t="shared" si="1"/>
        <v>GAST1CPF - Desp. Lazer e Entretenimento - Bares</v>
      </c>
      <c r="P524" s="37" t="str">
        <f t="shared" si="2"/>
        <v>MCSGAST1CPF - Desp. Lazer e Entretenimento - Bares</v>
      </c>
      <c r="Q524" s="37" t="str">
        <f t="shared" si="3"/>
        <v>MCSGAST1</v>
      </c>
      <c r="R524" s="37" t="str">
        <f t="shared" si="4"/>
        <v>MCSGAST1</v>
      </c>
      <c r="S524" s="31"/>
      <c r="T524" s="185">
        <f t="shared" si="5"/>
        <v>46143</v>
      </c>
      <c r="U524" s="181">
        <v>522</v>
      </c>
    </row>
    <row r="525" spans="2:21" s="181" customFormat="1" x14ac:dyDescent="0.25">
      <c r="B525" s="182" t="s">
        <v>25</v>
      </c>
      <c r="C525" s="183"/>
      <c r="D525" s="54" t="str">
        <f>INDEX(Cad_Natureza!$B$3:$C$52,MATCH('2026'!F525,Cad_Natureza!$C$3:$C$52,0),MATCH('2026'!D$2,Cad_Natureza!$B$3:$C$3,0))</f>
        <v>GAST1</v>
      </c>
      <c r="E525" s="52" t="str">
        <f t="shared" si="126"/>
        <v>Despesa 523</v>
      </c>
      <c r="F525" s="53" t="s">
        <v>65</v>
      </c>
      <c r="G525" s="54" t="s">
        <v>25</v>
      </c>
      <c r="H525" s="55">
        <v>46167</v>
      </c>
      <c r="I525" s="55"/>
      <c r="J525" s="50" t="str">
        <f t="shared" si="127"/>
        <v>Observação da despesa 523</v>
      </c>
      <c r="K525" s="43">
        <v>-12</v>
      </c>
      <c r="L525" s="43">
        <f t="shared" si="128"/>
        <v>532.03000000000077</v>
      </c>
      <c r="M525" s="183"/>
      <c r="N525" s="37" t="str">
        <f t="shared" si="0"/>
        <v>MCSGAST1CPF - Desp. Lazer e Entretenimento - Bares</v>
      </c>
      <c r="O525" s="37" t="str">
        <f t="shared" si="1"/>
        <v>GAST1CPF - Desp. Lazer e Entretenimento - Bares</v>
      </c>
      <c r="P525" s="37" t="str">
        <f t="shared" si="2"/>
        <v>MCSGAST1CPF - Desp. Lazer e Entretenimento - Bares</v>
      </c>
      <c r="Q525" s="37" t="str">
        <f t="shared" si="3"/>
        <v>MCSGAST1</v>
      </c>
      <c r="R525" s="37" t="str">
        <f t="shared" si="4"/>
        <v>MCSGAST1</v>
      </c>
      <c r="S525" s="31"/>
      <c r="T525" s="185">
        <f t="shared" si="5"/>
        <v>46143</v>
      </c>
      <c r="U525" s="181">
        <v>523</v>
      </c>
    </row>
    <row r="526" spans="2:21" s="181" customFormat="1" x14ac:dyDescent="0.25">
      <c r="B526" s="182" t="s">
        <v>25</v>
      </c>
      <c r="C526" s="183"/>
      <c r="D526" s="54" t="str">
        <f>INDEX(Cad_Natureza!$B$3:$C$52,MATCH('2026'!F526,Cad_Natureza!$C$3:$C$52,0),MATCH('2026'!D$2,Cad_Natureza!$B$3:$C$3,0))</f>
        <v>OUG1</v>
      </c>
      <c r="E526" s="52" t="str">
        <f t="shared" si="126"/>
        <v>Despesa 524</v>
      </c>
      <c r="F526" s="53" t="s">
        <v>70</v>
      </c>
      <c r="G526" s="54" t="s">
        <v>25</v>
      </c>
      <c r="H526" s="55">
        <v>46167</v>
      </c>
      <c r="I526" s="55"/>
      <c r="J526" s="50" t="str">
        <f t="shared" si="127"/>
        <v>Observação da despesa 524</v>
      </c>
      <c r="K526" s="43">
        <v>-28</v>
      </c>
      <c r="L526" s="43">
        <f t="shared" si="128"/>
        <v>504.03000000000077</v>
      </c>
      <c r="M526" s="183"/>
      <c r="N526" s="37" t="str">
        <f t="shared" si="0"/>
        <v>MCSOUG1CPF - Outros gastos</v>
      </c>
      <c r="O526" s="37" t="str">
        <f t="shared" si="1"/>
        <v>OUG1CPF - Outros gastos</v>
      </c>
      <c r="P526" s="37" t="str">
        <f t="shared" si="2"/>
        <v>MCSOUG1CPF - Outros gastos</v>
      </c>
      <c r="Q526" s="37" t="str">
        <f t="shared" si="3"/>
        <v>MCSOUG1</v>
      </c>
      <c r="R526" s="37" t="str">
        <f t="shared" si="4"/>
        <v>MCSOUG1</v>
      </c>
      <c r="S526" s="31"/>
      <c r="T526" s="185">
        <f t="shared" si="5"/>
        <v>46143</v>
      </c>
      <c r="U526" s="181">
        <v>524</v>
      </c>
    </row>
    <row r="527" spans="2:21" s="181" customFormat="1" x14ac:dyDescent="0.25">
      <c r="B527" s="182" t="s">
        <v>25</v>
      </c>
      <c r="C527" s="183"/>
      <c r="D527" s="54" t="str">
        <f>INDEX(Cad_Natureza!$B$3:$C$52,MATCH('2026'!F527,Cad_Natureza!$C$3:$C$52,0),MATCH('2026'!D$2,Cad_Natureza!$B$3:$C$3,0))</f>
        <v>OPF1</v>
      </c>
      <c r="E527" s="52" t="str">
        <f t="shared" si="126"/>
        <v>Despesa 525</v>
      </c>
      <c r="F527" s="53" t="s">
        <v>67</v>
      </c>
      <c r="G527" s="54" t="s">
        <v>25</v>
      </c>
      <c r="H527" s="55">
        <v>46167</v>
      </c>
      <c r="I527" s="55"/>
      <c r="J527" s="50" t="str">
        <f t="shared" si="127"/>
        <v>Observação da despesa 525</v>
      </c>
      <c r="K527" s="43">
        <v>-6</v>
      </c>
      <c r="L527" s="43">
        <f t="shared" si="128"/>
        <v>498.03000000000077</v>
      </c>
      <c r="M527" s="183"/>
      <c r="N527" s="37" t="str">
        <f t="shared" si="0"/>
        <v>MCSOPF1CPF - Desp. Alimentação / Refeição</v>
      </c>
      <c r="O527" s="37" t="str">
        <f t="shared" si="1"/>
        <v>OPF1CPF - Desp. Alimentação / Refeição</v>
      </c>
      <c r="P527" s="37" t="str">
        <f t="shared" si="2"/>
        <v>MCSOPF1CPF - Desp. Alimentação / Refeição</v>
      </c>
      <c r="Q527" s="37" t="str">
        <f t="shared" si="3"/>
        <v>MCSOPF1</v>
      </c>
      <c r="R527" s="37" t="str">
        <f t="shared" si="4"/>
        <v>MCSOPF1</v>
      </c>
      <c r="S527" s="31"/>
      <c r="T527" s="185">
        <f t="shared" si="5"/>
        <v>46143</v>
      </c>
      <c r="U527" s="181">
        <v>525</v>
      </c>
    </row>
    <row r="528" spans="2:21" s="181" customFormat="1" x14ac:dyDescent="0.25">
      <c r="B528" s="182" t="s">
        <v>25</v>
      </c>
      <c r="C528" s="183"/>
      <c r="D528" s="54" t="str">
        <f>INDEX(Cad_Natureza!$B$3:$C$52,MATCH('2026'!F528,Cad_Natureza!$C$3:$C$52,0),MATCH('2026'!D$2,Cad_Natureza!$B$3:$C$3,0))</f>
        <v>OPF1</v>
      </c>
      <c r="E528" s="52" t="str">
        <f t="shared" si="126"/>
        <v>Despesa 526</v>
      </c>
      <c r="F528" s="53" t="s">
        <v>67</v>
      </c>
      <c r="G528" s="54" t="s">
        <v>25</v>
      </c>
      <c r="H528" s="55">
        <v>46167</v>
      </c>
      <c r="I528" s="55"/>
      <c r="J528" s="50" t="str">
        <f t="shared" si="127"/>
        <v>Observação da despesa 526</v>
      </c>
      <c r="K528" s="43">
        <v>-23.99</v>
      </c>
      <c r="L528" s="43">
        <f t="shared" si="128"/>
        <v>474.04000000000076</v>
      </c>
      <c r="M528" s="183"/>
      <c r="N528" s="37" t="str">
        <f t="shared" si="0"/>
        <v>MCSOPF1CPF - Desp. Alimentação / Refeição</v>
      </c>
      <c r="O528" s="37" t="str">
        <f t="shared" si="1"/>
        <v>OPF1CPF - Desp. Alimentação / Refeição</v>
      </c>
      <c r="P528" s="37" t="str">
        <f t="shared" si="2"/>
        <v>MCSOPF1CPF - Desp. Alimentação / Refeição</v>
      </c>
      <c r="Q528" s="37" t="str">
        <f t="shared" si="3"/>
        <v>MCSOPF1</v>
      </c>
      <c r="R528" s="37" t="str">
        <f t="shared" si="4"/>
        <v>MCSOPF1</v>
      </c>
      <c r="S528" s="31"/>
      <c r="T528" s="185">
        <f t="shared" si="5"/>
        <v>46143</v>
      </c>
      <c r="U528" s="181">
        <v>526</v>
      </c>
    </row>
    <row r="529" spans="2:21" s="181" customFormat="1" x14ac:dyDescent="0.25">
      <c r="B529" s="182" t="s">
        <v>25</v>
      </c>
      <c r="C529" s="183"/>
      <c r="D529" s="54" t="str">
        <f>INDEX(Cad_Natureza!$B$3:$C$52,MATCH('2026'!F529,Cad_Natureza!$C$3:$C$52,0),MATCH('2026'!D$2,Cad_Natureza!$B$3:$C$3,0))</f>
        <v>GAST1</v>
      </c>
      <c r="E529" s="52" t="str">
        <f t="shared" si="126"/>
        <v>Despesa 527</v>
      </c>
      <c r="F529" s="53" t="s">
        <v>65</v>
      </c>
      <c r="G529" s="54" t="s">
        <v>25</v>
      </c>
      <c r="H529" s="55">
        <v>46167</v>
      </c>
      <c r="I529" s="55"/>
      <c r="J529" s="50" t="str">
        <f t="shared" si="127"/>
        <v>Observação da despesa 527</v>
      </c>
      <c r="K529" s="43">
        <v>-6</v>
      </c>
      <c r="L529" s="43">
        <f t="shared" si="128"/>
        <v>468.04000000000076</v>
      </c>
      <c r="M529" s="183"/>
      <c r="N529" s="37" t="str">
        <f t="shared" si="0"/>
        <v>MCSGAST1CPF - Desp. Lazer e Entretenimento - Bares</v>
      </c>
      <c r="O529" s="37" t="str">
        <f t="shared" si="1"/>
        <v>GAST1CPF - Desp. Lazer e Entretenimento - Bares</v>
      </c>
      <c r="P529" s="37" t="str">
        <f t="shared" si="2"/>
        <v>MCSGAST1CPF - Desp. Lazer e Entretenimento - Bares</v>
      </c>
      <c r="Q529" s="37" t="str">
        <f t="shared" si="3"/>
        <v>MCSGAST1</v>
      </c>
      <c r="R529" s="37" t="str">
        <f t="shared" si="4"/>
        <v>MCSGAST1</v>
      </c>
      <c r="S529" s="31"/>
      <c r="T529" s="185">
        <f t="shared" si="5"/>
        <v>46143</v>
      </c>
      <c r="U529" s="181">
        <v>527</v>
      </c>
    </row>
    <row r="530" spans="2:21" s="181" customFormat="1" x14ac:dyDescent="0.25">
      <c r="B530" s="182" t="s">
        <v>25</v>
      </c>
      <c r="C530" s="183"/>
      <c r="D530" s="54" t="str">
        <f>INDEX(Cad_Natureza!$B$3:$C$52,MATCH('2026'!F530,Cad_Natureza!$C$3:$C$52,0),MATCH('2026'!D$2,Cad_Natureza!$B$3:$C$3,0))</f>
        <v>OPF2</v>
      </c>
      <c r="E530" s="52" t="str">
        <f t="shared" si="126"/>
        <v>Despesa 528</v>
      </c>
      <c r="F530" s="53" t="s">
        <v>64</v>
      </c>
      <c r="G530" s="54" t="s">
        <v>25</v>
      </c>
      <c r="H530" s="55">
        <v>46167</v>
      </c>
      <c r="I530" s="55"/>
      <c r="J530" s="50" t="str">
        <f t="shared" si="127"/>
        <v>Observação da despesa 528</v>
      </c>
      <c r="K530" s="43">
        <v>-80</v>
      </c>
      <c r="L530" s="43">
        <f t="shared" si="128"/>
        <v>388.04000000000076</v>
      </c>
      <c r="M530" s="183"/>
      <c r="N530" s="37" t="str">
        <f t="shared" si="0"/>
        <v>MCSOPF2CPF - Desp. Transporte / Combustível</v>
      </c>
      <c r="O530" s="37" t="str">
        <f t="shared" si="1"/>
        <v>OPF2CPF - Desp. Transporte / Combustível</v>
      </c>
      <c r="P530" s="37" t="str">
        <f t="shared" si="2"/>
        <v>MCSOPF2CPF - Desp. Transporte / Combustível</v>
      </c>
      <c r="Q530" s="37" t="str">
        <f t="shared" si="3"/>
        <v>MCSOPF2</v>
      </c>
      <c r="R530" s="37" t="str">
        <f t="shared" si="4"/>
        <v>MCSOPF2</v>
      </c>
      <c r="S530" s="31"/>
      <c r="T530" s="185">
        <f t="shared" si="5"/>
        <v>46143</v>
      </c>
      <c r="U530" s="181">
        <v>528</v>
      </c>
    </row>
    <row r="531" spans="2:21" s="181" customFormat="1" x14ac:dyDescent="0.25">
      <c r="B531" s="182" t="s">
        <v>25</v>
      </c>
      <c r="C531" s="183"/>
      <c r="D531" s="54" t="str">
        <f>INDEX(Cad_Natureza!$B$3:$C$52,MATCH('2026'!F531,Cad_Natureza!$C$3:$C$52,0),MATCH('2026'!D$2,Cad_Natureza!$B$3:$C$3,0))</f>
        <v>GAST1</v>
      </c>
      <c r="E531" s="52" t="str">
        <f t="shared" si="126"/>
        <v>Despesa 529</v>
      </c>
      <c r="F531" s="53" t="s">
        <v>65</v>
      </c>
      <c r="G531" s="54" t="s">
        <v>25</v>
      </c>
      <c r="H531" s="55">
        <v>46167</v>
      </c>
      <c r="I531" s="55"/>
      <c r="J531" s="50" t="str">
        <f t="shared" si="127"/>
        <v>Observação da despesa 529</v>
      </c>
      <c r="K531" s="43">
        <v>-34</v>
      </c>
      <c r="L531" s="43">
        <f t="shared" si="128"/>
        <v>354.04000000000076</v>
      </c>
      <c r="M531" s="183"/>
      <c r="N531" s="37" t="str">
        <f t="shared" si="0"/>
        <v>MCSGAST1CPF - Desp. Lazer e Entretenimento - Bares</v>
      </c>
      <c r="O531" s="37" t="str">
        <f t="shared" si="1"/>
        <v>GAST1CPF - Desp. Lazer e Entretenimento - Bares</v>
      </c>
      <c r="P531" s="37" t="str">
        <f t="shared" si="2"/>
        <v>MCSGAST1CPF - Desp. Lazer e Entretenimento - Bares</v>
      </c>
      <c r="Q531" s="37" t="str">
        <f t="shared" si="3"/>
        <v>MCSGAST1</v>
      </c>
      <c r="R531" s="37" t="str">
        <f t="shared" si="4"/>
        <v>MCSGAST1</v>
      </c>
      <c r="S531" s="31"/>
      <c r="T531" s="185">
        <f t="shared" si="5"/>
        <v>46143</v>
      </c>
      <c r="U531" s="181">
        <v>529</v>
      </c>
    </row>
    <row r="532" spans="2:21" s="181" customFormat="1" x14ac:dyDescent="0.25">
      <c r="B532" s="182" t="s">
        <v>25</v>
      </c>
      <c r="C532" s="183"/>
      <c r="D532" s="54" t="str">
        <f>INDEX(Cad_Natureza!$B$3:$C$52,MATCH('2026'!F532,Cad_Natureza!$C$3:$C$52,0),MATCH('2026'!D$2,Cad_Natureza!$B$3:$C$3,0))</f>
        <v>DESP4</v>
      </c>
      <c r="E532" s="52" t="str">
        <f t="shared" si="126"/>
        <v>Despesa 530</v>
      </c>
      <c r="F532" s="53" t="s">
        <v>74</v>
      </c>
      <c r="G532" s="54" t="s">
        <v>25</v>
      </c>
      <c r="H532" s="55">
        <v>46167</v>
      </c>
      <c r="I532" s="55"/>
      <c r="J532" s="50" t="str">
        <f t="shared" si="127"/>
        <v>Observação da despesa 530</v>
      </c>
      <c r="K532" s="43">
        <v>-9</v>
      </c>
      <c r="L532" s="43">
        <f t="shared" si="128"/>
        <v>345.04000000000076</v>
      </c>
      <c r="M532" s="183"/>
      <c r="N532" s="37" t="str">
        <f t="shared" si="0"/>
        <v>MCSDESP4CPF - Desp. Moradia</v>
      </c>
      <c r="O532" s="37" t="str">
        <f t="shared" si="1"/>
        <v>DESP4CPF - Desp. Moradia</v>
      </c>
      <c r="P532" s="37" t="str">
        <f t="shared" si="2"/>
        <v>MCSDESP4CPF - Desp. Moradia</v>
      </c>
      <c r="Q532" s="37" t="str">
        <f t="shared" si="3"/>
        <v>MCSDESP4</v>
      </c>
      <c r="R532" s="37" t="str">
        <f t="shared" si="4"/>
        <v>MCSDESP4</v>
      </c>
      <c r="S532" s="31"/>
      <c r="T532" s="185">
        <f t="shared" si="5"/>
        <v>46143</v>
      </c>
      <c r="U532" s="181">
        <v>530</v>
      </c>
    </row>
    <row r="533" spans="2:21" s="181" customFormat="1" x14ac:dyDescent="0.25">
      <c r="B533" s="182" t="s">
        <v>25</v>
      </c>
      <c r="C533" s="183"/>
      <c r="D533" s="54" t="str">
        <f>INDEX(Cad_Natureza!$B$3:$C$52,MATCH('2026'!F533,Cad_Natureza!$C$3:$C$52,0),MATCH('2026'!D$2,Cad_Natureza!$B$3:$C$3,0))</f>
        <v>OPF1</v>
      </c>
      <c r="E533" s="52" t="str">
        <f t="shared" si="126"/>
        <v>Despesa 531</v>
      </c>
      <c r="F533" s="53" t="s">
        <v>67</v>
      </c>
      <c r="G533" s="54" t="s">
        <v>25</v>
      </c>
      <c r="H533" s="55">
        <v>46168</v>
      </c>
      <c r="I533" s="55"/>
      <c r="J533" s="50" t="str">
        <f t="shared" si="127"/>
        <v>Observação da despesa 531</v>
      </c>
      <c r="K533" s="43">
        <v>-23.99</v>
      </c>
      <c r="L533" s="43">
        <f t="shared" si="128"/>
        <v>321.05000000000075</v>
      </c>
      <c r="M533" s="183"/>
      <c r="N533" s="37" t="str">
        <f t="shared" si="0"/>
        <v>MCSOPF1CPF - Desp. Alimentação / Refeição</v>
      </c>
      <c r="O533" s="37" t="str">
        <f t="shared" si="1"/>
        <v>OPF1CPF - Desp. Alimentação / Refeição</v>
      </c>
      <c r="P533" s="37" t="str">
        <f t="shared" si="2"/>
        <v>MCSOPF1CPF - Desp. Alimentação / Refeição</v>
      </c>
      <c r="Q533" s="37" t="str">
        <f t="shared" si="3"/>
        <v>MCSOPF1</v>
      </c>
      <c r="R533" s="37" t="str">
        <f t="shared" si="4"/>
        <v>MCSOPF1</v>
      </c>
      <c r="S533" s="31"/>
      <c r="T533" s="185">
        <f t="shared" si="5"/>
        <v>46143</v>
      </c>
      <c r="U533" s="181">
        <v>531</v>
      </c>
    </row>
    <row r="534" spans="2:21" s="181" customFormat="1" x14ac:dyDescent="0.25">
      <c r="B534" s="182" t="s">
        <v>25</v>
      </c>
      <c r="C534" s="183"/>
      <c r="D534" s="54" t="str">
        <f>INDEX(Cad_Natureza!$B$3:$C$52,MATCH('2026'!F534,Cad_Natureza!$C$3:$C$52,0),MATCH('2026'!D$2,Cad_Natureza!$B$3:$C$3,0))</f>
        <v>GAST1</v>
      </c>
      <c r="E534" s="52" t="str">
        <f t="shared" si="126"/>
        <v>Despesa 532</v>
      </c>
      <c r="F534" s="53" t="s">
        <v>65</v>
      </c>
      <c r="G534" s="54" t="s">
        <v>25</v>
      </c>
      <c r="H534" s="55">
        <v>46168</v>
      </c>
      <c r="I534" s="55"/>
      <c r="J534" s="50" t="str">
        <f t="shared" si="127"/>
        <v>Observação da despesa 532</v>
      </c>
      <c r="K534" s="43">
        <v>-18</v>
      </c>
      <c r="L534" s="43">
        <f t="shared" si="128"/>
        <v>303.05000000000075</v>
      </c>
      <c r="M534" s="183"/>
      <c r="N534" s="37" t="str">
        <f t="shared" si="0"/>
        <v>MCSGAST1CPF - Desp. Lazer e Entretenimento - Bares</v>
      </c>
      <c r="O534" s="37" t="str">
        <f t="shared" si="1"/>
        <v>GAST1CPF - Desp. Lazer e Entretenimento - Bares</v>
      </c>
      <c r="P534" s="37" t="str">
        <f t="shared" si="2"/>
        <v>MCSGAST1CPF - Desp. Lazer e Entretenimento - Bares</v>
      </c>
      <c r="Q534" s="37" t="str">
        <f t="shared" si="3"/>
        <v>MCSGAST1</v>
      </c>
      <c r="R534" s="37" t="str">
        <f t="shared" si="4"/>
        <v>MCSGAST1</v>
      </c>
      <c r="S534" s="31"/>
      <c r="T534" s="185">
        <f t="shared" si="5"/>
        <v>46143</v>
      </c>
      <c r="U534" s="181">
        <v>532</v>
      </c>
    </row>
    <row r="535" spans="2:21" s="181" customFormat="1" x14ac:dyDescent="0.25">
      <c r="B535" s="182" t="s">
        <v>25</v>
      </c>
      <c r="C535" s="183"/>
      <c r="D535" s="54" t="str">
        <f>INDEX(Cad_Natureza!$B$3:$C$52,MATCH('2026'!F535,Cad_Natureza!$C$3:$C$52,0),MATCH('2026'!D$2,Cad_Natureza!$B$3:$C$3,0))</f>
        <v>OPF1</v>
      </c>
      <c r="E535" s="52" t="str">
        <f t="shared" si="126"/>
        <v>Despesa 533</v>
      </c>
      <c r="F535" s="53" t="s">
        <v>67</v>
      </c>
      <c r="G535" s="54" t="s">
        <v>25</v>
      </c>
      <c r="H535" s="55">
        <v>46169</v>
      </c>
      <c r="I535" s="55"/>
      <c r="J535" s="50" t="str">
        <f t="shared" si="127"/>
        <v>Observação da despesa 533</v>
      </c>
      <c r="K535" s="43">
        <v>-24</v>
      </c>
      <c r="L535" s="43">
        <f t="shared" si="128"/>
        <v>279.05000000000075</v>
      </c>
      <c r="M535" s="183"/>
      <c r="N535" s="37" t="str">
        <f t="shared" si="0"/>
        <v>MCSOPF1CPF - Desp. Alimentação / Refeição</v>
      </c>
      <c r="O535" s="37" t="str">
        <f t="shared" si="1"/>
        <v>OPF1CPF - Desp. Alimentação / Refeição</v>
      </c>
      <c r="P535" s="37" t="str">
        <f t="shared" si="2"/>
        <v>MCSOPF1CPF - Desp. Alimentação / Refeição</v>
      </c>
      <c r="Q535" s="37" t="str">
        <f t="shared" si="3"/>
        <v>MCSOPF1</v>
      </c>
      <c r="R535" s="37" t="str">
        <f t="shared" si="4"/>
        <v>MCSOPF1</v>
      </c>
      <c r="S535" s="31"/>
      <c r="T535" s="185">
        <f t="shared" si="5"/>
        <v>46143</v>
      </c>
      <c r="U535" s="181">
        <v>533</v>
      </c>
    </row>
    <row r="536" spans="2:21" s="181" customFormat="1" x14ac:dyDescent="0.25">
      <c r="B536" s="182" t="s">
        <v>25</v>
      </c>
      <c r="C536" s="183"/>
      <c r="D536" s="54" t="str">
        <f>INDEX(Cad_Natureza!$B$3:$C$52,MATCH('2026'!F536,Cad_Natureza!$C$3:$C$52,0),MATCH('2026'!D$2,Cad_Natureza!$B$3:$C$3,0))</f>
        <v>GAST1</v>
      </c>
      <c r="E536" s="52" t="str">
        <f t="shared" si="126"/>
        <v>Despesa 534</v>
      </c>
      <c r="F536" s="53" t="s">
        <v>65</v>
      </c>
      <c r="G536" s="54" t="s">
        <v>25</v>
      </c>
      <c r="H536" s="55">
        <v>46169</v>
      </c>
      <c r="I536" s="55"/>
      <c r="J536" s="50" t="str">
        <f t="shared" si="127"/>
        <v>Observação da despesa 534</v>
      </c>
      <c r="K536" s="43">
        <v>-10.3</v>
      </c>
      <c r="L536" s="43">
        <f t="shared" si="128"/>
        <v>268.75000000000074</v>
      </c>
      <c r="M536" s="183"/>
      <c r="N536" s="37" t="str">
        <f t="shared" si="0"/>
        <v>MCSGAST1CPF - Desp. Lazer e Entretenimento - Bares</v>
      </c>
      <c r="O536" s="37" t="str">
        <f t="shared" si="1"/>
        <v>GAST1CPF - Desp. Lazer e Entretenimento - Bares</v>
      </c>
      <c r="P536" s="37" t="str">
        <f t="shared" si="2"/>
        <v>MCSGAST1CPF - Desp. Lazer e Entretenimento - Bares</v>
      </c>
      <c r="Q536" s="37" t="str">
        <f t="shared" si="3"/>
        <v>MCSGAST1</v>
      </c>
      <c r="R536" s="37" t="str">
        <f t="shared" si="4"/>
        <v>MCSGAST1</v>
      </c>
      <c r="S536" s="31"/>
      <c r="T536" s="185">
        <f t="shared" si="5"/>
        <v>46143</v>
      </c>
      <c r="U536" s="181">
        <v>534</v>
      </c>
    </row>
    <row r="537" spans="2:21" s="177" customFormat="1" x14ac:dyDescent="0.25">
      <c r="B537" s="174" t="s">
        <v>25</v>
      </c>
      <c r="C537" s="51"/>
      <c r="D537" s="44" t="str">
        <f>INDEX(Cad_Natureza!$B$3:$C$52,MATCH('2026'!F537,Cad_Natureza!$C$3:$C$52,0),MATCH('2026'!D$2,Cad_Natureza!$B$3:$C$3,0))</f>
        <v>REC5</v>
      </c>
      <c r="E537" s="45" t="str">
        <f t="shared" si="126"/>
        <v>Receita 535</v>
      </c>
      <c r="F537" s="46" t="s">
        <v>63</v>
      </c>
      <c r="G537" s="44" t="s">
        <v>25</v>
      </c>
      <c r="H537" s="47">
        <v>46169</v>
      </c>
      <c r="I537" s="47"/>
      <c r="J537" s="48" t="str">
        <f t="shared" si="127"/>
        <v>Observação da receita 535</v>
      </c>
      <c r="K537" s="49">
        <v>20</v>
      </c>
      <c r="L537" s="49">
        <f t="shared" si="128"/>
        <v>288.75000000000074</v>
      </c>
      <c r="M537" s="51"/>
      <c r="N537" s="37" t="str">
        <f t="shared" si="0"/>
        <v>MCSREC5CPF - Outras receitas</v>
      </c>
      <c r="O537" s="37" t="str">
        <f t="shared" si="1"/>
        <v>REC5CPF - Outras receitas</v>
      </c>
      <c r="P537" s="37" t="str">
        <f t="shared" si="2"/>
        <v>MCSREC5CPF - Outras receitas</v>
      </c>
      <c r="Q537" s="37" t="str">
        <f t="shared" si="3"/>
        <v>MCSREC5</v>
      </c>
      <c r="R537" s="37" t="str">
        <f t="shared" si="4"/>
        <v>MCSREC5</v>
      </c>
      <c r="S537" s="31"/>
      <c r="T537" s="176">
        <f t="shared" si="5"/>
        <v>46143</v>
      </c>
      <c r="U537" s="181">
        <v>535</v>
      </c>
    </row>
    <row r="538" spans="2:21" s="181" customFormat="1" x14ac:dyDescent="0.25">
      <c r="B538" s="182" t="s">
        <v>25</v>
      </c>
      <c r="C538" s="183"/>
      <c r="D538" s="54" t="str">
        <f>INDEX(Cad_Natureza!$B$3:$C$52,MATCH('2026'!F538,Cad_Natureza!$C$3:$C$52,0),MATCH('2026'!D$2,Cad_Natureza!$B$3:$C$3,0))</f>
        <v>GAST1</v>
      </c>
      <c r="E538" s="52" t="str">
        <f t="shared" si="126"/>
        <v>Despesa 536</v>
      </c>
      <c r="F538" s="53" t="s">
        <v>65</v>
      </c>
      <c r="G538" s="54" t="s">
        <v>25</v>
      </c>
      <c r="H538" s="55">
        <v>46169</v>
      </c>
      <c r="I538" s="55"/>
      <c r="J538" s="50" t="str">
        <f t="shared" si="127"/>
        <v>Observação da despesa 536</v>
      </c>
      <c r="K538" s="43">
        <v>-16</v>
      </c>
      <c r="L538" s="43">
        <f t="shared" si="128"/>
        <v>272.75000000000074</v>
      </c>
      <c r="M538" s="183"/>
      <c r="N538" s="37" t="str">
        <f t="shared" si="0"/>
        <v>MCSGAST1CPF - Desp. Lazer e Entretenimento - Bares</v>
      </c>
      <c r="O538" s="37" t="str">
        <f t="shared" si="1"/>
        <v>GAST1CPF - Desp. Lazer e Entretenimento - Bares</v>
      </c>
      <c r="P538" s="37" t="str">
        <f t="shared" si="2"/>
        <v>MCSGAST1CPF - Desp. Lazer e Entretenimento - Bares</v>
      </c>
      <c r="Q538" s="37" t="str">
        <f t="shared" si="3"/>
        <v>MCSGAST1</v>
      </c>
      <c r="R538" s="37" t="str">
        <f t="shared" si="4"/>
        <v>MCSGAST1</v>
      </c>
      <c r="S538" s="31"/>
      <c r="T538" s="185">
        <f t="shared" si="5"/>
        <v>46143</v>
      </c>
      <c r="U538" s="181">
        <v>536</v>
      </c>
    </row>
    <row r="539" spans="2:21" s="181" customFormat="1" x14ac:dyDescent="0.25">
      <c r="B539" s="182" t="s">
        <v>25</v>
      </c>
      <c r="C539" s="183"/>
      <c r="D539" s="54" t="str">
        <f>INDEX(Cad_Natureza!$B$3:$C$52,MATCH('2026'!F539,Cad_Natureza!$C$3:$C$52,0),MATCH('2026'!D$2,Cad_Natureza!$B$3:$C$3,0))</f>
        <v>OPF2</v>
      </c>
      <c r="E539" s="52" t="str">
        <f t="shared" si="126"/>
        <v>Despesa 537</v>
      </c>
      <c r="F539" s="53" t="s">
        <v>64</v>
      </c>
      <c r="G539" s="54" t="s">
        <v>25</v>
      </c>
      <c r="H539" s="55">
        <v>46169</v>
      </c>
      <c r="I539" s="55"/>
      <c r="J539" s="50" t="str">
        <f t="shared" si="127"/>
        <v>Observação da despesa 537</v>
      </c>
      <c r="K539" s="43">
        <v>-50</v>
      </c>
      <c r="L539" s="43">
        <f t="shared" si="128"/>
        <v>222.75000000000074</v>
      </c>
      <c r="M539" s="183"/>
      <c r="N539" s="37" t="str">
        <f t="shared" si="0"/>
        <v>MCSOPF2CPF - Desp. Transporte / Combustível</v>
      </c>
      <c r="O539" s="37" t="str">
        <f t="shared" si="1"/>
        <v>OPF2CPF - Desp. Transporte / Combustível</v>
      </c>
      <c r="P539" s="37" t="str">
        <f t="shared" si="2"/>
        <v>MCSOPF2CPF - Desp. Transporte / Combustível</v>
      </c>
      <c r="Q539" s="37" t="str">
        <f t="shared" si="3"/>
        <v>MCSOPF2</v>
      </c>
      <c r="R539" s="37" t="str">
        <f t="shared" si="4"/>
        <v>MCSOPF2</v>
      </c>
      <c r="S539" s="31"/>
      <c r="T539" s="185">
        <f t="shared" si="5"/>
        <v>46143</v>
      </c>
      <c r="U539" s="181">
        <v>537</v>
      </c>
    </row>
    <row r="540" spans="2:21" s="181" customFormat="1" x14ac:dyDescent="0.25">
      <c r="B540" s="182" t="s">
        <v>25</v>
      </c>
      <c r="C540" s="183"/>
      <c r="D540" s="54" t="str">
        <f>INDEX(Cad_Natureza!$B$3:$C$52,MATCH('2026'!F540,Cad_Natureza!$C$3:$C$52,0),MATCH('2026'!D$2,Cad_Natureza!$B$3:$C$3,0))</f>
        <v>OPF1</v>
      </c>
      <c r="E540" s="52" t="str">
        <f t="shared" si="126"/>
        <v>Despesa 538</v>
      </c>
      <c r="F540" s="53" t="s">
        <v>67</v>
      </c>
      <c r="G540" s="54" t="s">
        <v>25</v>
      </c>
      <c r="H540" s="55">
        <v>46170</v>
      </c>
      <c r="I540" s="55"/>
      <c r="J540" s="50" t="str">
        <f t="shared" si="127"/>
        <v>Observação da despesa 538</v>
      </c>
      <c r="K540" s="43">
        <v>-4.5</v>
      </c>
      <c r="L540" s="43">
        <f t="shared" si="128"/>
        <v>218.25000000000074</v>
      </c>
      <c r="M540" s="183"/>
      <c r="N540" s="37" t="str">
        <f t="shared" si="0"/>
        <v>MCSOPF1CPF - Desp. Alimentação / Refeição</v>
      </c>
      <c r="O540" s="37" t="str">
        <f t="shared" si="1"/>
        <v>OPF1CPF - Desp. Alimentação / Refeição</v>
      </c>
      <c r="P540" s="37" t="str">
        <f t="shared" si="2"/>
        <v>MCSOPF1CPF - Desp. Alimentação / Refeição</v>
      </c>
      <c r="Q540" s="37" t="str">
        <f t="shared" si="3"/>
        <v>MCSOPF1</v>
      </c>
      <c r="R540" s="37" t="str">
        <f t="shared" si="4"/>
        <v>MCSOPF1</v>
      </c>
      <c r="S540" s="31"/>
      <c r="T540" s="185">
        <f t="shared" si="5"/>
        <v>46143</v>
      </c>
      <c r="U540" s="181">
        <v>538</v>
      </c>
    </row>
    <row r="541" spans="2:21" s="181" customFormat="1" x14ac:dyDescent="0.25">
      <c r="B541" s="182" t="s">
        <v>25</v>
      </c>
      <c r="C541" s="183"/>
      <c r="D541" s="54" t="str">
        <f>INDEX(Cad_Natureza!$B$3:$C$52,MATCH('2026'!F541,Cad_Natureza!$C$3:$C$52,0),MATCH('2026'!D$2,Cad_Natureza!$B$3:$C$3,0))</f>
        <v>OUG1</v>
      </c>
      <c r="E541" s="52" t="str">
        <f t="shared" si="126"/>
        <v>Despesa 539</v>
      </c>
      <c r="F541" s="53" t="s">
        <v>70</v>
      </c>
      <c r="G541" s="54" t="s">
        <v>25</v>
      </c>
      <c r="H541" s="55">
        <v>46170</v>
      </c>
      <c r="I541" s="55"/>
      <c r="J541" s="50" t="str">
        <f t="shared" si="127"/>
        <v>Observação da despesa 539</v>
      </c>
      <c r="K541" s="43">
        <v>-20</v>
      </c>
      <c r="L541" s="43">
        <f t="shared" si="128"/>
        <v>198.25000000000074</v>
      </c>
      <c r="M541" s="183"/>
      <c r="N541" s="37" t="str">
        <f t="shared" ref="N541:N560" si="129">B541&amp;D541&amp;F541</f>
        <v>MCSOUG1CPF - Outros gastos</v>
      </c>
      <c r="O541" s="37" t="str">
        <f t="shared" ref="O541:O560" si="130">D541&amp;F541</f>
        <v>OUG1CPF - Outros gastos</v>
      </c>
      <c r="P541" s="37" t="str">
        <f t="shared" ref="P541:P560" si="131">"MCS"&amp;D541&amp;F541</f>
        <v>MCSOUG1CPF - Outros gastos</v>
      </c>
      <c r="Q541" s="37" t="str">
        <f t="shared" ref="Q541:Q560" si="132">"MCS"&amp;D541</f>
        <v>MCSOUG1</v>
      </c>
      <c r="R541" s="37" t="str">
        <f t="shared" ref="R541:R560" si="133">B541&amp;D541</f>
        <v>MCSOUG1</v>
      </c>
      <c r="S541" s="31"/>
      <c r="T541" s="185">
        <f t="shared" ref="T541:T560" si="134">(1&amp;"/"&amp;MONTH(H541)&amp;"/"&amp;YEAR(H541))*1</f>
        <v>46143</v>
      </c>
      <c r="U541" s="181">
        <v>539</v>
      </c>
    </row>
    <row r="542" spans="2:21" s="181" customFormat="1" x14ac:dyDescent="0.25">
      <c r="B542" s="182" t="s">
        <v>25</v>
      </c>
      <c r="C542" s="183"/>
      <c r="D542" s="54" t="str">
        <f>INDEX(Cad_Natureza!$B$3:$C$52,MATCH('2026'!F542,Cad_Natureza!$C$3:$C$52,0),MATCH('2026'!D$2,Cad_Natureza!$B$3:$C$3,0))</f>
        <v>GAST1</v>
      </c>
      <c r="E542" s="52" t="str">
        <f t="shared" si="126"/>
        <v>Despesa 540</v>
      </c>
      <c r="F542" s="53" t="s">
        <v>65</v>
      </c>
      <c r="G542" s="54" t="s">
        <v>25</v>
      </c>
      <c r="H542" s="55">
        <v>46170</v>
      </c>
      <c r="I542" s="55"/>
      <c r="J542" s="50" t="str">
        <f t="shared" si="127"/>
        <v>Observação da despesa 540</v>
      </c>
      <c r="K542" s="43">
        <v>-20.6</v>
      </c>
      <c r="L542" s="43">
        <f t="shared" si="128"/>
        <v>177.65000000000074</v>
      </c>
      <c r="M542" s="183"/>
      <c r="N542" s="37" t="str">
        <f t="shared" si="129"/>
        <v>MCSGAST1CPF - Desp. Lazer e Entretenimento - Bares</v>
      </c>
      <c r="O542" s="37" t="str">
        <f t="shared" si="130"/>
        <v>GAST1CPF - Desp. Lazer e Entretenimento - Bares</v>
      </c>
      <c r="P542" s="37" t="str">
        <f t="shared" si="131"/>
        <v>MCSGAST1CPF - Desp. Lazer e Entretenimento - Bares</v>
      </c>
      <c r="Q542" s="37" t="str">
        <f t="shared" si="132"/>
        <v>MCSGAST1</v>
      </c>
      <c r="R542" s="37" t="str">
        <f t="shared" si="133"/>
        <v>MCSGAST1</v>
      </c>
      <c r="S542" s="31"/>
      <c r="T542" s="185">
        <f t="shared" si="134"/>
        <v>46143</v>
      </c>
      <c r="U542" s="181">
        <v>540</v>
      </c>
    </row>
    <row r="543" spans="2:21" s="181" customFormat="1" x14ac:dyDescent="0.25">
      <c r="B543" s="182" t="s">
        <v>25</v>
      </c>
      <c r="C543" s="183"/>
      <c r="D543" s="54" t="str">
        <f>INDEX(Cad_Natureza!$B$3:$C$52,MATCH('2026'!F543,Cad_Natureza!$C$3:$C$52,0),MATCH('2026'!D$2,Cad_Natureza!$B$3:$C$3,0))</f>
        <v>GAST1</v>
      </c>
      <c r="E543" s="52" t="str">
        <f t="shared" si="126"/>
        <v>Despesa 541</v>
      </c>
      <c r="F543" s="53" t="s">
        <v>65</v>
      </c>
      <c r="G543" s="54" t="s">
        <v>25</v>
      </c>
      <c r="H543" s="55">
        <v>46170</v>
      </c>
      <c r="I543" s="55"/>
      <c r="J543" s="50" t="str">
        <f t="shared" si="127"/>
        <v>Observação da despesa 541</v>
      </c>
      <c r="K543" s="43">
        <v>-52</v>
      </c>
      <c r="L543" s="43">
        <f t="shared" si="128"/>
        <v>125.65000000000074</v>
      </c>
      <c r="M543" s="183"/>
      <c r="N543" s="37" t="str">
        <f t="shared" si="129"/>
        <v>MCSGAST1CPF - Desp. Lazer e Entretenimento - Bares</v>
      </c>
      <c r="O543" s="37" t="str">
        <f t="shared" si="130"/>
        <v>GAST1CPF - Desp. Lazer e Entretenimento - Bares</v>
      </c>
      <c r="P543" s="37" t="str">
        <f t="shared" si="131"/>
        <v>MCSGAST1CPF - Desp. Lazer e Entretenimento - Bares</v>
      </c>
      <c r="Q543" s="37" t="str">
        <f t="shared" si="132"/>
        <v>MCSGAST1</v>
      </c>
      <c r="R543" s="37" t="str">
        <f t="shared" si="133"/>
        <v>MCSGAST1</v>
      </c>
      <c r="S543" s="31"/>
      <c r="T543" s="185">
        <f t="shared" si="134"/>
        <v>46143</v>
      </c>
      <c r="U543" s="181">
        <v>541</v>
      </c>
    </row>
    <row r="544" spans="2:21" s="181" customFormat="1" x14ac:dyDescent="0.25">
      <c r="B544" s="182" t="s">
        <v>25</v>
      </c>
      <c r="C544" s="183"/>
      <c r="D544" s="54" t="str">
        <f>INDEX(Cad_Natureza!$B$3:$C$52,MATCH('2026'!F544,Cad_Natureza!$C$3:$C$52,0),MATCH('2026'!D$2,Cad_Natureza!$B$3:$C$3,0))</f>
        <v>OPF1</v>
      </c>
      <c r="E544" s="52" t="str">
        <f t="shared" si="126"/>
        <v>Despesa 542</v>
      </c>
      <c r="F544" s="53" t="s">
        <v>67</v>
      </c>
      <c r="G544" s="54" t="s">
        <v>25</v>
      </c>
      <c r="H544" s="55">
        <v>46171</v>
      </c>
      <c r="I544" s="55"/>
      <c r="J544" s="50" t="str">
        <f t="shared" si="127"/>
        <v>Observação da despesa 542</v>
      </c>
      <c r="K544" s="43">
        <v>-24</v>
      </c>
      <c r="L544" s="43">
        <f t="shared" si="128"/>
        <v>101.65000000000074</v>
      </c>
      <c r="M544" s="183"/>
      <c r="N544" s="37" t="str">
        <f t="shared" si="129"/>
        <v>MCSOPF1CPF - Desp. Alimentação / Refeição</v>
      </c>
      <c r="O544" s="37" t="str">
        <f t="shared" si="130"/>
        <v>OPF1CPF - Desp. Alimentação / Refeição</v>
      </c>
      <c r="P544" s="37" t="str">
        <f t="shared" si="131"/>
        <v>MCSOPF1CPF - Desp. Alimentação / Refeição</v>
      </c>
      <c r="Q544" s="37" t="str">
        <f t="shared" si="132"/>
        <v>MCSOPF1</v>
      </c>
      <c r="R544" s="37" t="str">
        <f t="shared" si="133"/>
        <v>MCSOPF1</v>
      </c>
      <c r="S544" s="31"/>
      <c r="T544" s="185">
        <f t="shared" si="134"/>
        <v>46143</v>
      </c>
      <c r="U544" s="181">
        <v>542</v>
      </c>
    </row>
    <row r="545" spans="2:21" s="181" customFormat="1" x14ac:dyDescent="0.25">
      <c r="B545" s="182" t="s">
        <v>25</v>
      </c>
      <c r="C545" s="183"/>
      <c r="D545" s="54" t="str">
        <f>INDEX(Cad_Natureza!$B$3:$C$52,MATCH('2026'!F545,Cad_Natureza!$C$3:$C$52,0),MATCH('2026'!D$2,Cad_Natureza!$B$3:$C$3,0))</f>
        <v>GAST2</v>
      </c>
      <c r="E545" s="52" t="str">
        <f t="shared" si="126"/>
        <v>Despesa 543</v>
      </c>
      <c r="F545" s="53" t="s">
        <v>66</v>
      </c>
      <c r="G545" s="54" t="s">
        <v>25</v>
      </c>
      <c r="H545" s="55">
        <v>46171</v>
      </c>
      <c r="I545" s="55"/>
      <c r="J545" s="50" t="str">
        <f t="shared" si="127"/>
        <v>Observação da despesa 543</v>
      </c>
      <c r="K545" s="43">
        <v>-34</v>
      </c>
      <c r="L545" s="43">
        <f t="shared" si="128"/>
        <v>67.650000000000745</v>
      </c>
      <c r="M545" s="183"/>
      <c r="N545" s="37" t="str">
        <f t="shared" si="129"/>
        <v>MCSGAST2CPF - Desp. Lazer e Entretenimento - Cigarro</v>
      </c>
      <c r="O545" s="37" t="str">
        <f t="shared" si="130"/>
        <v>GAST2CPF - Desp. Lazer e Entretenimento - Cigarro</v>
      </c>
      <c r="P545" s="37" t="str">
        <f t="shared" si="131"/>
        <v>MCSGAST2CPF - Desp. Lazer e Entretenimento - Cigarro</v>
      </c>
      <c r="Q545" s="37" t="str">
        <f t="shared" si="132"/>
        <v>MCSGAST2</v>
      </c>
      <c r="R545" s="37" t="str">
        <f t="shared" si="133"/>
        <v>MCSGAST2</v>
      </c>
      <c r="S545" s="31"/>
      <c r="T545" s="185">
        <f t="shared" si="134"/>
        <v>46143</v>
      </c>
      <c r="U545" s="181">
        <v>543</v>
      </c>
    </row>
    <row r="546" spans="2:21" s="181" customFormat="1" x14ac:dyDescent="0.25">
      <c r="B546" s="182" t="s">
        <v>25</v>
      </c>
      <c r="C546" s="183"/>
      <c r="D546" s="54" t="str">
        <f>INDEX(Cad_Natureza!$B$3:$C$52,MATCH('2026'!F546,Cad_Natureza!$C$3:$C$52,0),MATCH('2026'!D$2,Cad_Natureza!$B$3:$C$3,0))</f>
        <v>GAST1</v>
      </c>
      <c r="E546" s="52" t="str">
        <f t="shared" si="126"/>
        <v>Despesa 544</v>
      </c>
      <c r="F546" s="53" t="s">
        <v>65</v>
      </c>
      <c r="G546" s="54" t="s">
        <v>25</v>
      </c>
      <c r="H546" s="55">
        <v>46171</v>
      </c>
      <c r="I546" s="55"/>
      <c r="J546" s="50" t="str">
        <f t="shared" si="127"/>
        <v>Observação da despesa 544</v>
      </c>
      <c r="K546" s="43">
        <v>-20.6</v>
      </c>
      <c r="L546" s="43">
        <f t="shared" si="128"/>
        <v>47.050000000000743</v>
      </c>
      <c r="M546" s="183"/>
      <c r="N546" s="37" t="str">
        <f t="shared" si="129"/>
        <v>MCSGAST1CPF - Desp. Lazer e Entretenimento - Bares</v>
      </c>
      <c r="O546" s="37" t="str">
        <f t="shared" si="130"/>
        <v>GAST1CPF - Desp. Lazer e Entretenimento - Bares</v>
      </c>
      <c r="P546" s="37" t="str">
        <f t="shared" si="131"/>
        <v>MCSGAST1CPF - Desp. Lazer e Entretenimento - Bares</v>
      </c>
      <c r="Q546" s="37" t="str">
        <f t="shared" si="132"/>
        <v>MCSGAST1</v>
      </c>
      <c r="R546" s="37" t="str">
        <f t="shared" si="133"/>
        <v>MCSGAST1</v>
      </c>
      <c r="S546" s="31"/>
      <c r="T546" s="185">
        <f t="shared" si="134"/>
        <v>46143</v>
      </c>
      <c r="U546" s="181">
        <v>544</v>
      </c>
    </row>
    <row r="547" spans="2:21" s="181" customFormat="1" x14ac:dyDescent="0.25">
      <c r="B547" s="182" t="s">
        <v>25</v>
      </c>
      <c r="C547" s="183"/>
      <c r="D547" s="54" t="str">
        <f>INDEX(Cad_Natureza!$B$3:$C$52,MATCH('2026'!F547,Cad_Natureza!$C$3:$C$52,0),MATCH('2026'!D$2,Cad_Natureza!$B$3:$C$3,0))</f>
        <v>GAST1</v>
      </c>
      <c r="E547" s="52" t="str">
        <f t="shared" si="126"/>
        <v>Despesa 545</v>
      </c>
      <c r="F547" s="53" t="s">
        <v>65</v>
      </c>
      <c r="G547" s="54" t="s">
        <v>25</v>
      </c>
      <c r="H547" s="55">
        <v>46171</v>
      </c>
      <c r="I547" s="55"/>
      <c r="J547" s="50" t="str">
        <f t="shared" si="127"/>
        <v>Observação da despesa 545</v>
      </c>
      <c r="K547" s="43">
        <v>-6</v>
      </c>
      <c r="L547" s="43">
        <f t="shared" si="128"/>
        <v>41.050000000000743</v>
      </c>
      <c r="M547" s="183"/>
      <c r="N547" s="37" t="str">
        <f t="shared" si="129"/>
        <v>MCSGAST1CPF - Desp. Lazer e Entretenimento - Bares</v>
      </c>
      <c r="O547" s="37" t="str">
        <f t="shared" si="130"/>
        <v>GAST1CPF - Desp. Lazer e Entretenimento - Bares</v>
      </c>
      <c r="P547" s="37" t="str">
        <f t="shared" si="131"/>
        <v>MCSGAST1CPF - Desp. Lazer e Entretenimento - Bares</v>
      </c>
      <c r="Q547" s="37" t="str">
        <f t="shared" si="132"/>
        <v>MCSGAST1</v>
      </c>
      <c r="R547" s="37" t="str">
        <f t="shared" si="133"/>
        <v>MCSGAST1</v>
      </c>
      <c r="S547" s="31"/>
      <c r="T547" s="185">
        <f t="shared" si="134"/>
        <v>46143</v>
      </c>
      <c r="U547" s="181">
        <v>545</v>
      </c>
    </row>
    <row r="548" spans="2:21" s="177" customFormat="1" x14ac:dyDescent="0.25">
      <c r="B548" s="174" t="s">
        <v>25</v>
      </c>
      <c r="C548" s="51"/>
      <c r="D548" s="44" t="str">
        <f>INDEX(Cad_Natureza!$B$3:$C$52,MATCH('2026'!F548,Cad_Natureza!$C$3:$C$52,0),MATCH('2026'!D$2,Cad_Natureza!$B$3:$C$3,0))</f>
        <v>REC4</v>
      </c>
      <c r="E548" s="45" t="str">
        <f t="shared" si="126"/>
        <v>Receita 546</v>
      </c>
      <c r="F548" s="46" t="s">
        <v>57</v>
      </c>
      <c r="G548" s="44" t="s">
        <v>25</v>
      </c>
      <c r="H548" s="47">
        <v>46171</v>
      </c>
      <c r="I548" s="47"/>
      <c r="J548" s="48" t="str">
        <f t="shared" si="127"/>
        <v>Observação da receita 546</v>
      </c>
      <c r="K548" s="49">
        <v>1000</v>
      </c>
      <c r="L548" s="49">
        <f t="shared" si="128"/>
        <v>1041.0500000000006</v>
      </c>
      <c r="M548" s="51"/>
      <c r="N548" s="37" t="str">
        <f t="shared" si="129"/>
        <v>MCSREC4CPF - Transf. Da conta PJ para a conta PF</v>
      </c>
      <c r="O548" s="37" t="str">
        <f t="shared" si="130"/>
        <v>REC4CPF - Transf. Da conta PJ para a conta PF</v>
      </c>
      <c r="P548" s="37" t="str">
        <f t="shared" si="131"/>
        <v>MCSREC4CPF - Transf. Da conta PJ para a conta PF</v>
      </c>
      <c r="Q548" s="37" t="str">
        <f t="shared" si="132"/>
        <v>MCSREC4</v>
      </c>
      <c r="R548" s="37" t="str">
        <f t="shared" si="133"/>
        <v>MCSREC4</v>
      </c>
      <c r="S548" s="31"/>
      <c r="T548" s="176">
        <f t="shared" si="134"/>
        <v>46143</v>
      </c>
      <c r="U548" s="181">
        <v>546</v>
      </c>
    </row>
    <row r="549" spans="2:21" s="181" customFormat="1" x14ac:dyDescent="0.25">
      <c r="B549" s="182" t="s">
        <v>25</v>
      </c>
      <c r="C549" s="183"/>
      <c r="D549" s="54" t="str">
        <f>INDEX(Cad_Natureza!$B$3:$C$52,MATCH('2026'!F549,Cad_Natureza!$C$3:$C$52,0),MATCH('2026'!D$2,Cad_Natureza!$B$3:$C$3,0))</f>
        <v>OPF2</v>
      </c>
      <c r="E549" s="52" t="str">
        <f t="shared" si="126"/>
        <v>Despesa 547</v>
      </c>
      <c r="F549" s="53" t="s">
        <v>64</v>
      </c>
      <c r="G549" s="54" t="s">
        <v>25</v>
      </c>
      <c r="H549" s="55">
        <v>46171</v>
      </c>
      <c r="I549" s="55"/>
      <c r="J549" s="50" t="str">
        <f t="shared" si="127"/>
        <v>Observação da despesa 547</v>
      </c>
      <c r="K549" s="43">
        <v>-78.84</v>
      </c>
      <c r="L549" s="43">
        <f t="shared" si="128"/>
        <v>962.2100000000006</v>
      </c>
      <c r="M549" s="183"/>
      <c r="N549" s="37" t="str">
        <f t="shared" si="129"/>
        <v>MCSOPF2CPF - Desp. Transporte / Combustível</v>
      </c>
      <c r="O549" s="37" t="str">
        <f t="shared" si="130"/>
        <v>OPF2CPF - Desp. Transporte / Combustível</v>
      </c>
      <c r="P549" s="37" t="str">
        <f t="shared" si="131"/>
        <v>MCSOPF2CPF - Desp. Transporte / Combustível</v>
      </c>
      <c r="Q549" s="37" t="str">
        <f t="shared" si="132"/>
        <v>MCSOPF2</v>
      </c>
      <c r="R549" s="37" t="str">
        <f t="shared" si="133"/>
        <v>MCSOPF2</v>
      </c>
      <c r="S549" s="31"/>
      <c r="T549" s="185">
        <f t="shared" si="134"/>
        <v>46143</v>
      </c>
      <c r="U549" s="181">
        <v>547</v>
      </c>
    </row>
    <row r="550" spans="2:21" s="181" customFormat="1" x14ac:dyDescent="0.25">
      <c r="B550" s="182" t="s">
        <v>25</v>
      </c>
      <c r="C550" s="183"/>
      <c r="D550" s="54" t="str">
        <f>INDEX(Cad_Natureza!$B$3:$C$52,MATCH('2026'!F550,Cad_Natureza!$C$3:$C$52,0),MATCH('2026'!D$2,Cad_Natureza!$B$3:$C$3,0))</f>
        <v>GAST1</v>
      </c>
      <c r="E550" s="52" t="str">
        <f t="shared" si="126"/>
        <v>Despesa 548</v>
      </c>
      <c r="F550" s="53" t="s">
        <v>65</v>
      </c>
      <c r="G550" s="54" t="s">
        <v>25</v>
      </c>
      <c r="H550" s="55">
        <v>46171</v>
      </c>
      <c r="I550" s="55"/>
      <c r="J550" s="50" t="str">
        <f t="shared" si="127"/>
        <v>Observação da despesa 548</v>
      </c>
      <c r="K550" s="43">
        <v>-9</v>
      </c>
      <c r="L550" s="43">
        <f t="shared" si="128"/>
        <v>953.2100000000006</v>
      </c>
      <c r="M550" s="183"/>
      <c r="N550" s="37" t="str">
        <f t="shared" si="129"/>
        <v>MCSGAST1CPF - Desp. Lazer e Entretenimento - Bares</v>
      </c>
      <c r="O550" s="37" t="str">
        <f t="shared" si="130"/>
        <v>GAST1CPF - Desp. Lazer e Entretenimento - Bares</v>
      </c>
      <c r="P550" s="37" t="str">
        <f t="shared" si="131"/>
        <v>MCSGAST1CPF - Desp. Lazer e Entretenimento - Bares</v>
      </c>
      <c r="Q550" s="37" t="str">
        <f t="shared" si="132"/>
        <v>MCSGAST1</v>
      </c>
      <c r="R550" s="37" t="str">
        <f t="shared" si="133"/>
        <v>MCSGAST1</v>
      </c>
      <c r="S550" s="31"/>
      <c r="T550" s="185">
        <f t="shared" si="134"/>
        <v>46143</v>
      </c>
      <c r="U550" s="181">
        <v>548</v>
      </c>
    </row>
    <row r="551" spans="2:21" s="181" customFormat="1" x14ac:dyDescent="0.25">
      <c r="B551" s="182" t="s">
        <v>25</v>
      </c>
      <c r="C551" s="183"/>
      <c r="D551" s="54" t="str">
        <f>INDEX(Cad_Natureza!$B$3:$C$52,MATCH('2026'!F551,Cad_Natureza!$C$3:$C$52,0),MATCH('2026'!D$2,Cad_Natureza!$B$3:$C$3,0))</f>
        <v>GAST1</v>
      </c>
      <c r="E551" s="52" t="str">
        <f t="shared" si="126"/>
        <v>Despesa 549</v>
      </c>
      <c r="F551" s="53" t="s">
        <v>65</v>
      </c>
      <c r="G551" s="54" t="s">
        <v>25</v>
      </c>
      <c r="H551" s="55">
        <v>46171</v>
      </c>
      <c r="I551" s="55"/>
      <c r="J551" s="50" t="str">
        <f t="shared" si="127"/>
        <v>Observação da despesa 549</v>
      </c>
      <c r="K551" s="43">
        <v>-5</v>
      </c>
      <c r="L551" s="43">
        <f t="shared" si="128"/>
        <v>948.2100000000006</v>
      </c>
      <c r="M551" s="183"/>
      <c r="N551" s="37" t="str">
        <f t="shared" si="129"/>
        <v>MCSGAST1CPF - Desp. Lazer e Entretenimento - Bares</v>
      </c>
      <c r="O551" s="37" t="str">
        <f t="shared" si="130"/>
        <v>GAST1CPF - Desp. Lazer e Entretenimento - Bares</v>
      </c>
      <c r="P551" s="37" t="str">
        <f t="shared" si="131"/>
        <v>MCSGAST1CPF - Desp. Lazer e Entretenimento - Bares</v>
      </c>
      <c r="Q551" s="37" t="str">
        <f t="shared" si="132"/>
        <v>MCSGAST1</v>
      </c>
      <c r="R551" s="37" t="str">
        <f t="shared" si="133"/>
        <v>MCSGAST1</v>
      </c>
      <c r="S551" s="31"/>
      <c r="T551" s="185">
        <f t="shared" si="134"/>
        <v>46143</v>
      </c>
      <c r="U551" s="181">
        <v>549</v>
      </c>
    </row>
    <row r="552" spans="2:21" s="181" customFormat="1" x14ac:dyDescent="0.25">
      <c r="B552" s="182" t="s">
        <v>25</v>
      </c>
      <c r="C552" s="183"/>
      <c r="D552" s="54" t="str">
        <f>INDEX(Cad_Natureza!$B$3:$C$52,MATCH('2026'!F552,Cad_Natureza!$C$3:$C$52,0),MATCH('2026'!D$2,Cad_Natureza!$B$3:$C$3,0))</f>
        <v>GAST1</v>
      </c>
      <c r="E552" s="52" t="str">
        <f t="shared" si="126"/>
        <v>Despesa 550</v>
      </c>
      <c r="F552" s="53" t="s">
        <v>65</v>
      </c>
      <c r="G552" s="54" t="s">
        <v>25</v>
      </c>
      <c r="H552" s="55">
        <v>46171</v>
      </c>
      <c r="I552" s="55"/>
      <c r="J552" s="50" t="str">
        <f t="shared" si="127"/>
        <v>Observação da despesa 550</v>
      </c>
      <c r="K552" s="43">
        <v>-48</v>
      </c>
      <c r="L552" s="43">
        <f t="shared" si="128"/>
        <v>900.2100000000006</v>
      </c>
      <c r="M552" s="183"/>
      <c r="N552" s="37" t="str">
        <f t="shared" si="129"/>
        <v>MCSGAST1CPF - Desp. Lazer e Entretenimento - Bares</v>
      </c>
      <c r="O552" s="37" t="str">
        <f t="shared" si="130"/>
        <v>GAST1CPF - Desp. Lazer e Entretenimento - Bares</v>
      </c>
      <c r="P552" s="37" t="str">
        <f t="shared" si="131"/>
        <v>MCSGAST1CPF - Desp. Lazer e Entretenimento - Bares</v>
      </c>
      <c r="Q552" s="37" t="str">
        <f t="shared" si="132"/>
        <v>MCSGAST1</v>
      </c>
      <c r="R552" s="37" t="str">
        <f t="shared" si="133"/>
        <v>MCSGAST1</v>
      </c>
      <c r="S552" s="31"/>
      <c r="T552" s="185">
        <f t="shared" si="134"/>
        <v>46143</v>
      </c>
      <c r="U552" s="181">
        <v>550</v>
      </c>
    </row>
    <row r="553" spans="2:21" s="181" customFormat="1" x14ac:dyDescent="0.25">
      <c r="B553" s="182" t="s">
        <v>25</v>
      </c>
      <c r="C553" s="183"/>
      <c r="D553" s="54" t="str">
        <f>INDEX(Cad_Natureza!$B$3:$C$52,MATCH('2026'!F553,Cad_Natureza!$C$3:$C$52,0),MATCH('2026'!D$2,Cad_Natureza!$B$3:$C$3,0))</f>
        <v>GAST1</v>
      </c>
      <c r="E553" s="52" t="str">
        <f t="shared" si="126"/>
        <v>Despesa 551</v>
      </c>
      <c r="F553" s="53" t="s">
        <v>65</v>
      </c>
      <c r="G553" s="54" t="s">
        <v>25</v>
      </c>
      <c r="H553" s="55">
        <v>46174</v>
      </c>
      <c r="I553" s="55"/>
      <c r="J553" s="50" t="str">
        <f t="shared" si="127"/>
        <v>Observação da despesa 551</v>
      </c>
      <c r="K553" s="43">
        <v>-15</v>
      </c>
      <c r="L553" s="43">
        <f t="shared" si="128"/>
        <v>885.2100000000006</v>
      </c>
      <c r="M553" s="183"/>
      <c r="N553" s="37" t="str">
        <f t="shared" si="129"/>
        <v>MCSGAST1CPF - Desp. Lazer e Entretenimento - Bares</v>
      </c>
      <c r="O553" s="37" t="str">
        <f t="shared" si="130"/>
        <v>GAST1CPF - Desp. Lazer e Entretenimento - Bares</v>
      </c>
      <c r="P553" s="37" t="str">
        <f t="shared" si="131"/>
        <v>MCSGAST1CPF - Desp. Lazer e Entretenimento - Bares</v>
      </c>
      <c r="Q553" s="37" t="str">
        <f t="shared" si="132"/>
        <v>MCSGAST1</v>
      </c>
      <c r="R553" s="37" t="str">
        <f t="shared" si="133"/>
        <v>MCSGAST1</v>
      </c>
      <c r="S553" s="31"/>
      <c r="T553" s="185">
        <f t="shared" si="134"/>
        <v>46174</v>
      </c>
      <c r="U553" s="181">
        <v>551</v>
      </c>
    </row>
    <row r="554" spans="2:21" s="181" customFormat="1" x14ac:dyDescent="0.25">
      <c r="B554" s="182" t="s">
        <v>25</v>
      </c>
      <c r="C554" s="183"/>
      <c r="D554" s="54" t="str">
        <f>INDEX(Cad_Natureza!$B$3:$C$52,MATCH('2026'!F554,Cad_Natureza!$C$3:$C$52,0),MATCH('2026'!D$2,Cad_Natureza!$B$3:$C$3,0))</f>
        <v>GAST1</v>
      </c>
      <c r="E554" s="52" t="str">
        <f t="shared" si="126"/>
        <v>Despesa 552</v>
      </c>
      <c r="F554" s="53" t="s">
        <v>65</v>
      </c>
      <c r="G554" s="54" t="s">
        <v>25</v>
      </c>
      <c r="H554" s="55">
        <v>46174</v>
      </c>
      <c r="I554" s="55"/>
      <c r="J554" s="50" t="str">
        <f t="shared" si="127"/>
        <v>Observação da despesa 552</v>
      </c>
      <c r="K554" s="43">
        <v>-6.5</v>
      </c>
      <c r="L554" s="43">
        <f t="shared" si="128"/>
        <v>878.7100000000006</v>
      </c>
      <c r="M554" s="183"/>
      <c r="N554" s="37" t="str">
        <f t="shared" si="129"/>
        <v>MCSGAST1CPF - Desp. Lazer e Entretenimento - Bares</v>
      </c>
      <c r="O554" s="37" t="str">
        <f t="shared" si="130"/>
        <v>GAST1CPF - Desp. Lazer e Entretenimento - Bares</v>
      </c>
      <c r="P554" s="37" t="str">
        <f t="shared" si="131"/>
        <v>MCSGAST1CPF - Desp. Lazer e Entretenimento - Bares</v>
      </c>
      <c r="Q554" s="37" t="str">
        <f t="shared" si="132"/>
        <v>MCSGAST1</v>
      </c>
      <c r="R554" s="37" t="str">
        <f t="shared" si="133"/>
        <v>MCSGAST1</v>
      </c>
      <c r="S554" s="31"/>
      <c r="T554" s="185">
        <f t="shared" si="134"/>
        <v>46174</v>
      </c>
      <c r="U554" s="181">
        <v>552</v>
      </c>
    </row>
    <row r="555" spans="2:21" s="181" customFormat="1" x14ac:dyDescent="0.25">
      <c r="B555" s="182" t="s">
        <v>25</v>
      </c>
      <c r="C555" s="183"/>
      <c r="D555" s="54" t="str">
        <f>INDEX(Cad_Natureza!$B$3:$C$52,MATCH('2026'!F555,Cad_Natureza!$C$3:$C$52,0),MATCH('2026'!D$2,Cad_Natureza!$B$3:$C$3,0))</f>
        <v>GAST1</v>
      </c>
      <c r="E555" s="52" t="str">
        <f t="shared" si="126"/>
        <v>Despesa 553</v>
      </c>
      <c r="F555" s="53" t="s">
        <v>65</v>
      </c>
      <c r="G555" s="54" t="s">
        <v>25</v>
      </c>
      <c r="H555" s="55">
        <v>46174</v>
      </c>
      <c r="I555" s="55"/>
      <c r="J555" s="50" t="str">
        <f t="shared" si="127"/>
        <v>Observação da despesa 553</v>
      </c>
      <c r="K555" s="43">
        <v>-52</v>
      </c>
      <c r="L555" s="43">
        <f t="shared" si="128"/>
        <v>826.7100000000006</v>
      </c>
      <c r="M555" s="183"/>
      <c r="N555" s="37" t="str">
        <f t="shared" si="129"/>
        <v>MCSGAST1CPF - Desp. Lazer e Entretenimento - Bares</v>
      </c>
      <c r="O555" s="37" t="str">
        <f t="shared" si="130"/>
        <v>GAST1CPF - Desp. Lazer e Entretenimento - Bares</v>
      </c>
      <c r="P555" s="37" t="str">
        <f t="shared" si="131"/>
        <v>MCSGAST1CPF - Desp. Lazer e Entretenimento - Bares</v>
      </c>
      <c r="Q555" s="37" t="str">
        <f t="shared" si="132"/>
        <v>MCSGAST1</v>
      </c>
      <c r="R555" s="37" t="str">
        <f t="shared" si="133"/>
        <v>MCSGAST1</v>
      </c>
      <c r="S555" s="31"/>
      <c r="T555" s="185">
        <f t="shared" si="134"/>
        <v>46174</v>
      </c>
      <c r="U555" s="181">
        <v>553</v>
      </c>
    </row>
    <row r="556" spans="2:21" s="181" customFormat="1" x14ac:dyDescent="0.25">
      <c r="B556" s="182" t="s">
        <v>25</v>
      </c>
      <c r="C556" s="183"/>
      <c r="D556" s="54" t="str">
        <f>INDEX(Cad_Natureza!$B$3:$C$52,MATCH('2026'!F556,Cad_Natureza!$C$3:$C$52,0),MATCH('2026'!D$2,Cad_Natureza!$B$3:$C$3,0))</f>
        <v>GAST1</v>
      </c>
      <c r="E556" s="52" t="str">
        <f t="shared" si="126"/>
        <v>Despesa 554</v>
      </c>
      <c r="F556" s="53" t="s">
        <v>65</v>
      </c>
      <c r="G556" s="54" t="s">
        <v>25</v>
      </c>
      <c r="H556" s="55">
        <v>46174</v>
      </c>
      <c r="I556" s="55"/>
      <c r="J556" s="50" t="str">
        <f t="shared" si="127"/>
        <v>Observação da despesa 554</v>
      </c>
      <c r="K556" s="43">
        <v>-6.5</v>
      </c>
      <c r="L556" s="43">
        <f t="shared" si="128"/>
        <v>820.2100000000006</v>
      </c>
      <c r="M556" s="183"/>
      <c r="N556" s="37" t="str">
        <f t="shared" si="129"/>
        <v>MCSGAST1CPF - Desp. Lazer e Entretenimento - Bares</v>
      </c>
      <c r="O556" s="37" t="str">
        <f t="shared" si="130"/>
        <v>GAST1CPF - Desp. Lazer e Entretenimento - Bares</v>
      </c>
      <c r="P556" s="37" t="str">
        <f t="shared" si="131"/>
        <v>MCSGAST1CPF - Desp. Lazer e Entretenimento - Bares</v>
      </c>
      <c r="Q556" s="37" t="str">
        <f t="shared" si="132"/>
        <v>MCSGAST1</v>
      </c>
      <c r="R556" s="37" t="str">
        <f t="shared" si="133"/>
        <v>MCSGAST1</v>
      </c>
      <c r="S556" s="31"/>
      <c r="T556" s="185">
        <f t="shared" si="134"/>
        <v>46174</v>
      </c>
      <c r="U556" s="181">
        <v>554</v>
      </c>
    </row>
    <row r="557" spans="2:21" s="181" customFormat="1" x14ac:dyDescent="0.25">
      <c r="B557" s="182" t="s">
        <v>25</v>
      </c>
      <c r="C557" s="183"/>
      <c r="D557" s="54" t="str">
        <f>INDEX(Cad_Natureza!$B$3:$C$52,MATCH('2026'!F557,Cad_Natureza!$C$3:$C$52,0),MATCH('2026'!D$2,Cad_Natureza!$B$3:$C$3,0))</f>
        <v>GAST1</v>
      </c>
      <c r="E557" s="52" t="str">
        <f t="shared" si="126"/>
        <v>Despesa 555</v>
      </c>
      <c r="F557" s="53" t="s">
        <v>65</v>
      </c>
      <c r="G557" s="54" t="s">
        <v>25</v>
      </c>
      <c r="H557" s="55">
        <v>46174</v>
      </c>
      <c r="I557" s="55"/>
      <c r="J557" s="50" t="str">
        <f t="shared" si="127"/>
        <v>Observação da despesa 555</v>
      </c>
      <c r="K557" s="43">
        <v>-6.5</v>
      </c>
      <c r="L557" s="43">
        <f t="shared" si="128"/>
        <v>813.7100000000006</v>
      </c>
      <c r="M557" s="183"/>
      <c r="N557" s="37" t="str">
        <f t="shared" si="129"/>
        <v>MCSGAST1CPF - Desp. Lazer e Entretenimento - Bares</v>
      </c>
      <c r="O557" s="37" t="str">
        <f t="shared" si="130"/>
        <v>GAST1CPF - Desp. Lazer e Entretenimento - Bares</v>
      </c>
      <c r="P557" s="37" t="str">
        <f t="shared" si="131"/>
        <v>MCSGAST1CPF - Desp. Lazer e Entretenimento - Bares</v>
      </c>
      <c r="Q557" s="37" t="str">
        <f t="shared" si="132"/>
        <v>MCSGAST1</v>
      </c>
      <c r="R557" s="37" t="str">
        <f t="shared" si="133"/>
        <v>MCSGAST1</v>
      </c>
      <c r="S557" s="31"/>
      <c r="T557" s="185">
        <f t="shared" si="134"/>
        <v>46174</v>
      </c>
      <c r="U557" s="181">
        <v>555</v>
      </c>
    </row>
    <row r="558" spans="2:21" s="181" customFormat="1" x14ac:dyDescent="0.25">
      <c r="B558" s="182" t="s">
        <v>25</v>
      </c>
      <c r="C558" s="183"/>
      <c r="D558" s="54" t="str">
        <f>INDEX(Cad_Natureza!$B$3:$C$52,MATCH('2026'!F558,Cad_Natureza!$C$3:$C$52,0),MATCH('2026'!D$2,Cad_Natureza!$B$3:$C$3,0))</f>
        <v>GAST1</v>
      </c>
      <c r="E558" s="52" t="str">
        <f t="shared" si="126"/>
        <v>Despesa 556</v>
      </c>
      <c r="F558" s="53" t="s">
        <v>65</v>
      </c>
      <c r="G558" s="54" t="s">
        <v>25</v>
      </c>
      <c r="H558" s="55">
        <v>46174</v>
      </c>
      <c r="I558" s="55"/>
      <c r="J558" s="50" t="str">
        <f t="shared" si="127"/>
        <v>Observação da despesa 556</v>
      </c>
      <c r="K558" s="43">
        <v>-6.5</v>
      </c>
      <c r="L558" s="43">
        <f t="shared" si="128"/>
        <v>807.2100000000006</v>
      </c>
      <c r="M558" s="183"/>
      <c r="N558" s="37" t="str">
        <f t="shared" si="129"/>
        <v>MCSGAST1CPF - Desp. Lazer e Entretenimento - Bares</v>
      </c>
      <c r="O558" s="37" t="str">
        <f t="shared" si="130"/>
        <v>GAST1CPF - Desp. Lazer e Entretenimento - Bares</v>
      </c>
      <c r="P558" s="37" t="str">
        <f t="shared" si="131"/>
        <v>MCSGAST1CPF - Desp. Lazer e Entretenimento - Bares</v>
      </c>
      <c r="Q558" s="37" t="str">
        <f t="shared" si="132"/>
        <v>MCSGAST1</v>
      </c>
      <c r="R558" s="37" t="str">
        <f t="shared" si="133"/>
        <v>MCSGAST1</v>
      </c>
      <c r="S558" s="31"/>
      <c r="T558" s="185">
        <f t="shared" si="134"/>
        <v>46174</v>
      </c>
      <c r="U558" s="181">
        <v>556</v>
      </c>
    </row>
    <row r="559" spans="2:21" s="181" customFormat="1" x14ac:dyDescent="0.25">
      <c r="B559" s="182" t="s">
        <v>25</v>
      </c>
      <c r="C559" s="183"/>
      <c r="D559" s="54" t="str">
        <f>INDEX(Cad_Natureza!$B$3:$C$52,MATCH('2026'!F559,Cad_Natureza!$C$3:$C$52,0),MATCH('2026'!D$2,Cad_Natureza!$B$3:$C$3,0))</f>
        <v>GAST1</v>
      </c>
      <c r="E559" s="52" t="str">
        <f t="shared" si="126"/>
        <v>Despesa 557</v>
      </c>
      <c r="F559" s="53" t="s">
        <v>65</v>
      </c>
      <c r="G559" s="54" t="s">
        <v>25</v>
      </c>
      <c r="H559" s="55">
        <v>46174</v>
      </c>
      <c r="I559" s="55"/>
      <c r="J559" s="50" t="str">
        <f t="shared" si="127"/>
        <v>Observação da despesa 557</v>
      </c>
      <c r="K559" s="43">
        <v>-10</v>
      </c>
      <c r="L559" s="43">
        <f t="shared" si="128"/>
        <v>797.2100000000006</v>
      </c>
      <c r="M559" s="183"/>
      <c r="N559" s="37" t="str">
        <f t="shared" si="129"/>
        <v>MCSGAST1CPF - Desp. Lazer e Entretenimento - Bares</v>
      </c>
      <c r="O559" s="37" t="str">
        <f t="shared" si="130"/>
        <v>GAST1CPF - Desp. Lazer e Entretenimento - Bares</v>
      </c>
      <c r="P559" s="37" t="str">
        <f t="shared" si="131"/>
        <v>MCSGAST1CPF - Desp. Lazer e Entretenimento - Bares</v>
      </c>
      <c r="Q559" s="37" t="str">
        <f t="shared" si="132"/>
        <v>MCSGAST1</v>
      </c>
      <c r="R559" s="37" t="str">
        <f t="shared" si="133"/>
        <v>MCSGAST1</v>
      </c>
      <c r="S559" s="31"/>
      <c r="T559" s="185">
        <f t="shared" si="134"/>
        <v>46174</v>
      </c>
      <c r="U559" s="181">
        <v>557</v>
      </c>
    </row>
    <row r="560" spans="2:21" s="181" customFormat="1" x14ac:dyDescent="0.25">
      <c r="B560" s="182" t="s">
        <v>25</v>
      </c>
      <c r="C560" s="183"/>
      <c r="D560" s="54" t="str">
        <f>INDEX(Cad_Natureza!$B$3:$C$52,MATCH('2026'!F560,Cad_Natureza!$C$3:$C$52,0),MATCH('2026'!D$2,Cad_Natureza!$B$3:$C$3,0))</f>
        <v>GAST1</v>
      </c>
      <c r="E560" s="52" t="str">
        <f t="shared" si="126"/>
        <v>Despesa 558</v>
      </c>
      <c r="F560" s="53" t="s">
        <v>65</v>
      </c>
      <c r="G560" s="54" t="s">
        <v>25</v>
      </c>
      <c r="H560" s="55">
        <v>46174</v>
      </c>
      <c r="I560" s="55"/>
      <c r="J560" s="50" t="str">
        <f t="shared" si="127"/>
        <v>Observação da despesa 558</v>
      </c>
      <c r="K560" s="43">
        <v>-6.5</v>
      </c>
      <c r="L560" s="43">
        <f t="shared" si="128"/>
        <v>790.7100000000006</v>
      </c>
      <c r="M560" s="183"/>
      <c r="N560" s="37" t="str">
        <f t="shared" si="129"/>
        <v>MCSGAST1CPF - Desp. Lazer e Entretenimento - Bares</v>
      </c>
      <c r="O560" s="37" t="str">
        <f t="shared" si="130"/>
        <v>GAST1CPF - Desp. Lazer e Entretenimento - Bares</v>
      </c>
      <c r="P560" s="37" t="str">
        <f t="shared" si="131"/>
        <v>MCSGAST1CPF - Desp. Lazer e Entretenimento - Bares</v>
      </c>
      <c r="Q560" s="37" t="str">
        <f t="shared" si="132"/>
        <v>MCSGAST1</v>
      </c>
      <c r="R560" s="37" t="str">
        <f t="shared" si="133"/>
        <v>MCSGAST1</v>
      </c>
      <c r="S560" s="31"/>
      <c r="T560" s="185">
        <f t="shared" si="134"/>
        <v>46174</v>
      </c>
      <c r="U560" s="181">
        <v>558</v>
      </c>
    </row>
    <row r="561" spans="2:21" s="181" customFormat="1" x14ac:dyDescent="0.25">
      <c r="B561" s="182" t="s">
        <v>25</v>
      </c>
      <c r="C561" s="183"/>
      <c r="D561" s="54" t="str">
        <f>INDEX(Cad_Natureza!$B$3:$C$52,MATCH('2026'!F561,Cad_Natureza!$C$3:$C$52,0),MATCH('2026'!D$2,Cad_Natureza!$B$3:$C$3,0))</f>
        <v>GAST1</v>
      </c>
      <c r="E561" s="52" t="str">
        <f t="shared" si="126"/>
        <v>Despesa 559</v>
      </c>
      <c r="F561" s="53" t="s">
        <v>65</v>
      </c>
      <c r="G561" s="54" t="s">
        <v>25</v>
      </c>
      <c r="H561" s="55">
        <v>46174</v>
      </c>
      <c r="I561" s="55"/>
      <c r="J561" s="50" t="str">
        <f t="shared" si="127"/>
        <v>Observação da despesa 559</v>
      </c>
      <c r="K561" s="43">
        <v>-10</v>
      </c>
      <c r="L561" s="43">
        <f t="shared" si="128"/>
        <v>780.7100000000006</v>
      </c>
      <c r="M561" s="183"/>
      <c r="N561" s="37" t="str">
        <f t="shared" si="0"/>
        <v>MCSGAST1CPF - Desp. Lazer e Entretenimento - Bares</v>
      </c>
      <c r="O561" s="37" t="str">
        <f t="shared" si="1"/>
        <v>GAST1CPF - Desp. Lazer e Entretenimento - Bares</v>
      </c>
      <c r="P561" s="37" t="str">
        <f t="shared" si="2"/>
        <v>MCSGAST1CPF - Desp. Lazer e Entretenimento - Bares</v>
      </c>
      <c r="Q561" s="37" t="str">
        <f t="shared" si="3"/>
        <v>MCSGAST1</v>
      </c>
      <c r="R561" s="37" t="str">
        <f t="shared" si="4"/>
        <v>MCSGAST1</v>
      </c>
      <c r="S561" s="31"/>
      <c r="T561" s="185">
        <f t="shared" si="5"/>
        <v>46174</v>
      </c>
      <c r="U561" s="181">
        <v>559</v>
      </c>
    </row>
    <row r="562" spans="2:21" s="181" customFormat="1" x14ac:dyDescent="0.25">
      <c r="B562" s="182" t="s">
        <v>25</v>
      </c>
      <c r="C562" s="183"/>
      <c r="D562" s="54" t="str">
        <f>INDEX(Cad_Natureza!$B$3:$C$52,MATCH('2026'!F562,Cad_Natureza!$C$3:$C$52,0),MATCH('2026'!D$2,Cad_Natureza!$B$3:$C$3,0))</f>
        <v>GAST1</v>
      </c>
      <c r="E562" s="52" t="str">
        <f t="shared" si="126"/>
        <v>Despesa 560</v>
      </c>
      <c r="F562" s="53" t="s">
        <v>65</v>
      </c>
      <c r="G562" s="54" t="s">
        <v>25</v>
      </c>
      <c r="H562" s="55">
        <v>46174</v>
      </c>
      <c r="I562" s="55"/>
      <c r="J562" s="50" t="str">
        <f t="shared" si="127"/>
        <v>Observação da despesa 560</v>
      </c>
      <c r="K562" s="43">
        <v>-73.5</v>
      </c>
      <c r="L562" s="43">
        <f t="shared" si="128"/>
        <v>707.2100000000006</v>
      </c>
      <c r="M562" s="183"/>
      <c r="N562" s="37" t="str">
        <f t="shared" si="0"/>
        <v>MCSGAST1CPF - Desp. Lazer e Entretenimento - Bares</v>
      </c>
      <c r="O562" s="37" t="str">
        <f t="shared" si="1"/>
        <v>GAST1CPF - Desp. Lazer e Entretenimento - Bares</v>
      </c>
      <c r="P562" s="37" t="str">
        <f t="shared" si="2"/>
        <v>MCSGAST1CPF - Desp. Lazer e Entretenimento - Bares</v>
      </c>
      <c r="Q562" s="37" t="str">
        <f t="shared" si="3"/>
        <v>MCSGAST1</v>
      </c>
      <c r="R562" s="37" t="str">
        <f t="shared" si="4"/>
        <v>MCSGAST1</v>
      </c>
      <c r="S562" s="31"/>
      <c r="T562" s="185">
        <f t="shared" si="5"/>
        <v>46174</v>
      </c>
      <c r="U562" s="181">
        <v>560</v>
      </c>
    </row>
    <row r="563" spans="2:21" s="181" customFormat="1" x14ac:dyDescent="0.25">
      <c r="B563" s="182" t="s">
        <v>25</v>
      </c>
      <c r="C563" s="183"/>
      <c r="D563" s="54" t="str">
        <f>INDEX(Cad_Natureza!$B$3:$C$52,MATCH('2026'!F563,Cad_Natureza!$C$3:$C$52,0),MATCH('2026'!D$2,Cad_Natureza!$B$3:$C$3,0))</f>
        <v>OPF1</v>
      </c>
      <c r="E563" s="52" t="str">
        <f t="shared" si="126"/>
        <v>Despesa 561</v>
      </c>
      <c r="F563" s="53" t="s">
        <v>67</v>
      </c>
      <c r="G563" s="54" t="s">
        <v>25</v>
      </c>
      <c r="H563" s="55">
        <v>46174</v>
      </c>
      <c r="I563" s="55"/>
      <c r="J563" s="50" t="str">
        <f t="shared" si="127"/>
        <v>Observação da despesa 561</v>
      </c>
      <c r="K563" s="43">
        <v>-24</v>
      </c>
      <c r="L563" s="43">
        <f t="shared" si="128"/>
        <v>683.2100000000006</v>
      </c>
      <c r="M563" s="183"/>
      <c r="N563" s="37" t="str">
        <f t="shared" si="0"/>
        <v>MCSOPF1CPF - Desp. Alimentação / Refeição</v>
      </c>
      <c r="O563" s="37" t="str">
        <f t="shared" si="1"/>
        <v>OPF1CPF - Desp. Alimentação / Refeição</v>
      </c>
      <c r="P563" s="37" t="str">
        <f t="shared" si="2"/>
        <v>MCSOPF1CPF - Desp. Alimentação / Refeição</v>
      </c>
      <c r="Q563" s="37" t="str">
        <f t="shared" si="3"/>
        <v>MCSOPF1</v>
      </c>
      <c r="R563" s="37" t="str">
        <f t="shared" si="4"/>
        <v>MCSOPF1</v>
      </c>
      <c r="S563" s="31"/>
      <c r="T563" s="185">
        <f t="shared" si="5"/>
        <v>46174</v>
      </c>
      <c r="U563" s="181">
        <v>561</v>
      </c>
    </row>
    <row r="564" spans="2:21" s="181" customFormat="1" x14ac:dyDescent="0.25">
      <c r="B564" s="182" t="s">
        <v>25</v>
      </c>
      <c r="C564" s="183"/>
      <c r="D564" s="54" t="str">
        <f>INDEX(Cad_Natureza!$B$3:$C$52,MATCH('2026'!F564,Cad_Natureza!$C$3:$C$52,0),MATCH('2026'!D$2,Cad_Natureza!$B$3:$C$3,0))</f>
        <v>OPF2</v>
      </c>
      <c r="E564" s="52" t="str">
        <f t="shared" si="126"/>
        <v>Despesa 562</v>
      </c>
      <c r="F564" s="53" t="s">
        <v>64</v>
      </c>
      <c r="G564" s="54" t="s">
        <v>25</v>
      </c>
      <c r="H564" s="55">
        <v>46174</v>
      </c>
      <c r="I564" s="55"/>
      <c r="J564" s="50" t="str">
        <f t="shared" si="127"/>
        <v>Observação da despesa 562</v>
      </c>
      <c r="K564" s="43">
        <v>-80</v>
      </c>
      <c r="L564" s="43">
        <f t="shared" si="128"/>
        <v>603.2100000000006</v>
      </c>
      <c r="M564" s="183"/>
      <c r="N564" s="37" t="str">
        <f t="shared" si="0"/>
        <v>MCSOPF2CPF - Desp. Transporte / Combustível</v>
      </c>
      <c r="O564" s="37" t="str">
        <f t="shared" si="1"/>
        <v>OPF2CPF - Desp. Transporte / Combustível</v>
      </c>
      <c r="P564" s="37" t="str">
        <f t="shared" si="2"/>
        <v>MCSOPF2CPF - Desp. Transporte / Combustível</v>
      </c>
      <c r="Q564" s="37" t="str">
        <f t="shared" si="3"/>
        <v>MCSOPF2</v>
      </c>
      <c r="R564" s="37" t="str">
        <f t="shared" si="4"/>
        <v>MCSOPF2</v>
      </c>
      <c r="S564" s="31"/>
      <c r="T564" s="185">
        <f t="shared" si="5"/>
        <v>46174</v>
      </c>
      <c r="U564" s="181">
        <v>562</v>
      </c>
    </row>
    <row r="565" spans="2:21" s="177" customFormat="1" x14ac:dyDescent="0.25">
      <c r="B565" s="174" t="s">
        <v>25</v>
      </c>
      <c r="C565" s="51"/>
      <c r="D565" s="44" t="str">
        <f>INDEX(Cad_Natureza!$B$3:$C$52,MATCH('2026'!F565,Cad_Natureza!$C$3:$C$52,0),MATCH('2026'!D$2,Cad_Natureza!$B$3:$C$3,0))</f>
        <v>REC5</v>
      </c>
      <c r="E565" s="45" t="str">
        <f t="shared" si="126"/>
        <v>Receita 563</v>
      </c>
      <c r="F565" s="46" t="s">
        <v>63</v>
      </c>
      <c r="G565" s="44" t="s">
        <v>25</v>
      </c>
      <c r="H565" s="47">
        <v>46174</v>
      </c>
      <c r="I565" s="47"/>
      <c r="J565" s="48" t="str">
        <f t="shared" si="127"/>
        <v>Observação da receita 563</v>
      </c>
      <c r="K565" s="49">
        <v>20.48</v>
      </c>
      <c r="L565" s="49">
        <f t="shared" si="128"/>
        <v>623.69000000000062</v>
      </c>
      <c r="M565" s="51"/>
      <c r="N565" s="37" t="str">
        <f t="shared" si="0"/>
        <v>MCSREC5CPF - Outras receitas</v>
      </c>
      <c r="O565" s="37" t="str">
        <f t="shared" si="1"/>
        <v>REC5CPF - Outras receitas</v>
      </c>
      <c r="P565" s="37" t="str">
        <f t="shared" si="2"/>
        <v>MCSREC5CPF - Outras receitas</v>
      </c>
      <c r="Q565" s="37" t="str">
        <f t="shared" si="3"/>
        <v>MCSREC5</v>
      </c>
      <c r="R565" s="37" t="str">
        <f t="shared" si="4"/>
        <v>MCSREC5</v>
      </c>
      <c r="S565" s="31"/>
      <c r="T565" s="176">
        <f t="shared" si="5"/>
        <v>46174</v>
      </c>
      <c r="U565" s="181">
        <v>563</v>
      </c>
    </row>
    <row r="566" spans="2:21" s="181" customFormat="1" x14ac:dyDescent="0.25">
      <c r="B566" s="182" t="s">
        <v>25</v>
      </c>
      <c r="C566" s="183"/>
      <c r="D566" s="54" t="str">
        <f>INDEX(Cad_Natureza!$B$3:$C$52,MATCH('2026'!F566,Cad_Natureza!$C$3:$C$52,0),MATCH('2026'!D$2,Cad_Natureza!$B$3:$C$3,0))</f>
        <v>OPF1</v>
      </c>
      <c r="E566" s="52" t="str">
        <f t="shared" si="126"/>
        <v>Despesa 564</v>
      </c>
      <c r="F566" s="53" t="s">
        <v>67</v>
      </c>
      <c r="G566" s="54" t="s">
        <v>25</v>
      </c>
      <c r="H566" s="55">
        <v>46175</v>
      </c>
      <c r="I566" s="55"/>
      <c r="J566" s="50" t="str">
        <f t="shared" si="127"/>
        <v>Observação da despesa 564</v>
      </c>
      <c r="K566" s="43">
        <v>-24</v>
      </c>
      <c r="L566" s="43">
        <f t="shared" si="128"/>
        <v>599.69000000000062</v>
      </c>
      <c r="M566" s="183"/>
      <c r="N566" s="37" t="str">
        <f t="shared" si="0"/>
        <v>MCSOPF1CPF - Desp. Alimentação / Refeição</v>
      </c>
      <c r="O566" s="37" t="str">
        <f t="shared" si="1"/>
        <v>OPF1CPF - Desp. Alimentação / Refeição</v>
      </c>
      <c r="P566" s="37" t="str">
        <f t="shared" si="2"/>
        <v>MCSOPF1CPF - Desp. Alimentação / Refeição</v>
      </c>
      <c r="Q566" s="37" t="str">
        <f t="shared" si="3"/>
        <v>MCSOPF1</v>
      </c>
      <c r="R566" s="37" t="str">
        <f t="shared" si="4"/>
        <v>MCSOPF1</v>
      </c>
      <c r="S566" s="31"/>
      <c r="T566" s="185">
        <f t="shared" si="5"/>
        <v>46174</v>
      </c>
      <c r="U566" s="181">
        <v>564</v>
      </c>
    </row>
    <row r="567" spans="2:21" s="181" customFormat="1" x14ac:dyDescent="0.25">
      <c r="B567" s="182" t="s">
        <v>25</v>
      </c>
      <c r="C567" s="183"/>
      <c r="D567" s="54" t="str">
        <f>INDEX(Cad_Natureza!$B$3:$C$52,MATCH('2026'!F567,Cad_Natureza!$C$3:$C$52,0),MATCH('2026'!D$2,Cad_Natureza!$B$3:$C$3,0))</f>
        <v>OPF2</v>
      </c>
      <c r="E567" s="52" t="str">
        <f t="shared" si="126"/>
        <v>Despesa 565</v>
      </c>
      <c r="F567" s="53" t="s">
        <v>64</v>
      </c>
      <c r="G567" s="54" t="s">
        <v>25</v>
      </c>
      <c r="H567" s="55">
        <v>46175</v>
      </c>
      <c r="I567" s="55"/>
      <c r="J567" s="50" t="str">
        <f t="shared" si="127"/>
        <v>Observação da despesa 565</v>
      </c>
      <c r="K567" s="43">
        <v>-80</v>
      </c>
      <c r="L567" s="43">
        <f t="shared" si="128"/>
        <v>519.69000000000062</v>
      </c>
      <c r="M567" s="183"/>
      <c r="N567" s="37" t="str">
        <f t="shared" si="0"/>
        <v>MCSOPF2CPF - Desp. Transporte / Combustível</v>
      </c>
      <c r="O567" s="37" t="str">
        <f t="shared" si="1"/>
        <v>OPF2CPF - Desp. Transporte / Combustível</v>
      </c>
      <c r="P567" s="37" t="str">
        <f t="shared" si="2"/>
        <v>MCSOPF2CPF - Desp. Transporte / Combustível</v>
      </c>
      <c r="Q567" s="37" t="str">
        <f t="shared" si="3"/>
        <v>MCSOPF2</v>
      </c>
      <c r="R567" s="37" t="str">
        <f t="shared" si="4"/>
        <v>MCSOPF2</v>
      </c>
      <c r="S567" s="31"/>
      <c r="T567" s="185">
        <f t="shared" si="5"/>
        <v>46174</v>
      </c>
      <c r="U567" s="181">
        <v>565</v>
      </c>
    </row>
    <row r="568" spans="2:21" s="181" customFormat="1" x14ac:dyDescent="0.25">
      <c r="B568" s="182" t="s">
        <v>25</v>
      </c>
      <c r="C568" s="183"/>
      <c r="D568" s="54" t="str">
        <f>INDEX(Cad_Natureza!$B$3:$C$52,MATCH('2026'!F568,Cad_Natureza!$C$3:$C$52,0),MATCH('2026'!D$2,Cad_Natureza!$B$3:$C$3,0))</f>
        <v>FIN2</v>
      </c>
      <c r="E568" s="52" t="str">
        <f t="shared" si="126"/>
        <v>Despesa 566</v>
      </c>
      <c r="F568" s="53" t="s">
        <v>72</v>
      </c>
      <c r="G568" s="54" t="s">
        <v>25</v>
      </c>
      <c r="H568" s="55">
        <v>46175</v>
      </c>
      <c r="I568" s="55"/>
      <c r="J568" s="50" t="str">
        <f t="shared" si="127"/>
        <v>Observação da despesa 566</v>
      </c>
      <c r="K568" s="43">
        <v>-28</v>
      </c>
      <c r="L568" s="43">
        <f t="shared" si="128"/>
        <v>491.69000000000062</v>
      </c>
      <c r="M568" s="183"/>
      <c r="N568" s="37" t="str">
        <f t="shared" si="0"/>
        <v>MCSFIN2CPF - Desp. Financeiras - Juros / Tarifas</v>
      </c>
      <c r="O568" s="37" t="str">
        <f t="shared" si="1"/>
        <v>FIN2CPF - Desp. Financeiras - Juros / Tarifas</v>
      </c>
      <c r="P568" s="37" t="str">
        <f t="shared" si="2"/>
        <v>MCSFIN2CPF - Desp. Financeiras - Juros / Tarifas</v>
      </c>
      <c r="Q568" s="37" t="str">
        <f t="shared" si="3"/>
        <v>MCSFIN2</v>
      </c>
      <c r="R568" s="37" t="str">
        <f t="shared" si="4"/>
        <v>MCSFIN2</v>
      </c>
      <c r="S568" s="31"/>
      <c r="T568" s="185">
        <f t="shared" si="5"/>
        <v>46174</v>
      </c>
      <c r="U568" s="181">
        <v>566</v>
      </c>
    </row>
    <row r="569" spans="2:21" s="181" customFormat="1" x14ac:dyDescent="0.25">
      <c r="B569" s="182" t="s">
        <v>25</v>
      </c>
      <c r="C569" s="183"/>
      <c r="D569" s="54" t="str">
        <f>INDEX(Cad_Natureza!$B$3:$C$52,MATCH('2026'!F569,Cad_Natureza!$C$3:$C$52,0),MATCH('2026'!D$2,Cad_Natureza!$B$3:$C$3,0))</f>
        <v>OPF1</v>
      </c>
      <c r="E569" s="52" t="str">
        <f t="shared" si="126"/>
        <v>Despesa 567</v>
      </c>
      <c r="F569" s="53" t="s">
        <v>67</v>
      </c>
      <c r="G569" s="54" t="s">
        <v>25</v>
      </c>
      <c r="H569" s="55">
        <v>46176</v>
      </c>
      <c r="I569" s="55"/>
      <c r="J569" s="50" t="str">
        <f t="shared" si="127"/>
        <v>Observação da despesa 567</v>
      </c>
      <c r="K569" s="43">
        <v>-24</v>
      </c>
      <c r="L569" s="43">
        <f t="shared" si="128"/>
        <v>467.69000000000062</v>
      </c>
      <c r="M569" s="183"/>
      <c r="N569" s="37" t="str">
        <f t="shared" si="0"/>
        <v>MCSOPF1CPF - Desp. Alimentação / Refeição</v>
      </c>
      <c r="O569" s="37" t="str">
        <f t="shared" si="1"/>
        <v>OPF1CPF - Desp. Alimentação / Refeição</v>
      </c>
      <c r="P569" s="37" t="str">
        <f t="shared" si="2"/>
        <v>MCSOPF1CPF - Desp. Alimentação / Refeição</v>
      </c>
      <c r="Q569" s="37" t="str">
        <f t="shared" si="3"/>
        <v>MCSOPF1</v>
      </c>
      <c r="R569" s="37" t="str">
        <f t="shared" si="4"/>
        <v>MCSOPF1</v>
      </c>
      <c r="S569" s="31"/>
      <c r="T569" s="185">
        <f t="shared" si="5"/>
        <v>46174</v>
      </c>
      <c r="U569" s="181">
        <v>567</v>
      </c>
    </row>
    <row r="570" spans="2:21" s="177" customFormat="1" x14ac:dyDescent="0.25">
      <c r="B570" s="174" t="s">
        <v>25</v>
      </c>
      <c r="C570" s="51"/>
      <c r="D570" s="44" t="str">
        <f>INDEX(Cad_Natureza!$B$3:$C$52,MATCH('2026'!F570,Cad_Natureza!$C$3:$C$52,0),MATCH('2026'!D$2,Cad_Natureza!$B$3:$C$3,0))</f>
        <v>REC5</v>
      </c>
      <c r="E570" s="45" t="str">
        <f t="shared" si="126"/>
        <v>Receita 568</v>
      </c>
      <c r="F570" s="46" t="s">
        <v>63</v>
      </c>
      <c r="G570" s="44" t="s">
        <v>25</v>
      </c>
      <c r="H570" s="47">
        <v>46176</v>
      </c>
      <c r="I570" s="47"/>
      <c r="J570" s="48" t="str">
        <f t="shared" si="127"/>
        <v>Observação da receita 568</v>
      </c>
      <c r="K570" s="49">
        <v>372.66</v>
      </c>
      <c r="L570" s="49">
        <f t="shared" si="128"/>
        <v>840.35000000000059</v>
      </c>
      <c r="M570" s="51"/>
      <c r="N570" s="37" t="str">
        <f t="shared" si="0"/>
        <v>MCSREC5CPF - Outras receitas</v>
      </c>
      <c r="O570" s="37" t="str">
        <f t="shared" si="1"/>
        <v>REC5CPF - Outras receitas</v>
      </c>
      <c r="P570" s="37" t="str">
        <f t="shared" si="2"/>
        <v>MCSREC5CPF - Outras receitas</v>
      </c>
      <c r="Q570" s="37" t="str">
        <f t="shared" si="3"/>
        <v>MCSREC5</v>
      </c>
      <c r="R570" s="37" t="str">
        <f t="shared" si="4"/>
        <v>MCSREC5</v>
      </c>
      <c r="S570" s="31"/>
      <c r="T570" s="176">
        <f t="shared" si="5"/>
        <v>46174</v>
      </c>
      <c r="U570" s="181">
        <v>568</v>
      </c>
    </row>
    <row r="571" spans="2:21" s="181" customFormat="1" x14ac:dyDescent="0.25">
      <c r="B571" s="182" t="s">
        <v>25</v>
      </c>
      <c r="C571" s="183"/>
      <c r="D571" s="54" t="str">
        <f>INDEX(Cad_Natureza!$B$3:$C$52,MATCH('2026'!F571,Cad_Natureza!$C$3:$C$52,0),MATCH('2026'!D$2,Cad_Natureza!$B$3:$C$3,0))</f>
        <v>GAST1</v>
      </c>
      <c r="E571" s="52" t="str">
        <f t="shared" si="126"/>
        <v>Despesa 569</v>
      </c>
      <c r="F571" s="53" t="s">
        <v>65</v>
      </c>
      <c r="G571" s="54" t="s">
        <v>25</v>
      </c>
      <c r="H571" s="55">
        <v>46178</v>
      </c>
      <c r="I571" s="55"/>
      <c r="J571" s="50" t="str">
        <f t="shared" si="127"/>
        <v>Observação da despesa 569</v>
      </c>
      <c r="K571" s="43">
        <v>-6.5</v>
      </c>
      <c r="L571" s="43">
        <f t="shared" si="128"/>
        <v>833.85000000000059</v>
      </c>
      <c r="M571" s="183"/>
      <c r="N571" s="37" t="str">
        <f t="shared" si="0"/>
        <v>MCSGAST1CPF - Desp. Lazer e Entretenimento - Bares</v>
      </c>
      <c r="O571" s="37" t="str">
        <f t="shared" si="1"/>
        <v>GAST1CPF - Desp. Lazer e Entretenimento - Bares</v>
      </c>
      <c r="P571" s="37" t="str">
        <f t="shared" si="2"/>
        <v>MCSGAST1CPF - Desp. Lazer e Entretenimento - Bares</v>
      </c>
      <c r="Q571" s="37" t="str">
        <f t="shared" si="3"/>
        <v>MCSGAST1</v>
      </c>
      <c r="R571" s="37" t="str">
        <f t="shared" si="4"/>
        <v>MCSGAST1</v>
      </c>
      <c r="S571" s="31"/>
      <c r="T571" s="185">
        <f t="shared" si="5"/>
        <v>46174</v>
      </c>
      <c r="U571" s="181">
        <v>569</v>
      </c>
    </row>
    <row r="572" spans="2:21" s="181" customFormat="1" x14ac:dyDescent="0.25">
      <c r="B572" s="182" t="s">
        <v>25</v>
      </c>
      <c r="C572" s="183"/>
      <c r="D572" s="54" t="str">
        <f>INDEX(Cad_Natureza!$B$3:$C$52,MATCH('2026'!F572,Cad_Natureza!$C$3:$C$52,0),MATCH('2026'!D$2,Cad_Natureza!$B$3:$C$3,0))</f>
        <v>DESP4</v>
      </c>
      <c r="E572" s="52" t="str">
        <f t="shared" si="126"/>
        <v>Despesa 570</v>
      </c>
      <c r="F572" s="53" t="s">
        <v>74</v>
      </c>
      <c r="G572" s="54" t="s">
        <v>25</v>
      </c>
      <c r="H572" s="55">
        <v>46178</v>
      </c>
      <c r="I572" s="55"/>
      <c r="J572" s="50" t="str">
        <f t="shared" si="127"/>
        <v>Observação da despesa 570</v>
      </c>
      <c r="K572" s="43">
        <v>-300</v>
      </c>
      <c r="L572" s="43">
        <f t="shared" si="128"/>
        <v>533.85000000000059</v>
      </c>
      <c r="M572" s="183"/>
      <c r="N572" s="37" t="str">
        <f t="shared" si="0"/>
        <v>MCSDESP4CPF - Desp. Moradia</v>
      </c>
      <c r="O572" s="37" t="str">
        <f t="shared" si="1"/>
        <v>DESP4CPF - Desp. Moradia</v>
      </c>
      <c r="P572" s="37" t="str">
        <f t="shared" si="2"/>
        <v>MCSDESP4CPF - Desp. Moradia</v>
      </c>
      <c r="Q572" s="37" t="str">
        <f t="shared" si="3"/>
        <v>MCSDESP4</v>
      </c>
      <c r="R572" s="37" t="str">
        <f t="shared" si="4"/>
        <v>MCSDESP4</v>
      </c>
      <c r="S572" s="31"/>
      <c r="T572" s="185">
        <f t="shared" si="5"/>
        <v>46174</v>
      </c>
      <c r="U572" s="181">
        <v>570</v>
      </c>
    </row>
    <row r="573" spans="2:21" s="177" customFormat="1" x14ac:dyDescent="0.25">
      <c r="B573" s="174" t="s">
        <v>25</v>
      </c>
      <c r="C573" s="51"/>
      <c r="D573" s="44" t="str">
        <f>INDEX(Cad_Natureza!$B$3:$C$52,MATCH('2026'!F573,Cad_Natureza!$C$3:$C$52,0),MATCH('2026'!D$2,Cad_Natureza!$B$3:$C$3,0))</f>
        <v>REC4</v>
      </c>
      <c r="E573" s="45" t="str">
        <f t="shared" si="126"/>
        <v>Receita 571</v>
      </c>
      <c r="F573" s="46" t="s">
        <v>57</v>
      </c>
      <c r="G573" s="44" t="s">
        <v>25</v>
      </c>
      <c r="H573" s="47">
        <v>46178</v>
      </c>
      <c r="I573" s="47"/>
      <c r="J573" s="48" t="str">
        <f t="shared" si="127"/>
        <v>Observação da receita 571</v>
      </c>
      <c r="K573" s="49">
        <v>1000</v>
      </c>
      <c r="L573" s="49">
        <f t="shared" si="128"/>
        <v>1533.8500000000006</v>
      </c>
      <c r="M573" s="51"/>
      <c r="N573" s="37" t="str">
        <f t="shared" si="0"/>
        <v>MCSREC4CPF - Transf. Da conta PJ para a conta PF</v>
      </c>
      <c r="O573" s="37" t="str">
        <f t="shared" si="1"/>
        <v>REC4CPF - Transf. Da conta PJ para a conta PF</v>
      </c>
      <c r="P573" s="37" t="str">
        <f t="shared" si="2"/>
        <v>MCSREC4CPF - Transf. Da conta PJ para a conta PF</v>
      </c>
      <c r="Q573" s="37" t="str">
        <f t="shared" si="3"/>
        <v>MCSREC4</v>
      </c>
      <c r="R573" s="37" t="str">
        <f t="shared" si="4"/>
        <v>MCSREC4</v>
      </c>
      <c r="S573" s="31"/>
      <c r="T573" s="176">
        <f t="shared" si="5"/>
        <v>46174</v>
      </c>
      <c r="U573" s="181">
        <v>571</v>
      </c>
    </row>
    <row r="574" spans="2:21" s="181" customFormat="1" x14ac:dyDescent="0.25">
      <c r="B574" s="182" t="s">
        <v>25</v>
      </c>
      <c r="C574" s="183"/>
      <c r="D574" s="54" t="str">
        <f>INDEX(Cad_Natureza!$B$3:$C$52,MATCH('2026'!F574,Cad_Natureza!$C$3:$C$52,0),MATCH('2026'!D$2,Cad_Natureza!$B$3:$C$3,0))</f>
        <v>OUG1</v>
      </c>
      <c r="E574" s="52" t="str">
        <f t="shared" si="126"/>
        <v>Despesa 572</v>
      </c>
      <c r="F574" s="53" t="s">
        <v>70</v>
      </c>
      <c r="G574" s="54" t="s">
        <v>25</v>
      </c>
      <c r="H574" s="55">
        <v>46178</v>
      </c>
      <c r="I574" s="55"/>
      <c r="J574" s="50" t="str">
        <f t="shared" si="127"/>
        <v>Observação da despesa 572</v>
      </c>
      <c r="K574" s="43">
        <v>-60</v>
      </c>
      <c r="L574" s="43">
        <f t="shared" si="128"/>
        <v>1473.8500000000006</v>
      </c>
      <c r="M574" s="183"/>
      <c r="N574" s="37" t="str">
        <f t="shared" si="0"/>
        <v>MCSOUG1CPF - Outros gastos</v>
      </c>
      <c r="O574" s="37" t="str">
        <f t="shared" si="1"/>
        <v>OUG1CPF - Outros gastos</v>
      </c>
      <c r="P574" s="37" t="str">
        <f t="shared" si="2"/>
        <v>MCSOUG1CPF - Outros gastos</v>
      </c>
      <c r="Q574" s="37" t="str">
        <f t="shared" si="3"/>
        <v>MCSOUG1</v>
      </c>
      <c r="R574" s="37" t="str">
        <f t="shared" si="4"/>
        <v>MCSOUG1</v>
      </c>
      <c r="S574" s="31"/>
      <c r="T574" s="185">
        <f t="shared" si="5"/>
        <v>46174</v>
      </c>
      <c r="U574" s="181">
        <v>572</v>
      </c>
    </row>
    <row r="575" spans="2:21" s="181" customFormat="1" x14ac:dyDescent="0.25">
      <c r="B575" s="182" t="s">
        <v>25</v>
      </c>
      <c r="C575" s="183"/>
      <c r="D575" s="54" t="str">
        <f>INDEX(Cad_Natureza!$B$3:$C$52,MATCH('2026'!F575,Cad_Natureza!$C$3:$C$52,0),MATCH('2026'!D$2,Cad_Natureza!$B$3:$C$3,0))</f>
        <v>PENS3</v>
      </c>
      <c r="E575" s="52" t="str">
        <f t="shared" si="126"/>
        <v>Despesa 573</v>
      </c>
      <c r="F575" s="53" t="s">
        <v>69</v>
      </c>
      <c r="G575" s="54" t="s">
        <v>25</v>
      </c>
      <c r="H575" s="55">
        <v>46178</v>
      </c>
      <c r="I575" s="55"/>
      <c r="J575" s="50" t="str">
        <f t="shared" si="127"/>
        <v>Observação da despesa 573</v>
      </c>
      <c r="K575" s="43">
        <v>-614.34</v>
      </c>
      <c r="L575" s="43">
        <f t="shared" si="128"/>
        <v>859.51000000000056</v>
      </c>
      <c r="M575" s="183"/>
      <c r="N575" s="37" t="str">
        <f t="shared" si="0"/>
        <v>MCSPENS3CPF - Pensão - Plano de saúde</v>
      </c>
      <c r="O575" s="37" t="str">
        <f t="shared" si="1"/>
        <v>PENS3CPF - Pensão - Plano de saúde</v>
      </c>
      <c r="P575" s="37" t="str">
        <f t="shared" si="2"/>
        <v>MCSPENS3CPF - Pensão - Plano de saúde</v>
      </c>
      <c r="Q575" s="37" t="str">
        <f t="shared" si="3"/>
        <v>MCSPENS3</v>
      </c>
      <c r="R575" s="37" t="str">
        <f t="shared" si="4"/>
        <v>MCSPENS3</v>
      </c>
      <c r="S575" s="31"/>
      <c r="T575" s="185">
        <f t="shared" si="5"/>
        <v>46174</v>
      </c>
      <c r="U575" s="181">
        <v>573</v>
      </c>
    </row>
    <row r="576" spans="2:21" s="181" customFormat="1" x14ac:dyDescent="0.25">
      <c r="B576" s="182" t="s">
        <v>25</v>
      </c>
      <c r="C576" s="183"/>
      <c r="D576" s="54" t="str">
        <f>INDEX(Cad_Natureza!$B$3:$C$52,MATCH('2026'!F576,Cad_Natureza!$C$3:$C$52,0),MATCH('2026'!D$2,Cad_Natureza!$B$3:$C$3,0))</f>
        <v>PENS6</v>
      </c>
      <c r="E576" s="52" t="str">
        <f t="shared" si="126"/>
        <v>Despesa 574</v>
      </c>
      <c r="F576" s="53" t="s">
        <v>34</v>
      </c>
      <c r="G576" s="54" t="s">
        <v>25</v>
      </c>
      <c r="H576" s="55">
        <v>46178</v>
      </c>
      <c r="I576" s="55"/>
      <c r="J576" s="50" t="str">
        <f t="shared" si="127"/>
        <v>Observação da despesa 574</v>
      </c>
      <c r="K576" s="43">
        <v>-35.99</v>
      </c>
      <c r="L576" s="43">
        <f t="shared" si="128"/>
        <v>823.52000000000055</v>
      </c>
      <c r="M576" s="183"/>
      <c r="N576" s="37" t="str">
        <f t="shared" si="0"/>
        <v>MCSPENS6CPF - Pensão - Farmácia e Saúde</v>
      </c>
      <c r="O576" s="37" t="str">
        <f t="shared" si="1"/>
        <v>PENS6CPF - Pensão - Farmácia e Saúde</v>
      </c>
      <c r="P576" s="37" t="str">
        <f t="shared" si="2"/>
        <v>MCSPENS6CPF - Pensão - Farmácia e Saúde</v>
      </c>
      <c r="Q576" s="37" t="str">
        <f t="shared" si="3"/>
        <v>MCSPENS6</v>
      </c>
      <c r="R576" s="37" t="str">
        <f t="shared" si="4"/>
        <v>MCSPENS6</v>
      </c>
      <c r="S576" s="31"/>
      <c r="T576" s="185">
        <f t="shared" si="5"/>
        <v>46174</v>
      </c>
      <c r="U576" s="181">
        <v>574</v>
      </c>
    </row>
    <row r="577" spans="2:21" s="181" customFormat="1" x14ac:dyDescent="0.25">
      <c r="B577" s="182" t="s">
        <v>25</v>
      </c>
      <c r="C577" s="183"/>
      <c r="D577" s="54" t="str">
        <f>INDEX(Cad_Natureza!$B$3:$C$52,MATCH('2026'!F577,Cad_Natureza!$C$3:$C$52,0),MATCH('2026'!D$2,Cad_Natureza!$B$3:$C$3,0))</f>
        <v>PENS6</v>
      </c>
      <c r="E577" s="52" t="str">
        <f t="shared" si="126"/>
        <v>Despesa 575</v>
      </c>
      <c r="F577" s="186" t="s">
        <v>34</v>
      </c>
      <c r="G577" s="54" t="s">
        <v>25</v>
      </c>
      <c r="H577" s="55">
        <v>46178</v>
      </c>
      <c r="I577" s="55"/>
      <c r="J577" s="50" t="str">
        <f t="shared" si="127"/>
        <v>Observação da despesa 575</v>
      </c>
      <c r="K577" s="43">
        <v>-87.86</v>
      </c>
      <c r="L577" s="43">
        <f t="shared" si="128"/>
        <v>735.66000000000054</v>
      </c>
      <c r="M577" s="183"/>
      <c r="N577" s="37" t="str">
        <f t="shared" si="0"/>
        <v>MCSPENS6CPF - Pensão - Farmácia e Saúde</v>
      </c>
      <c r="O577" s="37" t="str">
        <f t="shared" si="1"/>
        <v>PENS6CPF - Pensão - Farmácia e Saúde</v>
      </c>
      <c r="P577" s="37" t="str">
        <f t="shared" si="2"/>
        <v>MCSPENS6CPF - Pensão - Farmácia e Saúde</v>
      </c>
      <c r="Q577" s="37" t="str">
        <f t="shared" si="3"/>
        <v>MCSPENS6</v>
      </c>
      <c r="R577" s="37" t="str">
        <f t="shared" si="4"/>
        <v>MCSPENS6</v>
      </c>
      <c r="S577" s="31"/>
      <c r="T577" s="185">
        <f t="shared" si="5"/>
        <v>46174</v>
      </c>
      <c r="U577" s="181">
        <v>575</v>
      </c>
    </row>
    <row r="578" spans="2:21" s="181" customFormat="1" x14ac:dyDescent="0.25">
      <c r="B578" s="182" t="s">
        <v>25</v>
      </c>
      <c r="C578" s="183"/>
      <c r="D578" s="54" t="str">
        <f>INDEX(Cad_Natureza!$B$3:$C$52,MATCH('2026'!F578,Cad_Natureza!$C$3:$C$52,0),MATCH('2026'!D$2,Cad_Natureza!$B$3:$C$3,0))</f>
        <v>OPF2</v>
      </c>
      <c r="E578" s="52" t="str">
        <f t="shared" si="126"/>
        <v>Despesa 576</v>
      </c>
      <c r="F578" s="53" t="s">
        <v>64</v>
      </c>
      <c r="G578" s="54" t="s">
        <v>25</v>
      </c>
      <c r="H578" s="55">
        <v>46178</v>
      </c>
      <c r="I578" s="55"/>
      <c r="J578" s="50" t="str">
        <f t="shared" si="127"/>
        <v>Observação da despesa 576</v>
      </c>
      <c r="K578" s="43">
        <v>-80</v>
      </c>
      <c r="L578" s="43">
        <f t="shared" si="128"/>
        <v>655.66000000000054</v>
      </c>
      <c r="M578" s="183"/>
      <c r="N578" s="37" t="str">
        <f t="shared" si="0"/>
        <v>MCSOPF2CPF - Desp. Transporte / Combustível</v>
      </c>
      <c r="O578" s="37" t="str">
        <f t="shared" si="1"/>
        <v>OPF2CPF - Desp. Transporte / Combustível</v>
      </c>
      <c r="P578" s="37" t="str">
        <f t="shared" si="2"/>
        <v>MCSOPF2CPF - Desp. Transporte / Combustível</v>
      </c>
      <c r="Q578" s="37" t="str">
        <f t="shared" si="3"/>
        <v>MCSOPF2</v>
      </c>
      <c r="R578" s="37" t="str">
        <f t="shared" si="4"/>
        <v>MCSOPF2</v>
      </c>
      <c r="S578" s="31"/>
      <c r="T578" s="185">
        <f t="shared" si="5"/>
        <v>46174</v>
      </c>
      <c r="U578" s="181">
        <v>576</v>
      </c>
    </row>
    <row r="579" spans="2:21" s="181" customFormat="1" x14ac:dyDescent="0.25">
      <c r="B579" s="182" t="s">
        <v>25</v>
      </c>
      <c r="C579" s="183"/>
      <c r="D579" s="54" t="str">
        <f>INDEX(Cad_Natureza!$B$3:$C$52,MATCH('2026'!F579,Cad_Natureza!$C$3:$C$52,0),MATCH('2026'!D$2,Cad_Natureza!$B$3:$C$3,0))</f>
        <v>OUG1</v>
      </c>
      <c r="E579" s="52" t="str">
        <f t="shared" si="126"/>
        <v>Despesa 577</v>
      </c>
      <c r="F579" s="53" t="s">
        <v>70</v>
      </c>
      <c r="G579" s="54" t="s">
        <v>25</v>
      </c>
      <c r="H579" s="55">
        <v>46178</v>
      </c>
      <c r="I579" s="55"/>
      <c r="J579" s="50" t="str">
        <f t="shared" si="127"/>
        <v>Observação da despesa 577</v>
      </c>
      <c r="K579" s="43">
        <v>-20</v>
      </c>
      <c r="L579" s="43">
        <f t="shared" si="128"/>
        <v>635.66000000000054</v>
      </c>
      <c r="M579" s="183"/>
      <c r="N579" s="37" t="str">
        <f t="shared" si="0"/>
        <v>MCSOUG1CPF - Outros gastos</v>
      </c>
      <c r="O579" s="37" t="str">
        <f t="shared" si="1"/>
        <v>OUG1CPF - Outros gastos</v>
      </c>
      <c r="P579" s="37" t="str">
        <f t="shared" si="2"/>
        <v>MCSOUG1CPF - Outros gastos</v>
      </c>
      <c r="Q579" s="37" t="str">
        <f t="shared" si="3"/>
        <v>MCSOUG1</v>
      </c>
      <c r="R579" s="37" t="str">
        <f t="shared" si="4"/>
        <v>MCSOUG1</v>
      </c>
      <c r="S579" s="31"/>
      <c r="T579" s="185">
        <f t="shared" si="5"/>
        <v>46174</v>
      </c>
      <c r="U579" s="181">
        <v>577</v>
      </c>
    </row>
    <row r="580" spans="2:21" s="181" customFormat="1" x14ac:dyDescent="0.25">
      <c r="B580" s="182" t="s">
        <v>25</v>
      </c>
      <c r="C580" s="183"/>
      <c r="D580" s="54" t="str">
        <f>INDEX(Cad_Natureza!$B$3:$C$52,MATCH('2026'!F580,Cad_Natureza!$C$3:$C$52,0),MATCH('2026'!D$2,Cad_Natureza!$B$3:$C$3,0))</f>
        <v>GAST1</v>
      </c>
      <c r="E580" s="52" t="str">
        <f t="shared" ref="E580:E643" si="135">IF(K580&lt;0,"Despesa "&amp;U580,"Receita "&amp;U580)</f>
        <v>Despesa 578</v>
      </c>
      <c r="F580" s="53" t="s">
        <v>65</v>
      </c>
      <c r="G580" s="54" t="s">
        <v>25</v>
      </c>
      <c r="H580" s="55">
        <v>46178</v>
      </c>
      <c r="I580" s="55"/>
      <c r="J580" s="50" t="str">
        <f t="shared" ref="J580:J643" si="136">IF(K580&lt;0,"Observação da despesa "&amp;U580,"Observação da receita "&amp;U580)</f>
        <v>Observação da despesa 578</v>
      </c>
      <c r="K580" s="43">
        <v>-5</v>
      </c>
      <c r="L580" s="43">
        <f t="shared" ref="L580:L643" si="137">L579+K580</f>
        <v>630.66000000000054</v>
      </c>
      <c r="M580" s="183"/>
      <c r="N580" s="37" t="str">
        <f t="shared" si="0"/>
        <v>MCSGAST1CPF - Desp. Lazer e Entretenimento - Bares</v>
      </c>
      <c r="O580" s="37" t="str">
        <f t="shared" si="1"/>
        <v>GAST1CPF - Desp. Lazer e Entretenimento - Bares</v>
      </c>
      <c r="P580" s="37" t="str">
        <f t="shared" si="2"/>
        <v>MCSGAST1CPF - Desp. Lazer e Entretenimento - Bares</v>
      </c>
      <c r="Q580" s="37" t="str">
        <f t="shared" si="3"/>
        <v>MCSGAST1</v>
      </c>
      <c r="R580" s="37" t="str">
        <f t="shared" si="4"/>
        <v>MCSGAST1</v>
      </c>
      <c r="S580" s="31"/>
      <c r="T580" s="185">
        <f t="shared" si="5"/>
        <v>46174</v>
      </c>
      <c r="U580" s="181">
        <v>578</v>
      </c>
    </row>
    <row r="581" spans="2:21" s="181" customFormat="1" x14ac:dyDescent="0.25">
      <c r="B581" s="182" t="s">
        <v>25</v>
      </c>
      <c r="C581" s="183"/>
      <c r="D581" s="54" t="str">
        <f>INDEX(Cad_Natureza!$B$3:$C$52,MATCH('2026'!F581,Cad_Natureza!$C$3:$C$52,0),MATCH('2026'!D$2,Cad_Natureza!$B$3:$C$3,0))</f>
        <v>GAST1</v>
      </c>
      <c r="E581" s="52" t="str">
        <f t="shared" si="135"/>
        <v>Despesa 579</v>
      </c>
      <c r="F581" s="53" t="s">
        <v>65</v>
      </c>
      <c r="G581" s="54" t="s">
        <v>25</v>
      </c>
      <c r="H581" s="55">
        <v>46178</v>
      </c>
      <c r="I581" s="55"/>
      <c r="J581" s="50" t="str">
        <f t="shared" si="136"/>
        <v>Observação da despesa 579</v>
      </c>
      <c r="K581" s="43">
        <v>-15</v>
      </c>
      <c r="L581" s="43">
        <f t="shared" si="137"/>
        <v>615.66000000000054</v>
      </c>
      <c r="M581" s="183"/>
      <c r="N581" s="37" t="str">
        <f t="shared" ref="N581:N600" si="138">B581&amp;D581&amp;F581</f>
        <v>MCSGAST1CPF - Desp. Lazer e Entretenimento - Bares</v>
      </c>
      <c r="O581" s="37" t="str">
        <f t="shared" ref="O581:O600" si="139">D581&amp;F581</f>
        <v>GAST1CPF - Desp. Lazer e Entretenimento - Bares</v>
      </c>
      <c r="P581" s="37" t="str">
        <f t="shared" ref="P581:P600" si="140">"MCS"&amp;D581&amp;F581</f>
        <v>MCSGAST1CPF - Desp. Lazer e Entretenimento - Bares</v>
      </c>
      <c r="Q581" s="37" t="str">
        <f t="shared" ref="Q581:Q600" si="141">"MCS"&amp;D581</f>
        <v>MCSGAST1</v>
      </c>
      <c r="R581" s="37" t="str">
        <f t="shared" ref="R581:R600" si="142">B581&amp;D581</f>
        <v>MCSGAST1</v>
      </c>
      <c r="S581" s="31"/>
      <c r="T581" s="185">
        <f t="shared" ref="T581:T600" si="143">(1&amp;"/"&amp;MONTH(H581)&amp;"/"&amp;YEAR(H581))*1</f>
        <v>46174</v>
      </c>
      <c r="U581" s="181">
        <v>579</v>
      </c>
    </row>
    <row r="582" spans="2:21" s="181" customFormat="1" x14ac:dyDescent="0.25">
      <c r="B582" s="182" t="s">
        <v>25</v>
      </c>
      <c r="C582" s="183"/>
      <c r="D582" s="54" t="str">
        <f>INDEX(Cad_Natureza!$B$3:$C$52,MATCH('2026'!F582,Cad_Natureza!$C$3:$C$52,0),MATCH('2026'!D$2,Cad_Natureza!$B$3:$C$3,0))</f>
        <v>OPF1</v>
      </c>
      <c r="E582" s="52" t="str">
        <f t="shared" si="135"/>
        <v>Despesa 580</v>
      </c>
      <c r="F582" s="53" t="s">
        <v>67</v>
      </c>
      <c r="G582" s="54" t="s">
        <v>25</v>
      </c>
      <c r="H582" s="55">
        <v>46181</v>
      </c>
      <c r="I582" s="55"/>
      <c r="J582" s="50" t="str">
        <f t="shared" si="136"/>
        <v>Observação da despesa 580</v>
      </c>
      <c r="K582" s="43">
        <v>-5</v>
      </c>
      <c r="L582" s="43">
        <f t="shared" si="137"/>
        <v>610.66000000000054</v>
      </c>
      <c r="M582" s="183"/>
      <c r="N582" s="37" t="str">
        <f t="shared" si="138"/>
        <v>MCSOPF1CPF - Desp. Alimentação / Refeição</v>
      </c>
      <c r="O582" s="37" t="str">
        <f t="shared" si="139"/>
        <v>OPF1CPF - Desp. Alimentação / Refeição</v>
      </c>
      <c r="P582" s="37" t="str">
        <f t="shared" si="140"/>
        <v>MCSOPF1CPF - Desp. Alimentação / Refeição</v>
      </c>
      <c r="Q582" s="37" t="str">
        <f t="shared" si="141"/>
        <v>MCSOPF1</v>
      </c>
      <c r="R582" s="37" t="str">
        <f t="shared" si="142"/>
        <v>MCSOPF1</v>
      </c>
      <c r="S582" s="31"/>
      <c r="T582" s="185">
        <f t="shared" si="143"/>
        <v>46174</v>
      </c>
      <c r="U582" s="181">
        <v>580</v>
      </c>
    </row>
    <row r="583" spans="2:21" s="181" customFormat="1" x14ac:dyDescent="0.25">
      <c r="B583" s="182" t="s">
        <v>25</v>
      </c>
      <c r="C583" s="183"/>
      <c r="D583" s="54" t="str">
        <f>INDEX(Cad_Natureza!$B$3:$C$52,MATCH('2026'!F583,Cad_Natureza!$C$3:$C$52,0),MATCH('2026'!D$2,Cad_Natureza!$B$3:$C$3,0))</f>
        <v>OUG1</v>
      </c>
      <c r="E583" s="52" t="str">
        <f t="shared" si="135"/>
        <v>Despesa 581</v>
      </c>
      <c r="F583" s="53" t="s">
        <v>70</v>
      </c>
      <c r="G583" s="54" t="s">
        <v>25</v>
      </c>
      <c r="H583" s="55">
        <v>46181</v>
      </c>
      <c r="I583" s="55"/>
      <c r="J583" s="50" t="str">
        <f t="shared" si="136"/>
        <v>Observação da despesa 581</v>
      </c>
      <c r="K583" s="43">
        <v>-20</v>
      </c>
      <c r="L583" s="43">
        <f t="shared" si="137"/>
        <v>590.66000000000054</v>
      </c>
      <c r="M583" s="183"/>
      <c r="N583" s="37" t="str">
        <f t="shared" si="138"/>
        <v>MCSOUG1CPF - Outros gastos</v>
      </c>
      <c r="O583" s="37" t="str">
        <f t="shared" si="139"/>
        <v>OUG1CPF - Outros gastos</v>
      </c>
      <c r="P583" s="37" t="str">
        <f t="shared" si="140"/>
        <v>MCSOUG1CPF - Outros gastos</v>
      </c>
      <c r="Q583" s="37" t="str">
        <f t="shared" si="141"/>
        <v>MCSOUG1</v>
      </c>
      <c r="R583" s="37" t="str">
        <f t="shared" si="142"/>
        <v>MCSOUG1</v>
      </c>
      <c r="S583" s="31"/>
      <c r="T583" s="185">
        <f t="shared" si="143"/>
        <v>46174</v>
      </c>
      <c r="U583" s="181">
        <v>581</v>
      </c>
    </row>
    <row r="584" spans="2:21" s="181" customFormat="1" x14ac:dyDescent="0.25">
      <c r="B584" s="182" t="s">
        <v>25</v>
      </c>
      <c r="C584" s="183"/>
      <c r="D584" s="54" t="str">
        <f>INDEX(Cad_Natureza!$B$3:$C$52,MATCH('2026'!F584,Cad_Natureza!$C$3:$C$52,0),MATCH('2026'!D$2,Cad_Natureza!$B$3:$C$3,0))</f>
        <v>OPF1</v>
      </c>
      <c r="E584" s="52" t="str">
        <f t="shared" si="135"/>
        <v>Despesa 582</v>
      </c>
      <c r="F584" s="53" t="s">
        <v>67</v>
      </c>
      <c r="G584" s="54" t="s">
        <v>25</v>
      </c>
      <c r="H584" s="55">
        <v>46181</v>
      </c>
      <c r="I584" s="55"/>
      <c r="J584" s="50" t="str">
        <f t="shared" si="136"/>
        <v>Observação da despesa 582</v>
      </c>
      <c r="K584" s="43">
        <v>-31</v>
      </c>
      <c r="L584" s="43">
        <f t="shared" si="137"/>
        <v>559.66000000000054</v>
      </c>
      <c r="M584" s="183"/>
      <c r="N584" s="37" t="str">
        <f t="shared" si="138"/>
        <v>MCSOPF1CPF - Desp. Alimentação / Refeição</v>
      </c>
      <c r="O584" s="37" t="str">
        <f t="shared" si="139"/>
        <v>OPF1CPF - Desp. Alimentação / Refeição</v>
      </c>
      <c r="P584" s="37" t="str">
        <f t="shared" si="140"/>
        <v>MCSOPF1CPF - Desp. Alimentação / Refeição</v>
      </c>
      <c r="Q584" s="37" t="str">
        <f t="shared" si="141"/>
        <v>MCSOPF1</v>
      </c>
      <c r="R584" s="37" t="str">
        <f t="shared" si="142"/>
        <v>MCSOPF1</v>
      </c>
      <c r="S584" s="31"/>
      <c r="T584" s="185">
        <f t="shared" si="143"/>
        <v>46174</v>
      </c>
      <c r="U584" s="181">
        <v>582</v>
      </c>
    </row>
    <row r="585" spans="2:21" s="181" customFormat="1" x14ac:dyDescent="0.25">
      <c r="B585" s="182" t="s">
        <v>25</v>
      </c>
      <c r="C585" s="183"/>
      <c r="D585" s="54" t="str">
        <f>INDEX(Cad_Natureza!$B$3:$C$52,MATCH('2026'!F585,Cad_Natureza!$C$3:$C$52,0),MATCH('2026'!D$2,Cad_Natureza!$B$3:$C$3,0))</f>
        <v>PENS6</v>
      </c>
      <c r="E585" s="52" t="str">
        <f t="shared" si="135"/>
        <v>Despesa 583</v>
      </c>
      <c r="F585" s="53" t="s">
        <v>34</v>
      </c>
      <c r="G585" s="54" t="s">
        <v>25</v>
      </c>
      <c r="H585" s="55">
        <v>46181</v>
      </c>
      <c r="I585" s="55"/>
      <c r="J585" s="50" t="str">
        <f t="shared" si="136"/>
        <v>Observação da despesa 583</v>
      </c>
      <c r="K585" s="43">
        <v>-10.99</v>
      </c>
      <c r="L585" s="43">
        <f t="shared" si="137"/>
        <v>548.67000000000053</v>
      </c>
      <c r="M585" s="183"/>
      <c r="N585" s="37" t="str">
        <f t="shared" si="138"/>
        <v>MCSPENS6CPF - Pensão - Farmácia e Saúde</v>
      </c>
      <c r="O585" s="37" t="str">
        <f t="shared" si="139"/>
        <v>PENS6CPF - Pensão - Farmácia e Saúde</v>
      </c>
      <c r="P585" s="37" t="str">
        <f t="shared" si="140"/>
        <v>MCSPENS6CPF - Pensão - Farmácia e Saúde</v>
      </c>
      <c r="Q585" s="37" t="str">
        <f t="shared" si="141"/>
        <v>MCSPENS6</v>
      </c>
      <c r="R585" s="37" t="str">
        <f t="shared" si="142"/>
        <v>MCSPENS6</v>
      </c>
      <c r="S585" s="31"/>
      <c r="T585" s="185">
        <f t="shared" si="143"/>
        <v>46174</v>
      </c>
      <c r="U585" s="181">
        <v>583</v>
      </c>
    </row>
    <row r="586" spans="2:21" s="181" customFormat="1" x14ac:dyDescent="0.25">
      <c r="B586" s="182" t="s">
        <v>25</v>
      </c>
      <c r="C586" s="183"/>
      <c r="D586" s="54" t="str">
        <f>INDEX(Cad_Natureza!$B$3:$C$52,MATCH('2026'!F586,Cad_Natureza!$C$3:$C$52,0),MATCH('2026'!D$2,Cad_Natureza!$B$3:$C$3,0))</f>
        <v>GAST1</v>
      </c>
      <c r="E586" s="52" t="str">
        <f t="shared" si="135"/>
        <v>Despesa 584</v>
      </c>
      <c r="F586" s="53" t="s">
        <v>65</v>
      </c>
      <c r="G586" s="54" t="s">
        <v>25</v>
      </c>
      <c r="H586" s="55">
        <v>46181</v>
      </c>
      <c r="I586" s="55"/>
      <c r="J586" s="50" t="str">
        <f t="shared" si="136"/>
        <v>Observação da despesa 584</v>
      </c>
      <c r="K586" s="43">
        <v>-13</v>
      </c>
      <c r="L586" s="43">
        <f t="shared" si="137"/>
        <v>535.67000000000053</v>
      </c>
      <c r="M586" s="183"/>
      <c r="N586" s="37" t="str">
        <f t="shared" si="138"/>
        <v>MCSGAST1CPF - Desp. Lazer e Entretenimento - Bares</v>
      </c>
      <c r="O586" s="37" t="str">
        <f t="shared" si="139"/>
        <v>GAST1CPF - Desp. Lazer e Entretenimento - Bares</v>
      </c>
      <c r="P586" s="37" t="str">
        <f t="shared" si="140"/>
        <v>MCSGAST1CPF - Desp. Lazer e Entretenimento - Bares</v>
      </c>
      <c r="Q586" s="37" t="str">
        <f t="shared" si="141"/>
        <v>MCSGAST1</v>
      </c>
      <c r="R586" s="37" t="str">
        <f t="shared" si="142"/>
        <v>MCSGAST1</v>
      </c>
      <c r="S586" s="31"/>
      <c r="T586" s="185">
        <f t="shared" si="143"/>
        <v>46174</v>
      </c>
      <c r="U586" s="181">
        <v>584</v>
      </c>
    </row>
    <row r="587" spans="2:21" s="181" customFormat="1" x14ac:dyDescent="0.25">
      <c r="B587" s="182" t="s">
        <v>25</v>
      </c>
      <c r="C587" s="183"/>
      <c r="D587" s="54" t="str">
        <f>INDEX(Cad_Natureza!$B$3:$C$52,MATCH('2026'!F587,Cad_Natureza!$C$3:$C$52,0),MATCH('2026'!D$2,Cad_Natureza!$B$3:$C$3,0))</f>
        <v>DESP4</v>
      </c>
      <c r="E587" s="52" t="str">
        <f t="shared" si="135"/>
        <v>Despesa 585</v>
      </c>
      <c r="F587" s="53" t="s">
        <v>74</v>
      </c>
      <c r="G587" s="54" t="s">
        <v>25</v>
      </c>
      <c r="H587" s="55">
        <v>46181</v>
      </c>
      <c r="I587" s="55"/>
      <c r="J587" s="50" t="str">
        <f t="shared" si="136"/>
        <v>Observação da despesa 585</v>
      </c>
      <c r="K587" s="43">
        <v>-18</v>
      </c>
      <c r="L587" s="43">
        <f t="shared" si="137"/>
        <v>517.67000000000053</v>
      </c>
      <c r="M587" s="183"/>
      <c r="N587" s="37" t="str">
        <f t="shared" si="138"/>
        <v>MCSDESP4CPF - Desp. Moradia</v>
      </c>
      <c r="O587" s="37" t="str">
        <f t="shared" si="139"/>
        <v>DESP4CPF - Desp. Moradia</v>
      </c>
      <c r="P587" s="37" t="str">
        <f t="shared" si="140"/>
        <v>MCSDESP4CPF - Desp. Moradia</v>
      </c>
      <c r="Q587" s="37" t="str">
        <f t="shared" si="141"/>
        <v>MCSDESP4</v>
      </c>
      <c r="R587" s="37" t="str">
        <f t="shared" si="142"/>
        <v>MCSDESP4</v>
      </c>
      <c r="S587" s="31"/>
      <c r="T587" s="185">
        <f t="shared" si="143"/>
        <v>46174</v>
      </c>
      <c r="U587" s="181">
        <v>585</v>
      </c>
    </row>
    <row r="588" spans="2:21" s="181" customFormat="1" x14ac:dyDescent="0.25">
      <c r="B588" s="182" t="s">
        <v>25</v>
      </c>
      <c r="C588" s="183"/>
      <c r="D588" s="54" t="str">
        <f>INDEX(Cad_Natureza!$B$3:$C$52,MATCH('2026'!F588,Cad_Natureza!$C$3:$C$52,0),MATCH('2026'!D$2,Cad_Natureza!$B$3:$C$3,0))</f>
        <v>DESP4</v>
      </c>
      <c r="E588" s="52" t="str">
        <f t="shared" si="135"/>
        <v>Despesa 586</v>
      </c>
      <c r="F588" s="53" t="s">
        <v>74</v>
      </c>
      <c r="G588" s="54" t="s">
        <v>25</v>
      </c>
      <c r="H588" s="55">
        <v>46181</v>
      </c>
      <c r="I588" s="55"/>
      <c r="J588" s="50" t="str">
        <f t="shared" si="136"/>
        <v>Observação da despesa 586</v>
      </c>
      <c r="K588" s="43">
        <v>-45</v>
      </c>
      <c r="L588" s="43">
        <f t="shared" si="137"/>
        <v>472.67000000000053</v>
      </c>
      <c r="M588" s="183"/>
      <c r="N588" s="37" t="str">
        <f t="shared" si="138"/>
        <v>MCSDESP4CPF - Desp. Moradia</v>
      </c>
      <c r="O588" s="37" t="str">
        <f t="shared" si="139"/>
        <v>DESP4CPF - Desp. Moradia</v>
      </c>
      <c r="P588" s="37" t="str">
        <f t="shared" si="140"/>
        <v>MCSDESP4CPF - Desp. Moradia</v>
      </c>
      <c r="Q588" s="37" t="str">
        <f t="shared" si="141"/>
        <v>MCSDESP4</v>
      </c>
      <c r="R588" s="37" t="str">
        <f t="shared" si="142"/>
        <v>MCSDESP4</v>
      </c>
      <c r="S588" s="31"/>
      <c r="T588" s="185">
        <f t="shared" si="143"/>
        <v>46174</v>
      </c>
      <c r="U588" s="181">
        <v>586</v>
      </c>
    </row>
    <row r="589" spans="2:21" s="181" customFormat="1" x14ac:dyDescent="0.25">
      <c r="B589" s="182" t="s">
        <v>25</v>
      </c>
      <c r="C589" s="183"/>
      <c r="D589" s="54" t="str">
        <f>INDEX(Cad_Natureza!$B$3:$C$52,MATCH('2026'!F589,Cad_Natureza!$C$3:$C$52,0),MATCH('2026'!D$2,Cad_Natureza!$B$3:$C$3,0))</f>
        <v>DESP4</v>
      </c>
      <c r="E589" s="52" t="str">
        <f t="shared" si="135"/>
        <v>Despesa 587</v>
      </c>
      <c r="F589" s="53" t="s">
        <v>74</v>
      </c>
      <c r="G589" s="54" t="s">
        <v>25</v>
      </c>
      <c r="H589" s="55">
        <v>46181</v>
      </c>
      <c r="I589" s="55"/>
      <c r="J589" s="50" t="str">
        <f t="shared" si="136"/>
        <v>Observação da despesa 587</v>
      </c>
      <c r="K589" s="43">
        <v>-4</v>
      </c>
      <c r="L589" s="43">
        <f t="shared" si="137"/>
        <v>468.67000000000053</v>
      </c>
      <c r="M589" s="183"/>
      <c r="N589" s="37" t="str">
        <f t="shared" si="138"/>
        <v>MCSDESP4CPF - Desp. Moradia</v>
      </c>
      <c r="O589" s="37" t="str">
        <f t="shared" si="139"/>
        <v>DESP4CPF - Desp. Moradia</v>
      </c>
      <c r="P589" s="37" t="str">
        <f t="shared" si="140"/>
        <v>MCSDESP4CPF - Desp. Moradia</v>
      </c>
      <c r="Q589" s="37" t="str">
        <f t="shared" si="141"/>
        <v>MCSDESP4</v>
      </c>
      <c r="R589" s="37" t="str">
        <f t="shared" si="142"/>
        <v>MCSDESP4</v>
      </c>
      <c r="S589" s="31"/>
      <c r="T589" s="185">
        <f t="shared" si="143"/>
        <v>46174</v>
      </c>
      <c r="U589" s="181">
        <v>587</v>
      </c>
    </row>
    <row r="590" spans="2:21" s="181" customFormat="1" x14ac:dyDescent="0.25">
      <c r="B590" s="182" t="s">
        <v>25</v>
      </c>
      <c r="C590" s="183"/>
      <c r="D590" s="54" t="str">
        <f>INDEX(Cad_Natureza!$B$3:$C$52,MATCH('2026'!F590,Cad_Natureza!$C$3:$C$52,0),MATCH('2026'!D$2,Cad_Natureza!$B$3:$C$3,0))</f>
        <v>GAST1</v>
      </c>
      <c r="E590" s="52" t="str">
        <f t="shared" si="135"/>
        <v>Despesa 588</v>
      </c>
      <c r="F590" s="53" t="s">
        <v>65</v>
      </c>
      <c r="G590" s="54" t="s">
        <v>25</v>
      </c>
      <c r="H590" s="55">
        <v>46181</v>
      </c>
      <c r="I590" s="55"/>
      <c r="J590" s="50" t="str">
        <f t="shared" si="136"/>
        <v>Observação da despesa 588</v>
      </c>
      <c r="K590" s="43">
        <v>-6.5</v>
      </c>
      <c r="L590" s="43">
        <f t="shared" si="137"/>
        <v>462.17000000000053</v>
      </c>
      <c r="M590" s="183"/>
      <c r="N590" s="37" t="str">
        <f t="shared" si="138"/>
        <v>MCSGAST1CPF - Desp. Lazer e Entretenimento - Bares</v>
      </c>
      <c r="O590" s="37" t="str">
        <f t="shared" si="139"/>
        <v>GAST1CPF - Desp. Lazer e Entretenimento - Bares</v>
      </c>
      <c r="P590" s="37" t="str">
        <f t="shared" si="140"/>
        <v>MCSGAST1CPF - Desp. Lazer e Entretenimento - Bares</v>
      </c>
      <c r="Q590" s="37" t="str">
        <f t="shared" si="141"/>
        <v>MCSGAST1</v>
      </c>
      <c r="R590" s="37" t="str">
        <f t="shared" si="142"/>
        <v>MCSGAST1</v>
      </c>
      <c r="S590" s="31"/>
      <c r="T590" s="185">
        <f t="shared" si="143"/>
        <v>46174</v>
      </c>
      <c r="U590" s="181">
        <v>588</v>
      </c>
    </row>
    <row r="591" spans="2:21" s="181" customFormat="1" x14ac:dyDescent="0.25">
      <c r="B591" s="182" t="s">
        <v>25</v>
      </c>
      <c r="C591" s="183"/>
      <c r="D591" s="54" t="str">
        <f>INDEX(Cad_Natureza!$B$3:$C$52,MATCH('2026'!F591,Cad_Natureza!$C$3:$C$52,0),MATCH('2026'!D$2,Cad_Natureza!$B$3:$C$3,0))</f>
        <v>OPF2</v>
      </c>
      <c r="E591" s="52" t="str">
        <f t="shared" si="135"/>
        <v>Despesa 589</v>
      </c>
      <c r="F591" s="53" t="s">
        <v>64</v>
      </c>
      <c r="G591" s="54" t="s">
        <v>25</v>
      </c>
      <c r="H591" s="55">
        <v>46181</v>
      </c>
      <c r="I591" s="55"/>
      <c r="J591" s="50" t="str">
        <f t="shared" si="136"/>
        <v>Observação da despesa 589</v>
      </c>
      <c r="K591" s="43">
        <v>-80</v>
      </c>
      <c r="L591" s="43">
        <f t="shared" si="137"/>
        <v>382.17000000000053</v>
      </c>
      <c r="M591" s="183"/>
      <c r="N591" s="37" t="str">
        <f t="shared" si="138"/>
        <v>MCSOPF2CPF - Desp. Transporte / Combustível</v>
      </c>
      <c r="O591" s="37" t="str">
        <f t="shared" si="139"/>
        <v>OPF2CPF - Desp. Transporte / Combustível</v>
      </c>
      <c r="P591" s="37" t="str">
        <f t="shared" si="140"/>
        <v>MCSOPF2CPF - Desp. Transporte / Combustível</v>
      </c>
      <c r="Q591" s="37" t="str">
        <f t="shared" si="141"/>
        <v>MCSOPF2</v>
      </c>
      <c r="R591" s="37" t="str">
        <f t="shared" si="142"/>
        <v>MCSOPF2</v>
      </c>
      <c r="S591" s="31"/>
      <c r="T591" s="185">
        <f t="shared" si="143"/>
        <v>46174</v>
      </c>
      <c r="U591" s="181">
        <v>589</v>
      </c>
    </row>
    <row r="592" spans="2:21" s="181" customFormat="1" x14ac:dyDescent="0.25">
      <c r="B592" s="182" t="s">
        <v>25</v>
      </c>
      <c r="C592" s="183"/>
      <c r="D592" s="54" t="str">
        <f>INDEX(Cad_Natureza!$B$3:$C$52,MATCH('2026'!F592,Cad_Natureza!$C$3:$C$52,0),MATCH('2026'!D$2,Cad_Natureza!$B$3:$C$3,0))</f>
        <v>GAST1</v>
      </c>
      <c r="E592" s="52" t="str">
        <f t="shared" si="135"/>
        <v>Despesa 590</v>
      </c>
      <c r="F592" s="53" t="s">
        <v>65</v>
      </c>
      <c r="G592" s="54" t="s">
        <v>25</v>
      </c>
      <c r="H592" s="55">
        <v>46181</v>
      </c>
      <c r="I592" s="55"/>
      <c r="J592" s="50" t="str">
        <f t="shared" si="136"/>
        <v>Observação da despesa 590</v>
      </c>
      <c r="K592" s="43">
        <v>-26</v>
      </c>
      <c r="L592" s="43">
        <f t="shared" si="137"/>
        <v>356.17000000000053</v>
      </c>
      <c r="M592" s="183"/>
      <c r="N592" s="37" t="str">
        <f t="shared" si="138"/>
        <v>MCSGAST1CPF - Desp. Lazer e Entretenimento - Bares</v>
      </c>
      <c r="O592" s="37" t="str">
        <f t="shared" si="139"/>
        <v>GAST1CPF - Desp. Lazer e Entretenimento - Bares</v>
      </c>
      <c r="P592" s="37" t="str">
        <f t="shared" si="140"/>
        <v>MCSGAST1CPF - Desp. Lazer e Entretenimento - Bares</v>
      </c>
      <c r="Q592" s="37" t="str">
        <f t="shared" si="141"/>
        <v>MCSGAST1</v>
      </c>
      <c r="R592" s="37" t="str">
        <f t="shared" si="142"/>
        <v>MCSGAST1</v>
      </c>
      <c r="S592" s="31"/>
      <c r="T592" s="185">
        <f t="shared" si="143"/>
        <v>46174</v>
      </c>
      <c r="U592" s="181">
        <v>590</v>
      </c>
    </row>
    <row r="593" spans="2:21" s="177" customFormat="1" x14ac:dyDescent="0.25">
      <c r="B593" s="174" t="s">
        <v>25</v>
      </c>
      <c r="C593" s="51"/>
      <c r="D593" s="44" t="str">
        <f>INDEX(Cad_Natureza!$B$3:$C$52,MATCH('2026'!F593,Cad_Natureza!$C$3:$C$52,0),MATCH('2026'!D$2,Cad_Natureza!$B$3:$C$3,0))</f>
        <v>REC4</v>
      </c>
      <c r="E593" s="45" t="str">
        <f t="shared" si="135"/>
        <v>Receita 591</v>
      </c>
      <c r="F593" s="46" t="s">
        <v>57</v>
      </c>
      <c r="G593" s="44" t="s">
        <v>25</v>
      </c>
      <c r="H593" s="47">
        <v>46181</v>
      </c>
      <c r="I593" s="47"/>
      <c r="J593" s="48" t="str">
        <f t="shared" si="136"/>
        <v>Observação da receita 591</v>
      </c>
      <c r="K593" s="49">
        <v>1000</v>
      </c>
      <c r="L593" s="49">
        <f t="shared" si="137"/>
        <v>1356.1700000000005</v>
      </c>
      <c r="M593" s="51"/>
      <c r="N593" s="37" t="str">
        <f t="shared" si="138"/>
        <v>MCSREC4CPF - Transf. Da conta PJ para a conta PF</v>
      </c>
      <c r="O593" s="37" t="str">
        <f t="shared" si="139"/>
        <v>REC4CPF - Transf. Da conta PJ para a conta PF</v>
      </c>
      <c r="P593" s="37" t="str">
        <f t="shared" si="140"/>
        <v>MCSREC4CPF - Transf. Da conta PJ para a conta PF</v>
      </c>
      <c r="Q593" s="37" t="str">
        <f t="shared" si="141"/>
        <v>MCSREC4</v>
      </c>
      <c r="R593" s="37" t="str">
        <f t="shared" si="142"/>
        <v>MCSREC4</v>
      </c>
      <c r="S593" s="31"/>
      <c r="T593" s="176">
        <f t="shared" si="143"/>
        <v>46174</v>
      </c>
      <c r="U593" s="181">
        <v>591</v>
      </c>
    </row>
    <row r="594" spans="2:21" s="181" customFormat="1" x14ac:dyDescent="0.25">
      <c r="B594" s="182" t="s">
        <v>25</v>
      </c>
      <c r="C594" s="183"/>
      <c r="D594" s="54" t="str">
        <f>INDEX(Cad_Natureza!$B$3:$C$52,MATCH('2026'!F594,Cad_Natureza!$C$3:$C$52,0),MATCH('2026'!D$2,Cad_Natureza!$B$3:$C$3,0))</f>
        <v>GAST2</v>
      </c>
      <c r="E594" s="52" t="str">
        <f t="shared" si="135"/>
        <v>Despesa 592</v>
      </c>
      <c r="F594" s="53" t="s">
        <v>66</v>
      </c>
      <c r="G594" s="54" t="s">
        <v>25</v>
      </c>
      <c r="H594" s="55">
        <v>46181</v>
      </c>
      <c r="I594" s="55"/>
      <c r="J594" s="50" t="str">
        <f t="shared" si="136"/>
        <v>Observação da despesa 592</v>
      </c>
      <c r="K594" s="43">
        <v>-33</v>
      </c>
      <c r="L594" s="43">
        <f t="shared" si="137"/>
        <v>1323.1700000000005</v>
      </c>
      <c r="M594" s="183"/>
      <c r="N594" s="37" t="str">
        <f t="shared" si="138"/>
        <v>MCSGAST2CPF - Desp. Lazer e Entretenimento - Cigarro</v>
      </c>
      <c r="O594" s="37" t="str">
        <f t="shared" si="139"/>
        <v>GAST2CPF - Desp. Lazer e Entretenimento - Cigarro</v>
      </c>
      <c r="P594" s="37" t="str">
        <f t="shared" si="140"/>
        <v>MCSGAST2CPF - Desp. Lazer e Entretenimento - Cigarro</v>
      </c>
      <c r="Q594" s="37" t="str">
        <f t="shared" si="141"/>
        <v>MCSGAST2</v>
      </c>
      <c r="R594" s="37" t="str">
        <f t="shared" si="142"/>
        <v>MCSGAST2</v>
      </c>
      <c r="S594" s="31"/>
      <c r="T594" s="185">
        <f t="shared" si="143"/>
        <v>46174</v>
      </c>
      <c r="U594" s="181">
        <v>592</v>
      </c>
    </row>
    <row r="595" spans="2:21" s="181" customFormat="1" x14ac:dyDescent="0.25">
      <c r="B595" s="182" t="s">
        <v>25</v>
      </c>
      <c r="C595" s="183"/>
      <c r="D595" s="54" t="str">
        <f>INDEX(Cad_Natureza!$B$3:$C$52,MATCH('2026'!F595,Cad_Natureza!$C$3:$C$52,0),MATCH('2026'!D$2,Cad_Natureza!$B$3:$C$3,0))</f>
        <v>OPF1</v>
      </c>
      <c r="E595" s="52" t="str">
        <f t="shared" si="135"/>
        <v>Despesa 593</v>
      </c>
      <c r="F595" s="53" t="s">
        <v>67</v>
      </c>
      <c r="G595" s="54" t="s">
        <v>25</v>
      </c>
      <c r="H595" s="55">
        <v>46181</v>
      </c>
      <c r="I595" s="55"/>
      <c r="J595" s="50" t="str">
        <f t="shared" si="136"/>
        <v>Observação da despesa 593</v>
      </c>
      <c r="K595" s="43">
        <v>-24</v>
      </c>
      <c r="L595" s="43">
        <f t="shared" si="137"/>
        <v>1299.1700000000005</v>
      </c>
      <c r="M595" s="183"/>
      <c r="N595" s="37" t="str">
        <f t="shared" si="138"/>
        <v>MCSOPF1CPF - Desp. Alimentação / Refeição</v>
      </c>
      <c r="O595" s="37" t="str">
        <f t="shared" si="139"/>
        <v>OPF1CPF - Desp. Alimentação / Refeição</v>
      </c>
      <c r="P595" s="37" t="str">
        <f t="shared" si="140"/>
        <v>MCSOPF1CPF - Desp. Alimentação / Refeição</v>
      </c>
      <c r="Q595" s="37" t="str">
        <f t="shared" si="141"/>
        <v>MCSOPF1</v>
      </c>
      <c r="R595" s="37" t="str">
        <f t="shared" si="142"/>
        <v>MCSOPF1</v>
      </c>
      <c r="S595" s="31"/>
      <c r="T595" s="185">
        <f t="shared" si="143"/>
        <v>46174</v>
      </c>
      <c r="U595" s="181">
        <v>593</v>
      </c>
    </row>
    <row r="596" spans="2:21" s="181" customFormat="1" x14ac:dyDescent="0.25">
      <c r="B596" s="182" t="s">
        <v>25</v>
      </c>
      <c r="C596" s="183"/>
      <c r="D596" s="54" t="str">
        <f>INDEX(Cad_Natureza!$B$3:$C$52,MATCH('2026'!F596,Cad_Natureza!$C$3:$C$52,0),MATCH('2026'!D$2,Cad_Natureza!$B$3:$C$3,0))</f>
        <v>GAST2</v>
      </c>
      <c r="E596" s="52" t="str">
        <f t="shared" si="135"/>
        <v>Despesa 594</v>
      </c>
      <c r="F596" s="53" t="s">
        <v>66</v>
      </c>
      <c r="G596" s="54" t="s">
        <v>25</v>
      </c>
      <c r="H596" s="55">
        <v>46181</v>
      </c>
      <c r="I596" s="55"/>
      <c r="J596" s="50" t="str">
        <f t="shared" si="136"/>
        <v>Observação da despesa 594</v>
      </c>
      <c r="K596" s="43">
        <v>-35</v>
      </c>
      <c r="L596" s="43">
        <f t="shared" si="137"/>
        <v>1264.1700000000005</v>
      </c>
      <c r="M596" s="183"/>
      <c r="N596" s="37" t="str">
        <f t="shared" si="138"/>
        <v>MCSGAST2CPF - Desp. Lazer e Entretenimento - Cigarro</v>
      </c>
      <c r="O596" s="37" t="str">
        <f t="shared" si="139"/>
        <v>GAST2CPF - Desp. Lazer e Entretenimento - Cigarro</v>
      </c>
      <c r="P596" s="37" t="str">
        <f t="shared" si="140"/>
        <v>MCSGAST2CPF - Desp. Lazer e Entretenimento - Cigarro</v>
      </c>
      <c r="Q596" s="37" t="str">
        <f t="shared" si="141"/>
        <v>MCSGAST2</v>
      </c>
      <c r="R596" s="37" t="str">
        <f t="shared" si="142"/>
        <v>MCSGAST2</v>
      </c>
      <c r="S596" s="31"/>
      <c r="T596" s="185">
        <f t="shared" si="143"/>
        <v>46174</v>
      </c>
      <c r="U596" s="181">
        <v>594</v>
      </c>
    </row>
    <row r="597" spans="2:21" s="181" customFormat="1" x14ac:dyDescent="0.25">
      <c r="B597" s="182" t="s">
        <v>25</v>
      </c>
      <c r="C597" s="183"/>
      <c r="D597" s="54" t="str">
        <f>INDEX(Cad_Natureza!$B$3:$C$52,MATCH('2026'!F597,Cad_Natureza!$C$3:$C$52,0),MATCH('2026'!D$2,Cad_Natureza!$B$3:$C$3,0))</f>
        <v>GAST1</v>
      </c>
      <c r="E597" s="52" t="str">
        <f t="shared" si="135"/>
        <v>Despesa 595</v>
      </c>
      <c r="F597" s="53" t="s">
        <v>65</v>
      </c>
      <c r="G597" s="54" t="s">
        <v>25</v>
      </c>
      <c r="H597" s="55">
        <v>46181</v>
      </c>
      <c r="I597" s="55"/>
      <c r="J597" s="50" t="str">
        <f t="shared" si="136"/>
        <v>Observação da despesa 595</v>
      </c>
      <c r="K597" s="43">
        <v>-30</v>
      </c>
      <c r="L597" s="43">
        <f t="shared" si="137"/>
        <v>1234.1700000000005</v>
      </c>
      <c r="M597" s="183"/>
      <c r="N597" s="37" t="str">
        <f t="shared" si="138"/>
        <v>MCSGAST1CPF - Desp. Lazer e Entretenimento - Bares</v>
      </c>
      <c r="O597" s="37" t="str">
        <f t="shared" si="139"/>
        <v>GAST1CPF - Desp. Lazer e Entretenimento - Bares</v>
      </c>
      <c r="P597" s="37" t="str">
        <f t="shared" si="140"/>
        <v>MCSGAST1CPF - Desp. Lazer e Entretenimento - Bares</v>
      </c>
      <c r="Q597" s="37" t="str">
        <f t="shared" si="141"/>
        <v>MCSGAST1</v>
      </c>
      <c r="R597" s="37" t="str">
        <f t="shared" si="142"/>
        <v>MCSGAST1</v>
      </c>
      <c r="S597" s="31"/>
      <c r="T597" s="185">
        <f t="shared" si="143"/>
        <v>46174</v>
      </c>
      <c r="U597" s="181">
        <v>595</v>
      </c>
    </row>
    <row r="598" spans="2:21" s="181" customFormat="1" x14ac:dyDescent="0.25">
      <c r="B598" s="182" t="s">
        <v>25</v>
      </c>
      <c r="C598" s="183"/>
      <c r="D598" s="54" t="str">
        <f>INDEX(Cad_Natureza!$B$3:$C$52,MATCH('2026'!F598,Cad_Natureza!$C$3:$C$52,0),MATCH('2026'!D$2,Cad_Natureza!$B$3:$C$3,0))</f>
        <v>GAST1</v>
      </c>
      <c r="E598" s="52" t="str">
        <f t="shared" si="135"/>
        <v>Despesa 596</v>
      </c>
      <c r="F598" s="53" t="s">
        <v>65</v>
      </c>
      <c r="G598" s="54" t="s">
        <v>25</v>
      </c>
      <c r="H598" s="55">
        <v>46181</v>
      </c>
      <c r="I598" s="55"/>
      <c r="J598" s="50" t="str">
        <f t="shared" si="136"/>
        <v>Observação da despesa 596</v>
      </c>
      <c r="K598" s="43">
        <v>-12</v>
      </c>
      <c r="L598" s="43">
        <f t="shared" si="137"/>
        <v>1222.1700000000005</v>
      </c>
      <c r="M598" s="183"/>
      <c r="N598" s="37" t="str">
        <f t="shared" si="138"/>
        <v>MCSGAST1CPF - Desp. Lazer e Entretenimento - Bares</v>
      </c>
      <c r="O598" s="37" t="str">
        <f t="shared" si="139"/>
        <v>GAST1CPF - Desp. Lazer e Entretenimento - Bares</v>
      </c>
      <c r="P598" s="37" t="str">
        <f t="shared" si="140"/>
        <v>MCSGAST1CPF - Desp. Lazer e Entretenimento - Bares</v>
      </c>
      <c r="Q598" s="37" t="str">
        <f t="shared" si="141"/>
        <v>MCSGAST1</v>
      </c>
      <c r="R598" s="37" t="str">
        <f t="shared" si="142"/>
        <v>MCSGAST1</v>
      </c>
      <c r="S598" s="31"/>
      <c r="T598" s="185">
        <f t="shared" si="143"/>
        <v>46174</v>
      </c>
      <c r="U598" s="181">
        <v>596</v>
      </c>
    </row>
    <row r="599" spans="2:21" s="181" customFormat="1" x14ac:dyDescent="0.25">
      <c r="B599" s="182" t="s">
        <v>25</v>
      </c>
      <c r="C599" s="183"/>
      <c r="D599" s="54" t="str">
        <f>INDEX(Cad_Natureza!$B$3:$C$52,MATCH('2026'!F599,Cad_Natureza!$C$3:$C$52,0),MATCH('2026'!D$2,Cad_Natureza!$B$3:$C$3,0))</f>
        <v>OPF1</v>
      </c>
      <c r="E599" s="52" t="str">
        <f t="shared" si="135"/>
        <v>Despesa 597</v>
      </c>
      <c r="F599" s="53" t="s">
        <v>67</v>
      </c>
      <c r="G599" s="54" t="s">
        <v>25</v>
      </c>
      <c r="H599" s="55">
        <v>46181</v>
      </c>
      <c r="I599" s="55"/>
      <c r="J599" s="50" t="str">
        <f t="shared" si="136"/>
        <v>Observação da despesa 597</v>
      </c>
      <c r="K599" s="43">
        <v>-39</v>
      </c>
      <c r="L599" s="43">
        <f t="shared" si="137"/>
        <v>1183.1700000000005</v>
      </c>
      <c r="M599" s="183"/>
      <c r="N599" s="37" t="str">
        <f t="shared" si="138"/>
        <v>MCSOPF1CPF - Desp. Alimentação / Refeição</v>
      </c>
      <c r="O599" s="37" t="str">
        <f t="shared" si="139"/>
        <v>OPF1CPF - Desp. Alimentação / Refeição</v>
      </c>
      <c r="P599" s="37" t="str">
        <f t="shared" si="140"/>
        <v>MCSOPF1CPF - Desp. Alimentação / Refeição</v>
      </c>
      <c r="Q599" s="37" t="str">
        <f t="shared" si="141"/>
        <v>MCSOPF1</v>
      </c>
      <c r="R599" s="37" t="str">
        <f t="shared" si="142"/>
        <v>MCSOPF1</v>
      </c>
      <c r="S599" s="31"/>
      <c r="T599" s="185">
        <f t="shared" si="143"/>
        <v>46174</v>
      </c>
      <c r="U599" s="181">
        <v>597</v>
      </c>
    </row>
    <row r="600" spans="2:21" s="181" customFormat="1" x14ac:dyDescent="0.25">
      <c r="B600" s="182" t="s">
        <v>25</v>
      </c>
      <c r="C600" s="183"/>
      <c r="D600" s="54" t="str">
        <f>INDEX(Cad_Natureza!$B$3:$C$52,MATCH('2026'!F600,Cad_Natureza!$C$3:$C$52,0),MATCH('2026'!D$2,Cad_Natureza!$B$3:$C$3,0))</f>
        <v>DESP2</v>
      </c>
      <c r="E600" s="52" t="str">
        <f t="shared" si="135"/>
        <v>Despesa 598</v>
      </c>
      <c r="F600" s="53" t="s">
        <v>62</v>
      </c>
      <c r="G600" s="54" t="s">
        <v>25</v>
      </c>
      <c r="H600" s="55">
        <v>46181</v>
      </c>
      <c r="I600" s="55"/>
      <c r="J600" s="50" t="str">
        <f t="shared" si="136"/>
        <v>Observação da despesa 598</v>
      </c>
      <c r="K600" s="43">
        <v>-125.1</v>
      </c>
      <c r="L600" s="43">
        <f t="shared" si="137"/>
        <v>1058.0700000000006</v>
      </c>
      <c r="M600" s="183"/>
      <c r="N600" s="37" t="str">
        <f t="shared" si="138"/>
        <v>MCSDESP2CPF - Desp. Telefone / Internet</v>
      </c>
      <c r="O600" s="37" t="str">
        <f t="shared" si="139"/>
        <v>DESP2CPF - Desp. Telefone / Internet</v>
      </c>
      <c r="P600" s="37" t="str">
        <f t="shared" si="140"/>
        <v>MCSDESP2CPF - Desp. Telefone / Internet</v>
      </c>
      <c r="Q600" s="37" t="str">
        <f t="shared" si="141"/>
        <v>MCSDESP2</v>
      </c>
      <c r="R600" s="37" t="str">
        <f t="shared" si="142"/>
        <v>MCSDESP2</v>
      </c>
      <c r="S600" s="31"/>
      <c r="T600" s="185">
        <f t="shared" si="143"/>
        <v>46174</v>
      </c>
      <c r="U600" s="181">
        <v>598</v>
      </c>
    </row>
    <row r="601" spans="2:21" s="181" customFormat="1" x14ac:dyDescent="0.25">
      <c r="B601" s="182" t="s">
        <v>25</v>
      </c>
      <c r="C601" s="183"/>
      <c r="D601" s="54" t="str">
        <f>INDEX(Cad_Natureza!$B$3:$C$52,MATCH('2026'!F601,Cad_Natureza!$C$3:$C$52,0),MATCH('2026'!D$2,Cad_Natureza!$B$3:$C$3,0))</f>
        <v>OPF1</v>
      </c>
      <c r="E601" s="52" t="str">
        <f t="shared" si="135"/>
        <v>Despesa 599</v>
      </c>
      <c r="F601" s="53" t="s">
        <v>67</v>
      </c>
      <c r="G601" s="54" t="s">
        <v>25</v>
      </c>
      <c r="H601" s="55">
        <v>46182</v>
      </c>
      <c r="I601" s="55"/>
      <c r="J601" s="50" t="str">
        <f t="shared" si="136"/>
        <v>Observação da despesa 599</v>
      </c>
      <c r="K601" s="43">
        <v>-24</v>
      </c>
      <c r="L601" s="43">
        <f t="shared" si="137"/>
        <v>1034.0700000000006</v>
      </c>
      <c r="M601" s="183"/>
      <c r="N601" s="37" t="str">
        <f t="shared" si="0"/>
        <v>MCSOPF1CPF - Desp. Alimentação / Refeição</v>
      </c>
      <c r="O601" s="37" t="str">
        <f t="shared" si="1"/>
        <v>OPF1CPF - Desp. Alimentação / Refeição</v>
      </c>
      <c r="P601" s="37" t="str">
        <f t="shared" si="2"/>
        <v>MCSOPF1CPF - Desp. Alimentação / Refeição</v>
      </c>
      <c r="Q601" s="37" t="str">
        <f t="shared" si="3"/>
        <v>MCSOPF1</v>
      </c>
      <c r="R601" s="37" t="str">
        <f t="shared" si="4"/>
        <v>MCSOPF1</v>
      </c>
      <c r="S601" s="31"/>
      <c r="T601" s="185">
        <f t="shared" si="5"/>
        <v>46174</v>
      </c>
      <c r="U601" s="181">
        <v>599</v>
      </c>
    </row>
    <row r="602" spans="2:21" s="181" customFormat="1" x14ac:dyDescent="0.25">
      <c r="B602" s="182" t="s">
        <v>25</v>
      </c>
      <c r="C602" s="183"/>
      <c r="D602" s="54" t="str">
        <f>INDEX(Cad_Natureza!$B$3:$C$52,MATCH('2026'!F602,Cad_Natureza!$C$3:$C$52,0),MATCH('2026'!D$2,Cad_Natureza!$B$3:$C$3,0))</f>
        <v>GAST1</v>
      </c>
      <c r="E602" s="52" t="str">
        <f t="shared" si="135"/>
        <v>Despesa 600</v>
      </c>
      <c r="F602" s="53" t="s">
        <v>65</v>
      </c>
      <c r="G602" s="54" t="s">
        <v>25</v>
      </c>
      <c r="H602" s="55">
        <v>46182</v>
      </c>
      <c r="I602" s="55"/>
      <c r="J602" s="50" t="str">
        <f t="shared" si="136"/>
        <v>Observação da despesa 600</v>
      </c>
      <c r="K602" s="43">
        <v>-12</v>
      </c>
      <c r="L602" s="43">
        <f t="shared" si="137"/>
        <v>1022.0700000000006</v>
      </c>
      <c r="M602" s="183"/>
      <c r="N602" s="37" t="str">
        <f t="shared" si="0"/>
        <v>MCSGAST1CPF - Desp. Lazer e Entretenimento - Bares</v>
      </c>
      <c r="O602" s="37" t="str">
        <f t="shared" si="1"/>
        <v>GAST1CPF - Desp. Lazer e Entretenimento - Bares</v>
      </c>
      <c r="P602" s="37" t="str">
        <f t="shared" si="2"/>
        <v>MCSGAST1CPF - Desp. Lazer e Entretenimento - Bares</v>
      </c>
      <c r="Q602" s="37" t="str">
        <f t="shared" si="3"/>
        <v>MCSGAST1</v>
      </c>
      <c r="R602" s="37" t="str">
        <f t="shared" si="4"/>
        <v>MCSGAST1</v>
      </c>
      <c r="S602" s="31"/>
      <c r="T602" s="185">
        <f t="shared" si="5"/>
        <v>46174</v>
      </c>
      <c r="U602" s="181">
        <v>600</v>
      </c>
    </row>
    <row r="603" spans="2:21" s="181" customFormat="1" x14ac:dyDescent="0.25">
      <c r="B603" s="182" t="s">
        <v>25</v>
      </c>
      <c r="C603" s="183"/>
      <c r="D603" s="54" t="str">
        <f>INDEX(Cad_Natureza!$B$3:$C$52,MATCH('2026'!F603,Cad_Natureza!$C$3:$C$52,0),MATCH('2026'!D$2,Cad_Natureza!$B$3:$C$3,0))</f>
        <v>OPF1</v>
      </c>
      <c r="E603" s="52" t="str">
        <f t="shared" si="135"/>
        <v>Despesa 601</v>
      </c>
      <c r="F603" s="53" t="s">
        <v>67</v>
      </c>
      <c r="G603" s="54" t="s">
        <v>25</v>
      </c>
      <c r="H603" s="55">
        <v>46182</v>
      </c>
      <c r="I603" s="55"/>
      <c r="J603" s="50" t="str">
        <f t="shared" si="136"/>
        <v>Observação da despesa 601</v>
      </c>
      <c r="K603" s="43">
        <v>-27</v>
      </c>
      <c r="L603" s="43">
        <f t="shared" si="137"/>
        <v>995.07000000000062</v>
      </c>
      <c r="M603" s="183"/>
      <c r="N603" s="37" t="str">
        <f t="shared" si="0"/>
        <v>MCSOPF1CPF - Desp. Alimentação / Refeição</v>
      </c>
      <c r="O603" s="37" t="str">
        <f t="shared" si="1"/>
        <v>OPF1CPF - Desp. Alimentação / Refeição</v>
      </c>
      <c r="P603" s="37" t="str">
        <f t="shared" si="2"/>
        <v>MCSOPF1CPF - Desp. Alimentação / Refeição</v>
      </c>
      <c r="Q603" s="37" t="str">
        <f t="shared" si="3"/>
        <v>MCSOPF1</v>
      </c>
      <c r="R603" s="37" t="str">
        <f t="shared" si="4"/>
        <v>MCSOPF1</v>
      </c>
      <c r="S603" s="31"/>
      <c r="T603" s="185">
        <f t="shared" si="5"/>
        <v>46174</v>
      </c>
      <c r="U603" s="181">
        <v>601</v>
      </c>
    </row>
    <row r="604" spans="2:21" s="181" customFormat="1" x14ac:dyDescent="0.25">
      <c r="B604" s="182" t="s">
        <v>25</v>
      </c>
      <c r="C604" s="183"/>
      <c r="D604" s="54" t="str">
        <f>INDEX(Cad_Natureza!$B$3:$C$52,MATCH('2026'!F604,Cad_Natureza!$C$3:$C$52,0),MATCH('2026'!D$2,Cad_Natureza!$B$3:$C$3,0))</f>
        <v>FIN3</v>
      </c>
      <c r="E604" s="52" t="str">
        <f t="shared" si="135"/>
        <v>Despesa 602</v>
      </c>
      <c r="F604" s="53" t="s">
        <v>113</v>
      </c>
      <c r="G604" s="54" t="s">
        <v>25</v>
      </c>
      <c r="H604" s="55">
        <v>46183</v>
      </c>
      <c r="I604" s="55"/>
      <c r="J604" s="50" t="str">
        <f t="shared" si="136"/>
        <v>Observação da despesa 602</v>
      </c>
      <c r="K604" s="43">
        <v>-290.26</v>
      </c>
      <c r="L604" s="43">
        <f t="shared" si="137"/>
        <v>704.81000000000063</v>
      </c>
      <c r="M604" s="183"/>
      <c r="N604" s="37" t="str">
        <f t="shared" si="0"/>
        <v>MCSFIN3CPF - Desp. Financeiras - Empréstimos bancários</v>
      </c>
      <c r="O604" s="37" t="str">
        <f t="shared" si="1"/>
        <v>FIN3CPF - Desp. Financeiras - Empréstimos bancários</v>
      </c>
      <c r="P604" s="37" t="str">
        <f t="shared" si="2"/>
        <v>MCSFIN3CPF - Desp. Financeiras - Empréstimos bancários</v>
      </c>
      <c r="Q604" s="37" t="str">
        <f t="shared" si="3"/>
        <v>MCSFIN3</v>
      </c>
      <c r="R604" s="37" t="str">
        <f t="shared" si="4"/>
        <v>MCSFIN3</v>
      </c>
      <c r="S604" s="31"/>
      <c r="T604" s="185">
        <f t="shared" si="5"/>
        <v>46174</v>
      </c>
      <c r="U604" s="181">
        <v>602</v>
      </c>
    </row>
    <row r="605" spans="2:21" s="181" customFormat="1" x14ac:dyDescent="0.25">
      <c r="B605" s="182" t="s">
        <v>25</v>
      </c>
      <c r="C605" s="183"/>
      <c r="D605" s="54" t="str">
        <f>INDEX(Cad_Natureza!$B$3:$C$52,MATCH('2026'!F605,Cad_Natureza!$C$3:$C$52,0),MATCH('2026'!D$2,Cad_Natureza!$B$3:$C$3,0))</f>
        <v>FIN3</v>
      </c>
      <c r="E605" s="52" t="str">
        <f t="shared" si="135"/>
        <v>Despesa 603</v>
      </c>
      <c r="F605" s="53" t="s">
        <v>113</v>
      </c>
      <c r="G605" s="54" t="s">
        <v>25</v>
      </c>
      <c r="H605" s="55">
        <v>46183</v>
      </c>
      <c r="I605" s="55"/>
      <c r="J605" s="50" t="str">
        <f t="shared" si="136"/>
        <v>Observação da despesa 603</v>
      </c>
      <c r="K605" s="43">
        <v>-6.79</v>
      </c>
      <c r="L605" s="43">
        <f t="shared" si="137"/>
        <v>698.02000000000066</v>
      </c>
      <c r="M605" s="183"/>
      <c r="N605" s="37" t="str">
        <f t="shared" si="0"/>
        <v>MCSFIN3CPF - Desp. Financeiras - Empréstimos bancários</v>
      </c>
      <c r="O605" s="37" t="str">
        <f t="shared" si="1"/>
        <v>FIN3CPF - Desp. Financeiras - Empréstimos bancários</v>
      </c>
      <c r="P605" s="37" t="str">
        <f t="shared" si="2"/>
        <v>MCSFIN3CPF - Desp. Financeiras - Empréstimos bancários</v>
      </c>
      <c r="Q605" s="37" t="str">
        <f t="shared" si="3"/>
        <v>MCSFIN3</v>
      </c>
      <c r="R605" s="37" t="str">
        <f t="shared" si="4"/>
        <v>MCSFIN3</v>
      </c>
      <c r="S605" s="31"/>
      <c r="T605" s="185">
        <f t="shared" si="5"/>
        <v>46174</v>
      </c>
      <c r="U605" s="181">
        <v>603</v>
      </c>
    </row>
    <row r="606" spans="2:21" s="181" customFormat="1" x14ac:dyDescent="0.25">
      <c r="B606" s="182" t="s">
        <v>25</v>
      </c>
      <c r="C606" s="183"/>
      <c r="D606" s="54" t="str">
        <f>INDEX(Cad_Natureza!$B$3:$C$52,MATCH('2026'!F606,Cad_Natureza!$C$3:$C$52,0),MATCH('2026'!D$2,Cad_Natureza!$B$3:$C$3,0))</f>
        <v>OUG1</v>
      </c>
      <c r="E606" s="52" t="str">
        <f t="shared" si="135"/>
        <v>Despesa 604</v>
      </c>
      <c r="F606" s="53" t="s">
        <v>70</v>
      </c>
      <c r="G606" s="54" t="s">
        <v>25</v>
      </c>
      <c r="H606" s="55">
        <v>46183</v>
      </c>
      <c r="I606" s="55"/>
      <c r="J606" s="50" t="str">
        <f t="shared" si="136"/>
        <v>Observação da despesa 604</v>
      </c>
      <c r="K606" s="43">
        <v>-48.39</v>
      </c>
      <c r="L606" s="43">
        <f t="shared" si="137"/>
        <v>649.63000000000068</v>
      </c>
      <c r="M606" s="183"/>
      <c r="N606" s="37" t="str">
        <f t="shared" si="0"/>
        <v>MCSOUG1CPF - Outros gastos</v>
      </c>
      <c r="O606" s="37" t="str">
        <f t="shared" si="1"/>
        <v>OUG1CPF - Outros gastos</v>
      </c>
      <c r="P606" s="37" t="str">
        <f t="shared" si="2"/>
        <v>MCSOUG1CPF - Outros gastos</v>
      </c>
      <c r="Q606" s="37" t="str">
        <f t="shared" si="3"/>
        <v>MCSOUG1</v>
      </c>
      <c r="R606" s="37" t="str">
        <f t="shared" si="4"/>
        <v>MCSOUG1</v>
      </c>
      <c r="S606" s="31"/>
      <c r="T606" s="185">
        <f t="shared" si="5"/>
        <v>46174</v>
      </c>
      <c r="U606" s="181">
        <v>604</v>
      </c>
    </row>
    <row r="607" spans="2:21" s="181" customFormat="1" x14ac:dyDescent="0.25">
      <c r="B607" s="182" t="s">
        <v>25</v>
      </c>
      <c r="C607" s="183"/>
      <c r="D607" s="54" t="str">
        <f>INDEX(Cad_Natureza!$B$3:$C$52,MATCH('2026'!F607,Cad_Natureza!$C$3:$C$52,0),MATCH('2026'!D$2,Cad_Natureza!$B$3:$C$3,0))</f>
        <v>DESP1</v>
      </c>
      <c r="E607" s="52" t="str">
        <f t="shared" si="135"/>
        <v>Despesa 605</v>
      </c>
      <c r="F607" s="53" t="s">
        <v>56</v>
      </c>
      <c r="G607" s="54" t="s">
        <v>25</v>
      </c>
      <c r="H607" s="55">
        <v>46183</v>
      </c>
      <c r="I607" s="55"/>
      <c r="J607" s="50" t="str">
        <f t="shared" si="136"/>
        <v>Observação da despesa 605</v>
      </c>
      <c r="K607" s="43">
        <v>-6.13</v>
      </c>
      <c r="L607" s="43">
        <f t="shared" si="137"/>
        <v>643.50000000000068</v>
      </c>
      <c r="M607" s="183"/>
      <c r="N607" s="37" t="str">
        <f t="shared" si="0"/>
        <v>MCSDESP1CPF - Desp. Cartão de crédito</v>
      </c>
      <c r="O607" s="37" t="str">
        <f t="shared" si="1"/>
        <v>DESP1CPF - Desp. Cartão de crédito</v>
      </c>
      <c r="P607" s="37" t="str">
        <f t="shared" si="2"/>
        <v>MCSDESP1CPF - Desp. Cartão de crédito</v>
      </c>
      <c r="Q607" s="37" t="str">
        <f t="shared" si="3"/>
        <v>MCSDESP1</v>
      </c>
      <c r="R607" s="37" t="str">
        <f t="shared" si="4"/>
        <v>MCSDESP1</v>
      </c>
      <c r="S607" s="31"/>
      <c r="T607" s="185">
        <f t="shared" si="5"/>
        <v>46174</v>
      </c>
      <c r="U607" s="181">
        <v>605</v>
      </c>
    </row>
    <row r="608" spans="2:21" s="181" customFormat="1" x14ac:dyDescent="0.25">
      <c r="B608" s="182" t="s">
        <v>25</v>
      </c>
      <c r="C608" s="183"/>
      <c r="D608" s="54" t="str">
        <f>INDEX(Cad_Natureza!$B$3:$C$52,MATCH('2026'!F608,Cad_Natureza!$C$3:$C$52,0),MATCH('2026'!D$2,Cad_Natureza!$B$3:$C$3,0))</f>
        <v>OPF1</v>
      </c>
      <c r="E608" s="52" t="str">
        <f t="shared" si="135"/>
        <v>Despesa 606</v>
      </c>
      <c r="F608" s="53" t="s">
        <v>67</v>
      </c>
      <c r="G608" s="54" t="s">
        <v>25</v>
      </c>
      <c r="H608" s="55">
        <v>46183</v>
      </c>
      <c r="I608" s="55"/>
      <c r="J608" s="50" t="str">
        <f t="shared" si="136"/>
        <v>Observação da despesa 606</v>
      </c>
      <c r="K608" s="43">
        <v>-24</v>
      </c>
      <c r="L608" s="43">
        <f t="shared" si="137"/>
        <v>619.50000000000068</v>
      </c>
      <c r="M608" s="183"/>
      <c r="N608" s="37" t="str">
        <f t="shared" si="0"/>
        <v>MCSOPF1CPF - Desp. Alimentação / Refeição</v>
      </c>
      <c r="O608" s="37" t="str">
        <f t="shared" si="1"/>
        <v>OPF1CPF - Desp. Alimentação / Refeição</v>
      </c>
      <c r="P608" s="37" t="str">
        <f t="shared" si="2"/>
        <v>MCSOPF1CPF - Desp. Alimentação / Refeição</v>
      </c>
      <c r="Q608" s="37" t="str">
        <f t="shared" si="3"/>
        <v>MCSOPF1</v>
      </c>
      <c r="R608" s="37" t="str">
        <f t="shared" si="4"/>
        <v>MCSOPF1</v>
      </c>
      <c r="S608" s="31"/>
      <c r="T608" s="185">
        <f t="shared" si="5"/>
        <v>46174</v>
      </c>
      <c r="U608" s="181">
        <v>606</v>
      </c>
    </row>
    <row r="609" spans="2:21" s="181" customFormat="1" x14ac:dyDescent="0.25">
      <c r="B609" s="182" t="s">
        <v>25</v>
      </c>
      <c r="C609" s="183"/>
      <c r="D609" s="54" t="str">
        <f>INDEX(Cad_Natureza!$B$3:$C$52,MATCH('2026'!F609,Cad_Natureza!$C$3:$C$52,0),MATCH('2026'!D$2,Cad_Natureza!$B$3:$C$3,0))</f>
        <v>GAST1</v>
      </c>
      <c r="E609" s="52" t="str">
        <f t="shared" si="135"/>
        <v>Despesa 607</v>
      </c>
      <c r="F609" s="53" t="s">
        <v>65</v>
      </c>
      <c r="G609" s="54" t="s">
        <v>25</v>
      </c>
      <c r="H609" s="55">
        <v>46183</v>
      </c>
      <c r="I609" s="55"/>
      <c r="J609" s="50" t="str">
        <f t="shared" si="136"/>
        <v>Observação da despesa 607</v>
      </c>
      <c r="K609" s="43">
        <v>-28</v>
      </c>
      <c r="L609" s="43">
        <f t="shared" si="137"/>
        <v>591.50000000000068</v>
      </c>
      <c r="M609" s="183"/>
      <c r="N609" s="37" t="str">
        <f t="shared" si="0"/>
        <v>MCSGAST1CPF - Desp. Lazer e Entretenimento - Bares</v>
      </c>
      <c r="O609" s="37" t="str">
        <f t="shared" si="1"/>
        <v>GAST1CPF - Desp. Lazer e Entretenimento - Bares</v>
      </c>
      <c r="P609" s="37" t="str">
        <f t="shared" si="2"/>
        <v>MCSGAST1CPF - Desp. Lazer e Entretenimento - Bares</v>
      </c>
      <c r="Q609" s="37" t="str">
        <f t="shared" si="3"/>
        <v>MCSGAST1</v>
      </c>
      <c r="R609" s="37" t="str">
        <f t="shared" si="4"/>
        <v>MCSGAST1</v>
      </c>
      <c r="S609" s="31"/>
      <c r="T609" s="185">
        <f t="shared" si="5"/>
        <v>46174</v>
      </c>
      <c r="U609" s="181">
        <v>607</v>
      </c>
    </row>
    <row r="610" spans="2:21" s="181" customFormat="1" x14ac:dyDescent="0.25">
      <c r="B610" s="182" t="s">
        <v>25</v>
      </c>
      <c r="C610" s="183"/>
      <c r="D610" s="54" t="str">
        <f>INDEX(Cad_Natureza!$B$3:$C$52,MATCH('2026'!F610,Cad_Natureza!$C$3:$C$52,0),MATCH('2026'!D$2,Cad_Natureza!$B$3:$C$3,0))</f>
        <v>OPF1</v>
      </c>
      <c r="E610" s="52" t="str">
        <f t="shared" si="135"/>
        <v>Despesa 608</v>
      </c>
      <c r="F610" s="53" t="s">
        <v>67</v>
      </c>
      <c r="G610" s="54" t="s">
        <v>25</v>
      </c>
      <c r="H610" s="55">
        <v>46183</v>
      </c>
      <c r="I610" s="55"/>
      <c r="J610" s="50" t="str">
        <f t="shared" si="136"/>
        <v>Observação da despesa 608</v>
      </c>
      <c r="K610" s="43">
        <v>-34</v>
      </c>
      <c r="L610" s="43">
        <f t="shared" si="137"/>
        <v>557.50000000000068</v>
      </c>
      <c r="M610" s="183"/>
      <c r="N610" s="37" t="str">
        <f t="shared" si="0"/>
        <v>MCSOPF1CPF - Desp. Alimentação / Refeição</v>
      </c>
      <c r="O610" s="37" t="str">
        <f t="shared" si="1"/>
        <v>OPF1CPF - Desp. Alimentação / Refeição</v>
      </c>
      <c r="P610" s="37" t="str">
        <f t="shared" si="2"/>
        <v>MCSOPF1CPF - Desp. Alimentação / Refeição</v>
      </c>
      <c r="Q610" s="37" t="str">
        <f t="shared" si="3"/>
        <v>MCSOPF1</v>
      </c>
      <c r="R610" s="37" t="str">
        <f t="shared" si="4"/>
        <v>MCSOPF1</v>
      </c>
      <c r="S610" s="31"/>
      <c r="T610" s="185">
        <f t="shared" si="5"/>
        <v>46174</v>
      </c>
      <c r="U610" s="181">
        <v>608</v>
      </c>
    </row>
    <row r="611" spans="2:21" s="181" customFormat="1" x14ac:dyDescent="0.25">
      <c r="B611" s="182" t="s">
        <v>25</v>
      </c>
      <c r="C611" s="183"/>
      <c r="D611" s="54" t="str">
        <f>INDEX(Cad_Natureza!$B$3:$C$52,MATCH('2026'!F611,Cad_Natureza!$C$3:$C$52,0),MATCH('2026'!D$2,Cad_Natureza!$B$3:$C$3,0))</f>
        <v>GAST1</v>
      </c>
      <c r="E611" s="52" t="str">
        <f t="shared" si="135"/>
        <v>Despesa 609</v>
      </c>
      <c r="F611" s="53" t="s">
        <v>65</v>
      </c>
      <c r="G611" s="54" t="s">
        <v>25</v>
      </c>
      <c r="H611" s="55">
        <v>46184</v>
      </c>
      <c r="I611" s="55"/>
      <c r="J611" s="50" t="str">
        <f t="shared" si="136"/>
        <v>Observação da despesa 609</v>
      </c>
      <c r="K611" s="43">
        <v>-47</v>
      </c>
      <c r="L611" s="43">
        <f t="shared" si="137"/>
        <v>510.50000000000068</v>
      </c>
      <c r="M611" s="183"/>
      <c r="N611" s="37" t="str">
        <f t="shared" si="0"/>
        <v>MCSGAST1CPF - Desp. Lazer e Entretenimento - Bares</v>
      </c>
      <c r="O611" s="37" t="str">
        <f t="shared" si="1"/>
        <v>GAST1CPF - Desp. Lazer e Entretenimento - Bares</v>
      </c>
      <c r="P611" s="37" t="str">
        <f t="shared" si="2"/>
        <v>MCSGAST1CPF - Desp. Lazer e Entretenimento - Bares</v>
      </c>
      <c r="Q611" s="37" t="str">
        <f t="shared" si="3"/>
        <v>MCSGAST1</v>
      </c>
      <c r="R611" s="37" t="str">
        <f t="shared" si="4"/>
        <v>MCSGAST1</v>
      </c>
      <c r="S611" s="31"/>
      <c r="T611" s="185">
        <f t="shared" si="5"/>
        <v>46174</v>
      </c>
      <c r="U611" s="181">
        <v>609</v>
      </c>
    </row>
    <row r="612" spans="2:21" s="181" customFormat="1" x14ac:dyDescent="0.25">
      <c r="B612" s="182" t="s">
        <v>25</v>
      </c>
      <c r="C612" s="183"/>
      <c r="D612" s="54" t="str">
        <f>INDEX(Cad_Natureza!$B$3:$C$52,MATCH('2026'!F612,Cad_Natureza!$C$3:$C$52,0),MATCH('2026'!D$2,Cad_Natureza!$B$3:$C$3,0))</f>
        <v>OPF1</v>
      </c>
      <c r="E612" s="52" t="str">
        <f t="shared" si="135"/>
        <v>Despesa 610</v>
      </c>
      <c r="F612" s="53" t="s">
        <v>67</v>
      </c>
      <c r="G612" s="54" t="s">
        <v>25</v>
      </c>
      <c r="H612" s="55">
        <v>46184</v>
      </c>
      <c r="I612" s="55"/>
      <c r="J612" s="50" t="str">
        <f t="shared" si="136"/>
        <v>Observação da despesa 610</v>
      </c>
      <c r="K612" s="43">
        <v>-24</v>
      </c>
      <c r="L612" s="43">
        <f t="shared" si="137"/>
        <v>486.50000000000068</v>
      </c>
      <c r="M612" s="183"/>
      <c r="N612" s="37" t="str">
        <f t="shared" si="0"/>
        <v>MCSOPF1CPF - Desp. Alimentação / Refeição</v>
      </c>
      <c r="O612" s="37" t="str">
        <f t="shared" si="1"/>
        <v>OPF1CPF - Desp. Alimentação / Refeição</v>
      </c>
      <c r="P612" s="37" t="str">
        <f t="shared" si="2"/>
        <v>MCSOPF1CPF - Desp. Alimentação / Refeição</v>
      </c>
      <c r="Q612" s="37" t="str">
        <f t="shared" si="3"/>
        <v>MCSOPF1</v>
      </c>
      <c r="R612" s="37" t="str">
        <f t="shared" si="4"/>
        <v>MCSOPF1</v>
      </c>
      <c r="S612" s="31"/>
      <c r="T612" s="185">
        <f t="shared" si="5"/>
        <v>46174</v>
      </c>
      <c r="U612" s="181">
        <v>610</v>
      </c>
    </row>
    <row r="613" spans="2:21" s="181" customFormat="1" x14ac:dyDescent="0.25">
      <c r="B613" s="182" t="s">
        <v>25</v>
      </c>
      <c r="C613" s="183"/>
      <c r="D613" s="54" t="str">
        <f>INDEX(Cad_Natureza!$B$3:$C$52,MATCH('2026'!F613,Cad_Natureza!$C$3:$C$52,0),MATCH('2026'!D$2,Cad_Natureza!$B$3:$C$3,0))</f>
        <v>OPF1</v>
      </c>
      <c r="E613" s="52" t="str">
        <f t="shared" si="135"/>
        <v>Despesa 611</v>
      </c>
      <c r="F613" s="53" t="s">
        <v>67</v>
      </c>
      <c r="G613" s="54" t="s">
        <v>25</v>
      </c>
      <c r="H613" s="55">
        <v>46184</v>
      </c>
      <c r="I613" s="55"/>
      <c r="J613" s="50" t="str">
        <f t="shared" si="136"/>
        <v>Observação da despesa 611</v>
      </c>
      <c r="K613" s="43">
        <v>-20</v>
      </c>
      <c r="L613" s="43">
        <f t="shared" si="137"/>
        <v>466.50000000000068</v>
      </c>
      <c r="M613" s="183"/>
      <c r="N613" s="37" t="str">
        <f t="shared" si="0"/>
        <v>MCSOPF1CPF - Desp. Alimentação / Refeição</v>
      </c>
      <c r="O613" s="37" t="str">
        <f t="shared" si="1"/>
        <v>OPF1CPF - Desp. Alimentação / Refeição</v>
      </c>
      <c r="P613" s="37" t="str">
        <f t="shared" si="2"/>
        <v>MCSOPF1CPF - Desp. Alimentação / Refeição</v>
      </c>
      <c r="Q613" s="37" t="str">
        <f t="shared" si="3"/>
        <v>MCSOPF1</v>
      </c>
      <c r="R613" s="37" t="str">
        <f t="shared" si="4"/>
        <v>MCSOPF1</v>
      </c>
      <c r="S613" s="31"/>
      <c r="T613" s="185">
        <f t="shared" si="5"/>
        <v>46174</v>
      </c>
      <c r="U613" s="181">
        <v>611</v>
      </c>
    </row>
    <row r="614" spans="2:21" s="181" customFormat="1" x14ac:dyDescent="0.25">
      <c r="B614" s="182" t="s">
        <v>25</v>
      </c>
      <c r="C614" s="183"/>
      <c r="D614" s="54" t="str">
        <f>INDEX(Cad_Natureza!$B$3:$C$52,MATCH('2026'!F614,Cad_Natureza!$C$3:$C$52,0),MATCH('2026'!D$2,Cad_Natureza!$B$3:$C$3,0))</f>
        <v>OPF2</v>
      </c>
      <c r="E614" s="52" t="str">
        <f t="shared" si="135"/>
        <v>Despesa 612</v>
      </c>
      <c r="F614" s="53" t="s">
        <v>64</v>
      </c>
      <c r="G614" s="54" t="s">
        <v>25</v>
      </c>
      <c r="H614" s="55">
        <v>46184</v>
      </c>
      <c r="I614" s="55"/>
      <c r="J614" s="50" t="str">
        <f t="shared" si="136"/>
        <v>Observação da despesa 612</v>
      </c>
      <c r="K614" s="43">
        <v>-80</v>
      </c>
      <c r="L614" s="43">
        <f t="shared" si="137"/>
        <v>386.50000000000068</v>
      </c>
      <c r="M614" s="183"/>
      <c r="N614" s="37" t="str">
        <f t="shared" si="0"/>
        <v>MCSOPF2CPF - Desp. Transporte / Combustível</v>
      </c>
      <c r="O614" s="37" t="str">
        <f t="shared" si="1"/>
        <v>OPF2CPF - Desp. Transporte / Combustível</v>
      </c>
      <c r="P614" s="37" t="str">
        <f t="shared" si="2"/>
        <v>MCSOPF2CPF - Desp. Transporte / Combustível</v>
      </c>
      <c r="Q614" s="37" t="str">
        <f t="shared" si="3"/>
        <v>MCSOPF2</v>
      </c>
      <c r="R614" s="37" t="str">
        <f t="shared" si="4"/>
        <v>MCSOPF2</v>
      </c>
      <c r="S614" s="31"/>
      <c r="T614" s="185">
        <f t="shared" si="5"/>
        <v>46174</v>
      </c>
      <c r="U614" s="181">
        <v>612</v>
      </c>
    </row>
    <row r="615" spans="2:21" s="181" customFormat="1" x14ac:dyDescent="0.25">
      <c r="B615" s="182" t="s">
        <v>25</v>
      </c>
      <c r="C615" s="183"/>
      <c r="D615" s="54" t="str">
        <f>INDEX(Cad_Natureza!$B$3:$C$52,MATCH('2026'!F615,Cad_Natureza!$C$3:$C$52,0),MATCH('2026'!D$2,Cad_Natureza!$B$3:$C$3,0))</f>
        <v>OPF1</v>
      </c>
      <c r="E615" s="52" t="str">
        <f t="shared" si="135"/>
        <v>Despesa 613</v>
      </c>
      <c r="F615" s="53" t="s">
        <v>67</v>
      </c>
      <c r="G615" s="54" t="s">
        <v>25</v>
      </c>
      <c r="H615" s="55">
        <v>46185</v>
      </c>
      <c r="I615" s="55"/>
      <c r="J615" s="50" t="str">
        <f t="shared" si="136"/>
        <v>Observação da despesa 613</v>
      </c>
      <c r="K615" s="43">
        <v>-24</v>
      </c>
      <c r="L615" s="43">
        <f t="shared" si="137"/>
        <v>362.50000000000068</v>
      </c>
      <c r="M615" s="183"/>
      <c r="N615" s="37" t="str">
        <f t="shared" si="0"/>
        <v>MCSOPF1CPF - Desp. Alimentação / Refeição</v>
      </c>
      <c r="O615" s="37" t="str">
        <f t="shared" si="1"/>
        <v>OPF1CPF - Desp. Alimentação / Refeição</v>
      </c>
      <c r="P615" s="37" t="str">
        <f t="shared" si="2"/>
        <v>MCSOPF1CPF - Desp. Alimentação / Refeição</v>
      </c>
      <c r="Q615" s="37" t="str">
        <f t="shared" si="3"/>
        <v>MCSOPF1</v>
      </c>
      <c r="R615" s="37" t="str">
        <f t="shared" si="4"/>
        <v>MCSOPF1</v>
      </c>
      <c r="S615" s="31"/>
      <c r="T615" s="185">
        <f t="shared" si="5"/>
        <v>46174</v>
      </c>
      <c r="U615" s="181">
        <v>613</v>
      </c>
    </row>
    <row r="616" spans="2:21" s="181" customFormat="1" x14ac:dyDescent="0.25">
      <c r="B616" s="182" t="s">
        <v>25</v>
      </c>
      <c r="C616" s="183"/>
      <c r="D616" s="54" t="str">
        <f>INDEX(Cad_Natureza!$B$3:$C$52,MATCH('2026'!F616,Cad_Natureza!$C$3:$C$52,0),MATCH('2026'!D$2,Cad_Natureza!$B$3:$C$3,0))</f>
        <v>OPF1</v>
      </c>
      <c r="E616" s="52" t="str">
        <f t="shared" si="135"/>
        <v>Despesa 614</v>
      </c>
      <c r="F616" s="53" t="s">
        <v>67</v>
      </c>
      <c r="G616" s="54" t="s">
        <v>25</v>
      </c>
      <c r="H616" s="55">
        <v>46185</v>
      </c>
      <c r="I616" s="55"/>
      <c r="J616" s="50" t="str">
        <f t="shared" si="136"/>
        <v>Observação da despesa 614</v>
      </c>
      <c r="K616" s="43">
        <v>-11</v>
      </c>
      <c r="L616" s="43">
        <f t="shared" si="137"/>
        <v>351.50000000000068</v>
      </c>
      <c r="M616" s="183"/>
      <c r="N616" s="37" t="str">
        <f t="shared" si="0"/>
        <v>MCSOPF1CPF - Desp. Alimentação / Refeição</v>
      </c>
      <c r="O616" s="37" t="str">
        <f t="shared" si="1"/>
        <v>OPF1CPF - Desp. Alimentação / Refeição</v>
      </c>
      <c r="P616" s="37" t="str">
        <f t="shared" si="2"/>
        <v>MCSOPF1CPF - Desp. Alimentação / Refeição</v>
      </c>
      <c r="Q616" s="37" t="str">
        <f t="shared" si="3"/>
        <v>MCSOPF1</v>
      </c>
      <c r="R616" s="37" t="str">
        <f t="shared" si="4"/>
        <v>MCSOPF1</v>
      </c>
      <c r="S616" s="31"/>
      <c r="T616" s="185">
        <f t="shared" si="5"/>
        <v>46174</v>
      </c>
      <c r="U616" s="181">
        <v>614</v>
      </c>
    </row>
    <row r="617" spans="2:21" s="181" customFormat="1" x14ac:dyDescent="0.25">
      <c r="B617" s="182" t="s">
        <v>25</v>
      </c>
      <c r="C617" s="183"/>
      <c r="D617" s="54" t="str">
        <f>INDEX(Cad_Natureza!$B$3:$C$52,MATCH('2026'!F617,Cad_Natureza!$C$3:$C$52,0),MATCH('2026'!D$2,Cad_Natureza!$B$3:$C$3,0))</f>
        <v>GAST1</v>
      </c>
      <c r="E617" s="52" t="str">
        <f t="shared" si="135"/>
        <v>Despesa 615</v>
      </c>
      <c r="F617" s="53" t="s">
        <v>65</v>
      </c>
      <c r="G617" s="54" t="s">
        <v>25</v>
      </c>
      <c r="H617" s="55">
        <v>46188</v>
      </c>
      <c r="I617" s="55"/>
      <c r="J617" s="50" t="str">
        <f t="shared" si="136"/>
        <v>Observação da despesa 615</v>
      </c>
      <c r="K617" s="43">
        <v>-72</v>
      </c>
      <c r="L617" s="43">
        <f t="shared" si="137"/>
        <v>279.50000000000068</v>
      </c>
      <c r="M617" s="183"/>
      <c r="N617" s="37" t="str">
        <f t="shared" si="0"/>
        <v>MCSGAST1CPF - Desp. Lazer e Entretenimento - Bares</v>
      </c>
      <c r="O617" s="37" t="str">
        <f t="shared" si="1"/>
        <v>GAST1CPF - Desp. Lazer e Entretenimento - Bares</v>
      </c>
      <c r="P617" s="37" t="str">
        <f t="shared" si="2"/>
        <v>MCSGAST1CPF - Desp. Lazer e Entretenimento - Bares</v>
      </c>
      <c r="Q617" s="37" t="str">
        <f t="shared" si="3"/>
        <v>MCSGAST1</v>
      </c>
      <c r="R617" s="37" t="str">
        <f t="shared" si="4"/>
        <v>MCSGAST1</v>
      </c>
      <c r="S617" s="31"/>
      <c r="T617" s="185">
        <f t="shared" si="5"/>
        <v>46174</v>
      </c>
      <c r="U617" s="181">
        <v>615</v>
      </c>
    </row>
    <row r="618" spans="2:21" s="181" customFormat="1" x14ac:dyDescent="0.25">
      <c r="B618" s="182" t="s">
        <v>25</v>
      </c>
      <c r="C618" s="183"/>
      <c r="D618" s="54" t="str">
        <f>INDEX(Cad_Natureza!$B$3:$C$52,MATCH('2026'!F618,Cad_Natureza!$C$3:$C$52,0),MATCH('2026'!D$2,Cad_Natureza!$B$3:$C$3,0))</f>
        <v>GAST1</v>
      </c>
      <c r="E618" s="52" t="str">
        <f t="shared" si="135"/>
        <v>Despesa 616</v>
      </c>
      <c r="F618" s="53" t="s">
        <v>65</v>
      </c>
      <c r="G618" s="54" t="s">
        <v>25</v>
      </c>
      <c r="H618" s="55">
        <v>46188</v>
      </c>
      <c r="I618" s="55"/>
      <c r="J618" s="50" t="str">
        <f t="shared" si="136"/>
        <v>Observação da despesa 616</v>
      </c>
      <c r="K618" s="43">
        <v>-10</v>
      </c>
      <c r="L618" s="43">
        <f t="shared" si="137"/>
        <v>269.50000000000068</v>
      </c>
      <c r="M618" s="183"/>
      <c r="N618" s="37" t="str">
        <f t="shared" si="0"/>
        <v>MCSGAST1CPF - Desp. Lazer e Entretenimento - Bares</v>
      </c>
      <c r="O618" s="37" t="str">
        <f t="shared" si="1"/>
        <v>GAST1CPF - Desp. Lazer e Entretenimento - Bares</v>
      </c>
      <c r="P618" s="37" t="str">
        <f t="shared" si="2"/>
        <v>MCSGAST1CPF - Desp. Lazer e Entretenimento - Bares</v>
      </c>
      <c r="Q618" s="37" t="str">
        <f t="shared" si="3"/>
        <v>MCSGAST1</v>
      </c>
      <c r="R618" s="37" t="str">
        <f t="shared" si="4"/>
        <v>MCSGAST1</v>
      </c>
      <c r="S618" s="31"/>
      <c r="T618" s="185">
        <f t="shared" si="5"/>
        <v>46174</v>
      </c>
      <c r="U618" s="181">
        <v>616</v>
      </c>
    </row>
    <row r="619" spans="2:21" s="181" customFormat="1" x14ac:dyDescent="0.25">
      <c r="B619" s="182" t="s">
        <v>25</v>
      </c>
      <c r="C619" s="183"/>
      <c r="D619" s="54" t="str">
        <f>INDEX(Cad_Natureza!$B$3:$C$52,MATCH('2026'!F619,Cad_Natureza!$C$3:$C$52,0),MATCH('2026'!D$2,Cad_Natureza!$B$3:$C$3,0))</f>
        <v>GAST1</v>
      </c>
      <c r="E619" s="52" t="str">
        <f t="shared" si="135"/>
        <v>Despesa 617</v>
      </c>
      <c r="F619" s="53" t="s">
        <v>65</v>
      </c>
      <c r="G619" s="54" t="s">
        <v>25</v>
      </c>
      <c r="H619" s="55">
        <v>46188</v>
      </c>
      <c r="I619" s="55"/>
      <c r="J619" s="50" t="str">
        <f t="shared" si="136"/>
        <v>Observação da despesa 617</v>
      </c>
      <c r="K619" s="43">
        <v>-25</v>
      </c>
      <c r="L619" s="43">
        <f t="shared" si="137"/>
        <v>244.50000000000068</v>
      </c>
      <c r="M619" s="183"/>
      <c r="N619" s="37" t="str">
        <f t="shared" si="0"/>
        <v>MCSGAST1CPF - Desp. Lazer e Entretenimento - Bares</v>
      </c>
      <c r="O619" s="37" t="str">
        <f t="shared" si="1"/>
        <v>GAST1CPF - Desp. Lazer e Entretenimento - Bares</v>
      </c>
      <c r="P619" s="37" t="str">
        <f t="shared" si="2"/>
        <v>MCSGAST1CPF - Desp. Lazer e Entretenimento - Bares</v>
      </c>
      <c r="Q619" s="37" t="str">
        <f t="shared" si="3"/>
        <v>MCSGAST1</v>
      </c>
      <c r="R619" s="37" t="str">
        <f t="shared" si="4"/>
        <v>MCSGAST1</v>
      </c>
      <c r="S619" s="31"/>
      <c r="T619" s="185">
        <f t="shared" si="5"/>
        <v>46174</v>
      </c>
      <c r="U619" s="181">
        <v>617</v>
      </c>
    </row>
    <row r="620" spans="2:21" s="181" customFormat="1" x14ac:dyDescent="0.25">
      <c r="B620" s="182" t="s">
        <v>25</v>
      </c>
      <c r="C620" s="183"/>
      <c r="D620" s="54" t="str">
        <f>INDEX(Cad_Natureza!$B$3:$C$52,MATCH('2026'!F620,Cad_Natureza!$C$3:$C$52,0),MATCH('2026'!D$2,Cad_Natureza!$B$3:$C$3,0))</f>
        <v>GAST1</v>
      </c>
      <c r="E620" s="52" t="str">
        <f t="shared" si="135"/>
        <v>Despesa 618</v>
      </c>
      <c r="F620" s="53" t="s">
        <v>65</v>
      </c>
      <c r="G620" s="54" t="s">
        <v>25</v>
      </c>
      <c r="H620" s="55">
        <v>46188</v>
      </c>
      <c r="I620" s="55"/>
      <c r="J620" s="50" t="str">
        <f t="shared" si="136"/>
        <v>Observação da despesa 618</v>
      </c>
      <c r="K620" s="43">
        <v>-9</v>
      </c>
      <c r="L620" s="43">
        <f t="shared" si="137"/>
        <v>235.50000000000068</v>
      </c>
      <c r="M620" s="183"/>
      <c r="N620" s="37" t="str">
        <f t="shared" si="0"/>
        <v>MCSGAST1CPF - Desp. Lazer e Entretenimento - Bares</v>
      </c>
      <c r="O620" s="37" t="str">
        <f t="shared" si="1"/>
        <v>GAST1CPF - Desp. Lazer e Entretenimento - Bares</v>
      </c>
      <c r="P620" s="37" t="str">
        <f t="shared" si="2"/>
        <v>MCSGAST1CPF - Desp. Lazer e Entretenimento - Bares</v>
      </c>
      <c r="Q620" s="37" t="str">
        <f t="shared" si="3"/>
        <v>MCSGAST1</v>
      </c>
      <c r="R620" s="37" t="str">
        <f t="shared" si="4"/>
        <v>MCSGAST1</v>
      </c>
      <c r="S620" s="31"/>
      <c r="T620" s="185">
        <f t="shared" si="5"/>
        <v>46174</v>
      </c>
      <c r="U620" s="181">
        <v>618</v>
      </c>
    </row>
    <row r="621" spans="2:21" s="181" customFormat="1" x14ac:dyDescent="0.25">
      <c r="B621" s="182" t="s">
        <v>25</v>
      </c>
      <c r="C621" s="183"/>
      <c r="D621" s="54" t="str">
        <f>INDEX(Cad_Natureza!$B$3:$C$52,MATCH('2026'!F621,Cad_Natureza!$C$3:$C$52,0),MATCH('2026'!D$2,Cad_Natureza!$B$3:$C$3,0))</f>
        <v>GAST2</v>
      </c>
      <c r="E621" s="52" t="str">
        <f t="shared" si="135"/>
        <v>Despesa 619</v>
      </c>
      <c r="F621" s="53" t="s">
        <v>66</v>
      </c>
      <c r="G621" s="54" t="s">
        <v>25</v>
      </c>
      <c r="H621" s="55">
        <v>46188</v>
      </c>
      <c r="I621" s="55"/>
      <c r="J621" s="50" t="str">
        <f t="shared" si="136"/>
        <v>Observação da despesa 619</v>
      </c>
      <c r="K621" s="43">
        <v>-24.5</v>
      </c>
      <c r="L621" s="43">
        <f t="shared" si="137"/>
        <v>211.00000000000068</v>
      </c>
      <c r="M621" s="183"/>
      <c r="N621" s="37" t="str">
        <f t="shared" ref="N621:N640" si="144">B621&amp;D621&amp;F621</f>
        <v>MCSGAST2CPF - Desp. Lazer e Entretenimento - Cigarro</v>
      </c>
      <c r="O621" s="37" t="str">
        <f t="shared" ref="O621:O640" si="145">D621&amp;F621</f>
        <v>GAST2CPF - Desp. Lazer e Entretenimento - Cigarro</v>
      </c>
      <c r="P621" s="37" t="str">
        <f t="shared" ref="P621:P640" si="146">"MCS"&amp;D621&amp;F621</f>
        <v>MCSGAST2CPF - Desp. Lazer e Entretenimento - Cigarro</v>
      </c>
      <c r="Q621" s="37" t="str">
        <f t="shared" ref="Q621:Q640" si="147">"MCS"&amp;D621</f>
        <v>MCSGAST2</v>
      </c>
      <c r="R621" s="37" t="str">
        <f t="shared" ref="R621:R640" si="148">B621&amp;D621</f>
        <v>MCSGAST2</v>
      </c>
      <c r="S621" s="31"/>
      <c r="T621" s="185">
        <f t="shared" ref="T621:T640" si="149">(1&amp;"/"&amp;MONTH(H621)&amp;"/"&amp;YEAR(H621))*1</f>
        <v>46174</v>
      </c>
      <c r="U621" s="181">
        <v>619</v>
      </c>
    </row>
    <row r="622" spans="2:21" s="181" customFormat="1" x14ac:dyDescent="0.25">
      <c r="B622" s="182" t="s">
        <v>25</v>
      </c>
      <c r="C622" s="183"/>
      <c r="D622" s="54" t="str">
        <f>INDEX(Cad_Natureza!$B$3:$C$52,MATCH('2026'!F622,Cad_Natureza!$C$3:$C$52,0),MATCH('2026'!D$2,Cad_Natureza!$B$3:$C$3,0))</f>
        <v>OUG1</v>
      </c>
      <c r="E622" s="52" t="str">
        <f t="shared" si="135"/>
        <v>Despesa 620</v>
      </c>
      <c r="F622" s="53" t="s">
        <v>70</v>
      </c>
      <c r="G622" s="54" t="s">
        <v>25</v>
      </c>
      <c r="H622" s="55">
        <v>46188</v>
      </c>
      <c r="I622" s="55"/>
      <c r="J622" s="50" t="str">
        <f t="shared" si="136"/>
        <v>Observação da despesa 620</v>
      </c>
      <c r="K622" s="43">
        <v>-18</v>
      </c>
      <c r="L622" s="43">
        <f t="shared" si="137"/>
        <v>193.00000000000068</v>
      </c>
      <c r="M622" s="183"/>
      <c r="N622" s="37" t="str">
        <f t="shared" si="144"/>
        <v>MCSOUG1CPF - Outros gastos</v>
      </c>
      <c r="O622" s="37" t="str">
        <f t="shared" si="145"/>
        <v>OUG1CPF - Outros gastos</v>
      </c>
      <c r="P622" s="37" t="str">
        <f t="shared" si="146"/>
        <v>MCSOUG1CPF - Outros gastos</v>
      </c>
      <c r="Q622" s="37" t="str">
        <f t="shared" si="147"/>
        <v>MCSOUG1</v>
      </c>
      <c r="R622" s="37" t="str">
        <f t="shared" si="148"/>
        <v>MCSOUG1</v>
      </c>
      <c r="S622" s="31"/>
      <c r="T622" s="185">
        <f t="shared" si="149"/>
        <v>46174</v>
      </c>
      <c r="U622" s="181">
        <v>620</v>
      </c>
    </row>
    <row r="623" spans="2:21" s="177" customFormat="1" x14ac:dyDescent="0.25">
      <c r="B623" s="174" t="s">
        <v>25</v>
      </c>
      <c r="C623" s="51"/>
      <c r="D623" s="44" t="str">
        <f>INDEX(Cad_Natureza!$B$3:$C$52,MATCH('2026'!F623,Cad_Natureza!$C$3:$C$52,0),MATCH('2026'!D$2,Cad_Natureza!$B$3:$C$3,0))</f>
        <v>REC4</v>
      </c>
      <c r="E623" s="45" t="str">
        <f t="shared" si="135"/>
        <v>Receita 621</v>
      </c>
      <c r="F623" s="46" t="s">
        <v>57</v>
      </c>
      <c r="G623" s="44" t="s">
        <v>25</v>
      </c>
      <c r="H623" s="47">
        <v>46188</v>
      </c>
      <c r="I623" s="47"/>
      <c r="J623" s="48" t="str">
        <f t="shared" si="136"/>
        <v>Observação da receita 621</v>
      </c>
      <c r="K623" s="49">
        <v>1000</v>
      </c>
      <c r="L623" s="49">
        <f t="shared" si="137"/>
        <v>1193.0000000000007</v>
      </c>
      <c r="M623" s="51"/>
      <c r="N623" s="37" t="str">
        <f t="shared" si="144"/>
        <v>MCSREC4CPF - Transf. Da conta PJ para a conta PF</v>
      </c>
      <c r="O623" s="37" t="str">
        <f t="shared" si="145"/>
        <v>REC4CPF - Transf. Da conta PJ para a conta PF</v>
      </c>
      <c r="P623" s="37" t="str">
        <f t="shared" si="146"/>
        <v>MCSREC4CPF - Transf. Da conta PJ para a conta PF</v>
      </c>
      <c r="Q623" s="37" t="str">
        <f t="shared" si="147"/>
        <v>MCSREC4</v>
      </c>
      <c r="R623" s="37" t="str">
        <f t="shared" si="148"/>
        <v>MCSREC4</v>
      </c>
      <c r="S623" s="31"/>
      <c r="T623" s="176">
        <f t="shared" si="149"/>
        <v>46174</v>
      </c>
      <c r="U623" s="181">
        <v>621</v>
      </c>
    </row>
    <row r="624" spans="2:21" s="181" customFormat="1" x14ac:dyDescent="0.25">
      <c r="B624" s="182" t="s">
        <v>25</v>
      </c>
      <c r="C624" s="183"/>
      <c r="D624" s="54" t="str">
        <f>INDEX(Cad_Natureza!$B$3:$C$52,MATCH('2026'!F624,Cad_Natureza!$C$3:$C$52,0),MATCH('2026'!D$2,Cad_Natureza!$B$3:$C$3,0))</f>
        <v>OPF1</v>
      </c>
      <c r="E624" s="52" t="str">
        <f t="shared" si="135"/>
        <v>Despesa 622</v>
      </c>
      <c r="F624" s="53" t="s">
        <v>67</v>
      </c>
      <c r="G624" s="54" t="s">
        <v>25</v>
      </c>
      <c r="H624" s="55">
        <v>46188</v>
      </c>
      <c r="I624" s="55"/>
      <c r="J624" s="50" t="str">
        <f t="shared" si="136"/>
        <v>Observação da despesa 622</v>
      </c>
      <c r="K624" s="43">
        <v>-8</v>
      </c>
      <c r="L624" s="43">
        <f t="shared" si="137"/>
        <v>1185.0000000000007</v>
      </c>
      <c r="M624" s="183"/>
      <c r="N624" s="37" t="str">
        <f t="shared" si="144"/>
        <v>MCSOPF1CPF - Desp. Alimentação / Refeição</v>
      </c>
      <c r="O624" s="37" t="str">
        <f t="shared" si="145"/>
        <v>OPF1CPF - Desp. Alimentação / Refeição</v>
      </c>
      <c r="P624" s="37" t="str">
        <f t="shared" si="146"/>
        <v>MCSOPF1CPF - Desp. Alimentação / Refeição</v>
      </c>
      <c r="Q624" s="37" t="str">
        <f t="shared" si="147"/>
        <v>MCSOPF1</v>
      </c>
      <c r="R624" s="37" t="str">
        <f t="shared" si="148"/>
        <v>MCSOPF1</v>
      </c>
      <c r="S624" s="31"/>
      <c r="T624" s="185">
        <f t="shared" si="149"/>
        <v>46174</v>
      </c>
      <c r="U624" s="181">
        <v>622</v>
      </c>
    </row>
    <row r="625" spans="2:21" s="181" customFormat="1" x14ac:dyDescent="0.25">
      <c r="B625" s="182" t="s">
        <v>25</v>
      </c>
      <c r="C625" s="183"/>
      <c r="D625" s="54" t="str">
        <f>INDEX(Cad_Natureza!$B$3:$C$52,MATCH('2026'!F625,Cad_Natureza!$C$3:$C$52,0),MATCH('2026'!D$2,Cad_Natureza!$B$3:$C$3,0))</f>
        <v>OUG1</v>
      </c>
      <c r="E625" s="52" t="str">
        <f t="shared" si="135"/>
        <v>Despesa 623</v>
      </c>
      <c r="F625" s="53" t="s">
        <v>70</v>
      </c>
      <c r="G625" s="54" t="s">
        <v>25</v>
      </c>
      <c r="H625" s="55">
        <v>46188</v>
      </c>
      <c r="I625" s="55"/>
      <c r="J625" s="50" t="str">
        <f t="shared" si="136"/>
        <v>Observação da despesa 623</v>
      </c>
      <c r="K625" s="43">
        <v>-82</v>
      </c>
      <c r="L625" s="43">
        <f t="shared" si="137"/>
        <v>1103.0000000000007</v>
      </c>
      <c r="M625" s="183"/>
      <c r="N625" s="37" t="str">
        <f t="shared" si="144"/>
        <v>MCSOUG1CPF - Outros gastos</v>
      </c>
      <c r="O625" s="37" t="str">
        <f t="shared" si="145"/>
        <v>OUG1CPF - Outros gastos</v>
      </c>
      <c r="P625" s="37" t="str">
        <f t="shared" si="146"/>
        <v>MCSOUG1CPF - Outros gastos</v>
      </c>
      <c r="Q625" s="37" t="str">
        <f t="shared" si="147"/>
        <v>MCSOUG1</v>
      </c>
      <c r="R625" s="37" t="str">
        <f t="shared" si="148"/>
        <v>MCSOUG1</v>
      </c>
      <c r="S625" s="31"/>
      <c r="T625" s="185">
        <f t="shared" si="149"/>
        <v>46174</v>
      </c>
      <c r="U625" s="181">
        <v>623</v>
      </c>
    </row>
    <row r="626" spans="2:21" s="181" customFormat="1" x14ac:dyDescent="0.25">
      <c r="B626" s="182" t="s">
        <v>25</v>
      </c>
      <c r="C626" s="183"/>
      <c r="D626" s="54" t="str">
        <f>INDEX(Cad_Natureza!$B$3:$C$52,MATCH('2026'!F626,Cad_Natureza!$C$3:$C$52,0),MATCH('2026'!D$2,Cad_Natureza!$B$3:$C$3,0))</f>
        <v>OUG1</v>
      </c>
      <c r="E626" s="52" t="str">
        <f t="shared" si="135"/>
        <v>Despesa 624</v>
      </c>
      <c r="F626" s="53" t="s">
        <v>70</v>
      </c>
      <c r="G626" s="54" t="s">
        <v>25</v>
      </c>
      <c r="H626" s="55">
        <v>46188</v>
      </c>
      <c r="I626" s="55"/>
      <c r="J626" s="50" t="str">
        <f t="shared" si="136"/>
        <v>Observação da despesa 624</v>
      </c>
      <c r="K626" s="43">
        <v>-66.099999999999994</v>
      </c>
      <c r="L626" s="43">
        <f t="shared" si="137"/>
        <v>1036.9000000000008</v>
      </c>
      <c r="M626" s="183"/>
      <c r="N626" s="37" t="str">
        <f t="shared" si="144"/>
        <v>MCSOUG1CPF - Outros gastos</v>
      </c>
      <c r="O626" s="37" t="str">
        <f t="shared" si="145"/>
        <v>OUG1CPF - Outros gastos</v>
      </c>
      <c r="P626" s="37" t="str">
        <f t="shared" si="146"/>
        <v>MCSOUG1CPF - Outros gastos</v>
      </c>
      <c r="Q626" s="37" t="str">
        <f t="shared" si="147"/>
        <v>MCSOUG1</v>
      </c>
      <c r="R626" s="37" t="str">
        <f t="shared" si="148"/>
        <v>MCSOUG1</v>
      </c>
      <c r="S626" s="31"/>
      <c r="T626" s="185">
        <f t="shared" si="149"/>
        <v>46174</v>
      </c>
      <c r="U626" s="181">
        <v>624</v>
      </c>
    </row>
    <row r="627" spans="2:21" s="181" customFormat="1" x14ac:dyDescent="0.25">
      <c r="B627" s="182" t="s">
        <v>25</v>
      </c>
      <c r="C627" s="183"/>
      <c r="D627" s="54" t="str">
        <f>INDEX(Cad_Natureza!$B$3:$C$52,MATCH('2026'!F627,Cad_Natureza!$C$3:$C$52,0),MATCH('2026'!D$2,Cad_Natureza!$B$3:$C$3,0))</f>
        <v>OUG1</v>
      </c>
      <c r="E627" s="52" t="str">
        <f t="shared" si="135"/>
        <v>Despesa 625</v>
      </c>
      <c r="F627" s="53" t="s">
        <v>70</v>
      </c>
      <c r="G627" s="54" t="s">
        <v>25</v>
      </c>
      <c r="H627" s="55">
        <v>46188</v>
      </c>
      <c r="I627" s="55"/>
      <c r="J627" s="50" t="str">
        <f t="shared" si="136"/>
        <v>Observação da despesa 625</v>
      </c>
      <c r="K627" s="43">
        <v>-66.2</v>
      </c>
      <c r="L627" s="43">
        <f t="shared" si="137"/>
        <v>970.70000000000073</v>
      </c>
      <c r="M627" s="183"/>
      <c r="N627" s="37" t="str">
        <f t="shared" si="144"/>
        <v>MCSOUG1CPF - Outros gastos</v>
      </c>
      <c r="O627" s="37" t="str">
        <f t="shared" si="145"/>
        <v>OUG1CPF - Outros gastos</v>
      </c>
      <c r="P627" s="37" t="str">
        <f t="shared" si="146"/>
        <v>MCSOUG1CPF - Outros gastos</v>
      </c>
      <c r="Q627" s="37" t="str">
        <f t="shared" si="147"/>
        <v>MCSOUG1</v>
      </c>
      <c r="R627" s="37" t="str">
        <f t="shared" si="148"/>
        <v>MCSOUG1</v>
      </c>
      <c r="S627" s="31"/>
      <c r="T627" s="185">
        <f t="shared" si="149"/>
        <v>46174</v>
      </c>
      <c r="U627" s="181">
        <v>625</v>
      </c>
    </row>
    <row r="628" spans="2:21" s="181" customFormat="1" x14ac:dyDescent="0.25">
      <c r="B628" s="182" t="s">
        <v>25</v>
      </c>
      <c r="C628" s="183"/>
      <c r="D628" s="54" t="str">
        <f>INDEX(Cad_Natureza!$B$3:$C$52,MATCH('2026'!F628,Cad_Natureza!$C$3:$C$52,0),MATCH('2026'!D$2,Cad_Natureza!$B$3:$C$3,0))</f>
        <v>OUG1</v>
      </c>
      <c r="E628" s="52" t="str">
        <f t="shared" si="135"/>
        <v>Despesa 626</v>
      </c>
      <c r="F628" s="53" t="s">
        <v>70</v>
      </c>
      <c r="G628" s="54" t="s">
        <v>25</v>
      </c>
      <c r="H628" s="55">
        <v>46188</v>
      </c>
      <c r="I628" s="55"/>
      <c r="J628" s="50" t="str">
        <f t="shared" si="136"/>
        <v>Observação da despesa 626</v>
      </c>
      <c r="K628" s="43">
        <v>-239.9</v>
      </c>
      <c r="L628" s="43">
        <f t="shared" si="137"/>
        <v>730.80000000000075</v>
      </c>
      <c r="M628" s="183"/>
      <c r="N628" s="37" t="str">
        <f t="shared" si="144"/>
        <v>MCSOUG1CPF - Outros gastos</v>
      </c>
      <c r="O628" s="37" t="str">
        <f t="shared" si="145"/>
        <v>OUG1CPF - Outros gastos</v>
      </c>
      <c r="P628" s="37" t="str">
        <f t="shared" si="146"/>
        <v>MCSOUG1CPF - Outros gastos</v>
      </c>
      <c r="Q628" s="37" t="str">
        <f t="shared" si="147"/>
        <v>MCSOUG1</v>
      </c>
      <c r="R628" s="37" t="str">
        <f t="shared" si="148"/>
        <v>MCSOUG1</v>
      </c>
      <c r="S628" s="31"/>
      <c r="T628" s="185">
        <f t="shared" si="149"/>
        <v>46174</v>
      </c>
      <c r="U628" s="181">
        <v>626</v>
      </c>
    </row>
    <row r="629" spans="2:21" s="181" customFormat="1" x14ac:dyDescent="0.25">
      <c r="B629" s="182" t="s">
        <v>25</v>
      </c>
      <c r="C629" s="183"/>
      <c r="D629" s="54" t="str">
        <f>INDEX(Cad_Natureza!$B$3:$C$52,MATCH('2026'!F629,Cad_Natureza!$C$3:$C$52,0),MATCH('2026'!D$2,Cad_Natureza!$B$3:$C$3,0))</f>
        <v>DESP3</v>
      </c>
      <c r="E629" s="52" t="str">
        <f t="shared" si="135"/>
        <v>Despesa 627</v>
      </c>
      <c r="F629" s="53" t="s">
        <v>59</v>
      </c>
      <c r="G629" s="54" t="s">
        <v>25</v>
      </c>
      <c r="H629" s="55">
        <v>46188</v>
      </c>
      <c r="I629" s="55"/>
      <c r="J629" s="50" t="str">
        <f t="shared" si="136"/>
        <v>Observação da despesa 627</v>
      </c>
      <c r="K629" s="43">
        <v>-18.75</v>
      </c>
      <c r="L629" s="43">
        <f t="shared" si="137"/>
        <v>712.05000000000075</v>
      </c>
      <c r="M629" s="183"/>
      <c r="N629" s="37" t="str">
        <f t="shared" si="144"/>
        <v xml:space="preserve">MCSDESP3CPF - Desp. com veículo - Manut. / Gastos </v>
      </c>
      <c r="O629" s="37" t="str">
        <f t="shared" si="145"/>
        <v xml:space="preserve">DESP3CPF - Desp. com veículo - Manut. / Gastos </v>
      </c>
      <c r="P629" s="37" t="str">
        <f t="shared" si="146"/>
        <v xml:space="preserve">MCSDESP3CPF - Desp. com veículo - Manut. / Gastos </v>
      </c>
      <c r="Q629" s="37" t="str">
        <f t="shared" si="147"/>
        <v>MCSDESP3</v>
      </c>
      <c r="R629" s="37" t="str">
        <f t="shared" si="148"/>
        <v>MCSDESP3</v>
      </c>
      <c r="S629" s="31"/>
      <c r="T629" s="185">
        <f t="shared" si="149"/>
        <v>46174</v>
      </c>
      <c r="U629" s="181">
        <v>627</v>
      </c>
    </row>
    <row r="630" spans="2:21" s="181" customFormat="1" x14ac:dyDescent="0.25">
      <c r="B630" s="182" t="s">
        <v>25</v>
      </c>
      <c r="C630" s="183"/>
      <c r="D630" s="54" t="str">
        <f>INDEX(Cad_Natureza!$B$3:$C$52,MATCH('2026'!F630,Cad_Natureza!$C$3:$C$52,0),MATCH('2026'!D$2,Cad_Natureza!$B$3:$C$3,0))</f>
        <v>OPF2</v>
      </c>
      <c r="E630" s="52" t="str">
        <f t="shared" si="135"/>
        <v>Despesa 628</v>
      </c>
      <c r="F630" s="53" t="s">
        <v>64</v>
      </c>
      <c r="G630" s="54" t="s">
        <v>25</v>
      </c>
      <c r="H630" s="55">
        <v>46188</v>
      </c>
      <c r="I630" s="55"/>
      <c r="J630" s="50" t="str">
        <f t="shared" si="136"/>
        <v>Observação da despesa 628</v>
      </c>
      <c r="K630" s="43">
        <v>-100</v>
      </c>
      <c r="L630" s="43">
        <f t="shared" si="137"/>
        <v>612.05000000000075</v>
      </c>
      <c r="M630" s="183"/>
      <c r="N630" s="37" t="str">
        <f t="shared" si="144"/>
        <v>MCSOPF2CPF - Desp. Transporte / Combustível</v>
      </c>
      <c r="O630" s="37" t="str">
        <f t="shared" si="145"/>
        <v>OPF2CPF - Desp. Transporte / Combustível</v>
      </c>
      <c r="P630" s="37" t="str">
        <f t="shared" si="146"/>
        <v>MCSOPF2CPF - Desp. Transporte / Combustível</v>
      </c>
      <c r="Q630" s="37" t="str">
        <f t="shared" si="147"/>
        <v>MCSOPF2</v>
      </c>
      <c r="R630" s="37" t="str">
        <f t="shared" si="148"/>
        <v>MCSOPF2</v>
      </c>
      <c r="S630" s="31"/>
      <c r="T630" s="185">
        <f t="shared" si="149"/>
        <v>46174</v>
      </c>
      <c r="U630" s="181">
        <v>628</v>
      </c>
    </row>
    <row r="631" spans="2:21" s="181" customFormat="1" x14ac:dyDescent="0.25">
      <c r="B631" s="182" t="s">
        <v>25</v>
      </c>
      <c r="C631" s="183"/>
      <c r="D631" s="54" t="str">
        <f>INDEX(Cad_Natureza!$B$3:$C$52,MATCH('2026'!F631,Cad_Natureza!$C$3:$C$52,0),MATCH('2026'!D$2,Cad_Natureza!$B$3:$C$3,0))</f>
        <v>GAST2</v>
      </c>
      <c r="E631" s="52" t="str">
        <f t="shared" si="135"/>
        <v>Despesa 629</v>
      </c>
      <c r="F631" s="53" t="s">
        <v>66</v>
      </c>
      <c r="G631" s="54" t="s">
        <v>25</v>
      </c>
      <c r="H631" s="55">
        <v>46188</v>
      </c>
      <c r="I631" s="55"/>
      <c r="J631" s="50" t="str">
        <f t="shared" si="136"/>
        <v>Observação da despesa 629</v>
      </c>
      <c r="K631" s="43">
        <v>-35</v>
      </c>
      <c r="L631" s="43">
        <f t="shared" si="137"/>
        <v>577.05000000000075</v>
      </c>
      <c r="M631" s="183"/>
      <c r="N631" s="37" t="str">
        <f t="shared" si="144"/>
        <v>MCSGAST2CPF - Desp. Lazer e Entretenimento - Cigarro</v>
      </c>
      <c r="O631" s="37" t="str">
        <f t="shared" si="145"/>
        <v>GAST2CPF - Desp. Lazer e Entretenimento - Cigarro</v>
      </c>
      <c r="P631" s="37" t="str">
        <f t="shared" si="146"/>
        <v>MCSGAST2CPF - Desp. Lazer e Entretenimento - Cigarro</v>
      </c>
      <c r="Q631" s="37" t="str">
        <f t="shared" si="147"/>
        <v>MCSGAST2</v>
      </c>
      <c r="R631" s="37" t="str">
        <f t="shared" si="148"/>
        <v>MCSGAST2</v>
      </c>
      <c r="S631" s="31"/>
      <c r="T631" s="185">
        <f t="shared" si="149"/>
        <v>46174</v>
      </c>
      <c r="U631" s="181">
        <v>629</v>
      </c>
    </row>
    <row r="632" spans="2:21" s="181" customFormat="1" x14ac:dyDescent="0.25">
      <c r="B632" s="182" t="s">
        <v>25</v>
      </c>
      <c r="C632" s="183"/>
      <c r="D632" s="54" t="str">
        <f>INDEX(Cad_Natureza!$B$3:$C$52,MATCH('2026'!F632,Cad_Natureza!$C$3:$C$52,0),MATCH('2026'!D$2,Cad_Natureza!$B$3:$C$3,0))</f>
        <v>GAST1</v>
      </c>
      <c r="E632" s="52" t="str">
        <f t="shared" si="135"/>
        <v>Despesa 630</v>
      </c>
      <c r="F632" s="53" t="s">
        <v>65</v>
      </c>
      <c r="G632" s="54" t="s">
        <v>25</v>
      </c>
      <c r="H632" s="55">
        <v>46188</v>
      </c>
      <c r="I632" s="55"/>
      <c r="J632" s="50" t="str">
        <f t="shared" si="136"/>
        <v>Observação da despesa 630</v>
      </c>
      <c r="K632" s="43">
        <v>-82</v>
      </c>
      <c r="L632" s="43">
        <f t="shared" si="137"/>
        <v>495.05000000000075</v>
      </c>
      <c r="M632" s="183"/>
      <c r="N632" s="37" t="str">
        <f t="shared" si="144"/>
        <v>MCSGAST1CPF - Desp. Lazer e Entretenimento - Bares</v>
      </c>
      <c r="O632" s="37" t="str">
        <f t="shared" si="145"/>
        <v>GAST1CPF - Desp. Lazer e Entretenimento - Bares</v>
      </c>
      <c r="P632" s="37" t="str">
        <f t="shared" si="146"/>
        <v>MCSGAST1CPF - Desp. Lazer e Entretenimento - Bares</v>
      </c>
      <c r="Q632" s="37" t="str">
        <f t="shared" si="147"/>
        <v>MCSGAST1</v>
      </c>
      <c r="R632" s="37" t="str">
        <f t="shared" si="148"/>
        <v>MCSGAST1</v>
      </c>
      <c r="S632" s="31"/>
      <c r="T632" s="185">
        <f t="shared" si="149"/>
        <v>46174</v>
      </c>
      <c r="U632" s="181">
        <v>630</v>
      </c>
    </row>
    <row r="633" spans="2:21" s="181" customFormat="1" x14ac:dyDescent="0.25">
      <c r="B633" s="182" t="s">
        <v>25</v>
      </c>
      <c r="C633" s="183"/>
      <c r="D633" s="54" t="str">
        <f>INDEX(Cad_Natureza!$B$3:$C$52,MATCH('2026'!F633,Cad_Natureza!$C$3:$C$52,0),MATCH('2026'!D$2,Cad_Natureza!$B$3:$C$3,0))</f>
        <v>GAST1</v>
      </c>
      <c r="E633" s="52" t="str">
        <f t="shared" si="135"/>
        <v>Despesa 631</v>
      </c>
      <c r="F633" s="53" t="s">
        <v>65</v>
      </c>
      <c r="G633" s="54" t="s">
        <v>25</v>
      </c>
      <c r="H633" s="55">
        <v>46188</v>
      </c>
      <c r="I633" s="55"/>
      <c r="J633" s="50" t="str">
        <f t="shared" si="136"/>
        <v>Observação da despesa 631</v>
      </c>
      <c r="K633" s="43">
        <v>-15</v>
      </c>
      <c r="L633" s="43">
        <f t="shared" si="137"/>
        <v>480.05000000000075</v>
      </c>
      <c r="M633" s="183"/>
      <c r="N633" s="37" t="str">
        <f t="shared" si="144"/>
        <v>MCSGAST1CPF - Desp. Lazer e Entretenimento - Bares</v>
      </c>
      <c r="O633" s="37" t="str">
        <f t="shared" si="145"/>
        <v>GAST1CPF - Desp. Lazer e Entretenimento - Bares</v>
      </c>
      <c r="P633" s="37" t="str">
        <f t="shared" si="146"/>
        <v>MCSGAST1CPF - Desp. Lazer e Entretenimento - Bares</v>
      </c>
      <c r="Q633" s="37" t="str">
        <f t="shared" si="147"/>
        <v>MCSGAST1</v>
      </c>
      <c r="R633" s="37" t="str">
        <f t="shared" si="148"/>
        <v>MCSGAST1</v>
      </c>
      <c r="S633" s="31"/>
      <c r="T633" s="185">
        <f t="shared" si="149"/>
        <v>46174</v>
      </c>
      <c r="U633" s="181">
        <v>631</v>
      </c>
    </row>
    <row r="634" spans="2:21" s="181" customFormat="1" x14ac:dyDescent="0.25">
      <c r="B634" s="182" t="s">
        <v>25</v>
      </c>
      <c r="C634" s="183"/>
      <c r="D634" s="54" t="str">
        <f>INDEX(Cad_Natureza!$B$3:$C$52,MATCH('2026'!F634,Cad_Natureza!$C$3:$C$52,0),MATCH('2026'!D$2,Cad_Natureza!$B$3:$C$3,0))</f>
        <v>GAST1</v>
      </c>
      <c r="E634" s="52" t="str">
        <f t="shared" si="135"/>
        <v>Despesa 632</v>
      </c>
      <c r="F634" s="53" t="s">
        <v>65</v>
      </c>
      <c r="G634" s="54" t="s">
        <v>25</v>
      </c>
      <c r="H634" s="55">
        <v>46188</v>
      </c>
      <c r="I634" s="55"/>
      <c r="J634" s="50" t="str">
        <f t="shared" si="136"/>
        <v>Observação da despesa 632</v>
      </c>
      <c r="K634" s="43">
        <v>-12</v>
      </c>
      <c r="L634" s="43">
        <f t="shared" si="137"/>
        <v>468.05000000000075</v>
      </c>
      <c r="M634" s="183"/>
      <c r="N634" s="37" t="str">
        <f t="shared" si="144"/>
        <v>MCSGAST1CPF - Desp. Lazer e Entretenimento - Bares</v>
      </c>
      <c r="O634" s="37" t="str">
        <f t="shared" si="145"/>
        <v>GAST1CPF - Desp. Lazer e Entretenimento - Bares</v>
      </c>
      <c r="P634" s="37" t="str">
        <f t="shared" si="146"/>
        <v>MCSGAST1CPF - Desp. Lazer e Entretenimento - Bares</v>
      </c>
      <c r="Q634" s="37" t="str">
        <f t="shared" si="147"/>
        <v>MCSGAST1</v>
      </c>
      <c r="R634" s="37" t="str">
        <f t="shared" si="148"/>
        <v>MCSGAST1</v>
      </c>
      <c r="S634" s="31"/>
      <c r="T634" s="185">
        <f t="shared" si="149"/>
        <v>46174</v>
      </c>
      <c r="U634" s="181">
        <v>632</v>
      </c>
    </row>
    <row r="635" spans="2:21" s="181" customFormat="1" x14ac:dyDescent="0.25">
      <c r="B635" s="182" t="s">
        <v>25</v>
      </c>
      <c r="C635" s="183"/>
      <c r="D635" s="54" t="str">
        <f>INDEX(Cad_Natureza!$B$3:$C$52,MATCH('2026'!F635,Cad_Natureza!$C$3:$C$52,0),MATCH('2026'!D$2,Cad_Natureza!$B$3:$C$3,0))</f>
        <v>GAST1</v>
      </c>
      <c r="E635" s="52" t="str">
        <f t="shared" si="135"/>
        <v>Despesa 633</v>
      </c>
      <c r="F635" s="53" t="s">
        <v>65</v>
      </c>
      <c r="G635" s="54" t="s">
        <v>25</v>
      </c>
      <c r="H635" s="55">
        <v>46188</v>
      </c>
      <c r="I635" s="55"/>
      <c r="J635" s="50" t="str">
        <f t="shared" si="136"/>
        <v>Observação da despesa 633</v>
      </c>
      <c r="K635" s="43">
        <v>-12</v>
      </c>
      <c r="L635" s="43">
        <f t="shared" si="137"/>
        <v>456.05000000000075</v>
      </c>
      <c r="M635" s="183"/>
      <c r="N635" s="37" t="str">
        <f t="shared" si="144"/>
        <v>MCSGAST1CPF - Desp. Lazer e Entretenimento - Bares</v>
      </c>
      <c r="O635" s="37" t="str">
        <f t="shared" si="145"/>
        <v>GAST1CPF - Desp. Lazer e Entretenimento - Bares</v>
      </c>
      <c r="P635" s="37" t="str">
        <f t="shared" si="146"/>
        <v>MCSGAST1CPF - Desp. Lazer e Entretenimento - Bares</v>
      </c>
      <c r="Q635" s="37" t="str">
        <f t="shared" si="147"/>
        <v>MCSGAST1</v>
      </c>
      <c r="R635" s="37" t="str">
        <f t="shared" si="148"/>
        <v>MCSGAST1</v>
      </c>
      <c r="S635" s="31"/>
      <c r="T635" s="185">
        <f t="shared" si="149"/>
        <v>46174</v>
      </c>
      <c r="U635" s="181">
        <v>633</v>
      </c>
    </row>
    <row r="636" spans="2:21" s="181" customFormat="1" x14ac:dyDescent="0.25">
      <c r="B636" s="182" t="s">
        <v>25</v>
      </c>
      <c r="C636" s="183"/>
      <c r="D636" s="54" t="str">
        <f>INDEX(Cad_Natureza!$B$3:$C$52,MATCH('2026'!F636,Cad_Natureza!$C$3:$C$52,0),MATCH('2026'!D$2,Cad_Natureza!$B$3:$C$3,0))</f>
        <v>GAST1</v>
      </c>
      <c r="E636" s="52" t="str">
        <f t="shared" si="135"/>
        <v>Despesa 634</v>
      </c>
      <c r="F636" s="53" t="s">
        <v>65</v>
      </c>
      <c r="G636" s="54" t="s">
        <v>25</v>
      </c>
      <c r="H636" s="55">
        <v>46188</v>
      </c>
      <c r="I636" s="55"/>
      <c r="J636" s="50" t="str">
        <f t="shared" si="136"/>
        <v>Observação da despesa 634</v>
      </c>
      <c r="K636" s="43">
        <v>-16</v>
      </c>
      <c r="L636" s="43">
        <f t="shared" si="137"/>
        <v>440.05000000000075</v>
      </c>
      <c r="M636" s="183"/>
      <c r="N636" s="37" t="str">
        <f t="shared" si="144"/>
        <v>MCSGAST1CPF - Desp. Lazer e Entretenimento - Bares</v>
      </c>
      <c r="O636" s="37" t="str">
        <f t="shared" si="145"/>
        <v>GAST1CPF - Desp. Lazer e Entretenimento - Bares</v>
      </c>
      <c r="P636" s="37" t="str">
        <f t="shared" si="146"/>
        <v>MCSGAST1CPF - Desp. Lazer e Entretenimento - Bares</v>
      </c>
      <c r="Q636" s="37" t="str">
        <f t="shared" si="147"/>
        <v>MCSGAST1</v>
      </c>
      <c r="R636" s="37" t="str">
        <f t="shared" si="148"/>
        <v>MCSGAST1</v>
      </c>
      <c r="S636" s="31"/>
      <c r="T636" s="185">
        <f t="shared" si="149"/>
        <v>46174</v>
      </c>
      <c r="U636" s="181">
        <v>634</v>
      </c>
    </row>
    <row r="637" spans="2:21" s="181" customFormat="1" x14ac:dyDescent="0.25">
      <c r="B637" s="182" t="s">
        <v>25</v>
      </c>
      <c r="C637" s="183"/>
      <c r="D637" s="54" t="str">
        <f>INDEX(Cad_Natureza!$B$3:$C$52,MATCH('2026'!F637,Cad_Natureza!$C$3:$C$52,0),MATCH('2026'!D$2,Cad_Natureza!$B$3:$C$3,0))</f>
        <v>GAST1</v>
      </c>
      <c r="E637" s="52" t="str">
        <f t="shared" si="135"/>
        <v>Despesa 635</v>
      </c>
      <c r="F637" s="53" t="s">
        <v>65</v>
      </c>
      <c r="G637" s="54" t="s">
        <v>25</v>
      </c>
      <c r="H637" s="55">
        <v>46188</v>
      </c>
      <c r="I637" s="55"/>
      <c r="J637" s="50" t="str">
        <f t="shared" si="136"/>
        <v>Observação da despesa 635</v>
      </c>
      <c r="K637" s="43">
        <v>-35</v>
      </c>
      <c r="L637" s="43">
        <f t="shared" si="137"/>
        <v>405.05000000000075</v>
      </c>
      <c r="M637" s="183"/>
      <c r="N637" s="37" t="str">
        <f t="shared" si="144"/>
        <v>MCSGAST1CPF - Desp. Lazer e Entretenimento - Bares</v>
      </c>
      <c r="O637" s="37" t="str">
        <f t="shared" si="145"/>
        <v>GAST1CPF - Desp. Lazer e Entretenimento - Bares</v>
      </c>
      <c r="P637" s="37" t="str">
        <f t="shared" si="146"/>
        <v>MCSGAST1CPF - Desp. Lazer e Entretenimento - Bares</v>
      </c>
      <c r="Q637" s="37" t="str">
        <f t="shared" si="147"/>
        <v>MCSGAST1</v>
      </c>
      <c r="R637" s="37" t="str">
        <f t="shared" si="148"/>
        <v>MCSGAST1</v>
      </c>
      <c r="S637" s="31"/>
      <c r="T637" s="185">
        <f t="shared" si="149"/>
        <v>46174</v>
      </c>
      <c r="U637" s="181">
        <v>635</v>
      </c>
    </row>
    <row r="638" spans="2:21" s="181" customFormat="1" x14ac:dyDescent="0.25">
      <c r="B638" s="182" t="s">
        <v>25</v>
      </c>
      <c r="C638" s="183"/>
      <c r="D638" s="54" t="str">
        <f>INDEX(Cad_Natureza!$B$3:$C$52,MATCH('2026'!F638,Cad_Natureza!$C$3:$C$52,0),MATCH('2026'!D$2,Cad_Natureza!$B$3:$C$3,0))</f>
        <v>GAST1</v>
      </c>
      <c r="E638" s="52" t="str">
        <f t="shared" si="135"/>
        <v>Despesa 636</v>
      </c>
      <c r="F638" s="53" t="s">
        <v>65</v>
      </c>
      <c r="G638" s="54" t="s">
        <v>25</v>
      </c>
      <c r="H638" s="55">
        <v>46188</v>
      </c>
      <c r="I638" s="55"/>
      <c r="J638" s="50" t="str">
        <f t="shared" si="136"/>
        <v>Observação da despesa 636</v>
      </c>
      <c r="K638" s="43">
        <v>-42</v>
      </c>
      <c r="L638" s="43">
        <f t="shared" si="137"/>
        <v>363.05000000000075</v>
      </c>
      <c r="M638" s="183"/>
      <c r="N638" s="37" t="str">
        <f t="shared" si="144"/>
        <v>MCSGAST1CPF - Desp. Lazer e Entretenimento - Bares</v>
      </c>
      <c r="O638" s="37" t="str">
        <f t="shared" si="145"/>
        <v>GAST1CPF - Desp. Lazer e Entretenimento - Bares</v>
      </c>
      <c r="P638" s="37" t="str">
        <f t="shared" si="146"/>
        <v>MCSGAST1CPF - Desp. Lazer e Entretenimento - Bares</v>
      </c>
      <c r="Q638" s="37" t="str">
        <f t="shared" si="147"/>
        <v>MCSGAST1</v>
      </c>
      <c r="R638" s="37" t="str">
        <f t="shared" si="148"/>
        <v>MCSGAST1</v>
      </c>
      <c r="S638" s="31"/>
      <c r="T638" s="185">
        <f t="shared" si="149"/>
        <v>46174</v>
      </c>
      <c r="U638" s="181">
        <v>636</v>
      </c>
    </row>
    <row r="639" spans="2:21" s="181" customFormat="1" x14ac:dyDescent="0.25">
      <c r="B639" s="182" t="s">
        <v>25</v>
      </c>
      <c r="C639" s="183"/>
      <c r="D639" s="54" t="str">
        <f>INDEX(Cad_Natureza!$B$3:$C$52,MATCH('2026'!F639,Cad_Natureza!$C$3:$C$52,0),MATCH('2026'!D$2,Cad_Natureza!$B$3:$C$3,0))</f>
        <v>GAST1</v>
      </c>
      <c r="E639" s="52" t="str">
        <f t="shared" si="135"/>
        <v>Despesa 637</v>
      </c>
      <c r="F639" s="53" t="s">
        <v>65</v>
      </c>
      <c r="G639" s="54" t="s">
        <v>25</v>
      </c>
      <c r="H639" s="55">
        <v>46188</v>
      </c>
      <c r="I639" s="55"/>
      <c r="J639" s="50" t="str">
        <f t="shared" si="136"/>
        <v>Observação da despesa 637</v>
      </c>
      <c r="K639" s="43">
        <v>-42</v>
      </c>
      <c r="L639" s="43">
        <f t="shared" si="137"/>
        <v>321.05000000000075</v>
      </c>
      <c r="M639" s="183"/>
      <c r="N639" s="37" t="str">
        <f t="shared" si="144"/>
        <v>MCSGAST1CPF - Desp. Lazer e Entretenimento - Bares</v>
      </c>
      <c r="O639" s="37" t="str">
        <f t="shared" si="145"/>
        <v>GAST1CPF - Desp. Lazer e Entretenimento - Bares</v>
      </c>
      <c r="P639" s="37" t="str">
        <f t="shared" si="146"/>
        <v>MCSGAST1CPF - Desp. Lazer e Entretenimento - Bares</v>
      </c>
      <c r="Q639" s="37" t="str">
        <f t="shared" si="147"/>
        <v>MCSGAST1</v>
      </c>
      <c r="R639" s="37" t="str">
        <f t="shared" si="148"/>
        <v>MCSGAST1</v>
      </c>
      <c r="S639" s="31"/>
      <c r="T639" s="185">
        <f t="shared" si="149"/>
        <v>46174</v>
      </c>
      <c r="U639" s="181">
        <v>637</v>
      </c>
    </row>
    <row r="640" spans="2:21" s="181" customFormat="1" x14ac:dyDescent="0.25">
      <c r="B640" s="182" t="s">
        <v>25</v>
      </c>
      <c r="C640" s="183"/>
      <c r="D640" s="54" t="str">
        <f>INDEX(Cad_Natureza!$B$3:$C$52,MATCH('2026'!F640,Cad_Natureza!$C$3:$C$52,0),MATCH('2026'!D$2,Cad_Natureza!$B$3:$C$3,0))</f>
        <v>OPF1</v>
      </c>
      <c r="E640" s="52" t="str">
        <f t="shared" si="135"/>
        <v>Despesa 638</v>
      </c>
      <c r="F640" s="53" t="s">
        <v>67</v>
      </c>
      <c r="G640" s="54" t="s">
        <v>25</v>
      </c>
      <c r="H640" s="55">
        <v>46188</v>
      </c>
      <c r="I640" s="55"/>
      <c r="J640" s="50" t="str">
        <f t="shared" si="136"/>
        <v>Observação da despesa 638</v>
      </c>
      <c r="K640" s="43">
        <v>-16.43</v>
      </c>
      <c r="L640" s="43">
        <f t="shared" si="137"/>
        <v>304.62000000000074</v>
      </c>
      <c r="M640" s="183"/>
      <c r="N640" s="37" t="str">
        <f t="shared" si="144"/>
        <v>MCSOPF1CPF - Desp. Alimentação / Refeição</v>
      </c>
      <c r="O640" s="37" t="str">
        <f t="shared" si="145"/>
        <v>OPF1CPF - Desp. Alimentação / Refeição</v>
      </c>
      <c r="P640" s="37" t="str">
        <f t="shared" si="146"/>
        <v>MCSOPF1CPF - Desp. Alimentação / Refeição</v>
      </c>
      <c r="Q640" s="37" t="str">
        <f t="shared" si="147"/>
        <v>MCSOPF1</v>
      </c>
      <c r="R640" s="37" t="str">
        <f t="shared" si="148"/>
        <v>MCSOPF1</v>
      </c>
      <c r="S640" s="31"/>
      <c r="T640" s="185">
        <f t="shared" si="149"/>
        <v>46174</v>
      </c>
      <c r="U640" s="181">
        <v>638</v>
      </c>
    </row>
    <row r="641" spans="2:21" s="181" customFormat="1" x14ac:dyDescent="0.25">
      <c r="B641" s="182" t="s">
        <v>25</v>
      </c>
      <c r="C641" s="183"/>
      <c r="D641" s="54" t="str">
        <f>INDEX(Cad_Natureza!$B$3:$C$52,MATCH('2026'!F641,Cad_Natureza!$C$3:$C$52,0),MATCH('2026'!D$2,Cad_Natureza!$B$3:$C$3,0))</f>
        <v>OPF1</v>
      </c>
      <c r="E641" s="52" t="str">
        <f t="shared" si="135"/>
        <v>Despesa 639</v>
      </c>
      <c r="F641" s="53" t="s">
        <v>67</v>
      </c>
      <c r="G641" s="54" t="s">
        <v>25</v>
      </c>
      <c r="H641" s="55">
        <v>46188</v>
      </c>
      <c r="I641" s="55"/>
      <c r="J641" s="50" t="str">
        <f t="shared" si="136"/>
        <v>Observação da despesa 639</v>
      </c>
      <c r="K641" s="43">
        <v>-25</v>
      </c>
      <c r="L641" s="43">
        <f t="shared" si="137"/>
        <v>279.62000000000074</v>
      </c>
      <c r="M641" s="183"/>
      <c r="N641" s="37" t="str">
        <f t="shared" si="0"/>
        <v>MCSOPF1CPF - Desp. Alimentação / Refeição</v>
      </c>
      <c r="O641" s="37" t="str">
        <f t="shared" si="1"/>
        <v>OPF1CPF - Desp. Alimentação / Refeição</v>
      </c>
      <c r="P641" s="37" t="str">
        <f t="shared" si="2"/>
        <v>MCSOPF1CPF - Desp. Alimentação / Refeição</v>
      </c>
      <c r="Q641" s="37" t="str">
        <f t="shared" si="3"/>
        <v>MCSOPF1</v>
      </c>
      <c r="R641" s="37" t="str">
        <f t="shared" si="4"/>
        <v>MCSOPF1</v>
      </c>
      <c r="S641" s="31"/>
      <c r="T641" s="185">
        <f t="shared" si="5"/>
        <v>46174</v>
      </c>
      <c r="U641" s="181">
        <v>639</v>
      </c>
    </row>
    <row r="642" spans="2:21" s="181" customFormat="1" x14ac:dyDescent="0.25">
      <c r="B642" s="182" t="s">
        <v>25</v>
      </c>
      <c r="C642" s="183"/>
      <c r="D642" s="54" t="str">
        <f>INDEX(Cad_Natureza!$B$3:$C$52,MATCH('2026'!F642,Cad_Natureza!$C$3:$C$52,0),MATCH('2026'!D$2,Cad_Natureza!$B$3:$C$3,0))</f>
        <v>GAST1</v>
      </c>
      <c r="E642" s="52" t="str">
        <f t="shared" si="135"/>
        <v>Despesa 640</v>
      </c>
      <c r="F642" s="53" t="s">
        <v>65</v>
      </c>
      <c r="G642" s="54" t="s">
        <v>25</v>
      </c>
      <c r="H642" s="55">
        <v>46188</v>
      </c>
      <c r="I642" s="55"/>
      <c r="J642" s="50" t="str">
        <f t="shared" si="136"/>
        <v>Observação da despesa 640</v>
      </c>
      <c r="K642" s="43">
        <v>-78.67</v>
      </c>
      <c r="L642" s="43">
        <f t="shared" si="137"/>
        <v>200.95000000000073</v>
      </c>
      <c r="M642" s="183"/>
      <c r="N642" s="37" t="str">
        <f t="shared" si="0"/>
        <v>MCSGAST1CPF - Desp. Lazer e Entretenimento - Bares</v>
      </c>
      <c r="O642" s="37" t="str">
        <f t="shared" si="1"/>
        <v>GAST1CPF - Desp. Lazer e Entretenimento - Bares</v>
      </c>
      <c r="P642" s="37" t="str">
        <f t="shared" si="2"/>
        <v>MCSGAST1CPF - Desp. Lazer e Entretenimento - Bares</v>
      </c>
      <c r="Q642" s="37" t="str">
        <f t="shared" si="3"/>
        <v>MCSGAST1</v>
      </c>
      <c r="R642" s="37" t="str">
        <f t="shared" si="4"/>
        <v>MCSGAST1</v>
      </c>
      <c r="S642" s="31"/>
      <c r="T642" s="185">
        <f t="shared" si="5"/>
        <v>46174</v>
      </c>
      <c r="U642" s="181">
        <v>640</v>
      </c>
    </row>
    <row r="643" spans="2:21" s="181" customFormat="1" x14ac:dyDescent="0.25">
      <c r="B643" s="182" t="s">
        <v>25</v>
      </c>
      <c r="C643" s="183"/>
      <c r="D643" s="54" t="str">
        <f>INDEX(Cad_Natureza!$B$3:$C$52,MATCH('2026'!F643,Cad_Natureza!$C$3:$C$52,0),MATCH('2026'!D$2,Cad_Natureza!$B$3:$C$3,0))</f>
        <v>DESP4</v>
      </c>
      <c r="E643" s="52" t="str">
        <f t="shared" si="135"/>
        <v>Despesa 641</v>
      </c>
      <c r="F643" s="53" t="s">
        <v>74</v>
      </c>
      <c r="G643" s="54" t="s">
        <v>25</v>
      </c>
      <c r="H643" s="55">
        <v>46188</v>
      </c>
      <c r="I643" s="55"/>
      <c r="J643" s="50" t="str">
        <f t="shared" si="136"/>
        <v>Observação da despesa 641</v>
      </c>
      <c r="K643" s="43">
        <v>-9</v>
      </c>
      <c r="L643" s="43">
        <f t="shared" si="137"/>
        <v>191.95000000000073</v>
      </c>
      <c r="M643" s="183"/>
      <c r="N643" s="37" t="str">
        <f t="shared" si="0"/>
        <v>MCSDESP4CPF - Desp. Moradia</v>
      </c>
      <c r="O643" s="37" t="str">
        <f t="shared" si="1"/>
        <v>DESP4CPF - Desp. Moradia</v>
      </c>
      <c r="P643" s="37" t="str">
        <f t="shared" si="2"/>
        <v>MCSDESP4CPF - Desp. Moradia</v>
      </c>
      <c r="Q643" s="37" t="str">
        <f t="shared" si="3"/>
        <v>MCSDESP4</v>
      </c>
      <c r="R643" s="37" t="str">
        <f t="shared" si="4"/>
        <v>MCSDESP4</v>
      </c>
      <c r="S643" s="31"/>
      <c r="T643" s="185">
        <f t="shared" si="5"/>
        <v>46174</v>
      </c>
      <c r="U643" s="181">
        <v>641</v>
      </c>
    </row>
    <row r="644" spans="2:21" s="181" customFormat="1" x14ac:dyDescent="0.25">
      <c r="B644" s="182" t="s">
        <v>25</v>
      </c>
      <c r="C644" s="183"/>
      <c r="D644" s="54" t="str">
        <f>INDEX(Cad_Natureza!$B$3:$C$52,MATCH('2026'!F644,Cad_Natureza!$C$3:$C$52,0),MATCH('2026'!D$2,Cad_Natureza!$B$3:$C$3,0))</f>
        <v>OPF1</v>
      </c>
      <c r="E644" s="52" t="str">
        <f t="shared" ref="E644:E650" si="150">IF(K644&lt;0,"Despesa "&amp;U644,"Receita "&amp;U644)</f>
        <v>Despesa 642</v>
      </c>
      <c r="F644" s="53" t="s">
        <v>67</v>
      </c>
      <c r="G644" s="54" t="s">
        <v>25</v>
      </c>
      <c r="H644" s="55">
        <v>46188</v>
      </c>
      <c r="I644" s="55"/>
      <c r="J644" s="50" t="str">
        <f t="shared" ref="J644:J650" si="151">IF(K644&lt;0,"Observação da despesa "&amp;U644,"Observação da receita "&amp;U644)</f>
        <v>Observação da despesa 642</v>
      </c>
      <c r="K644" s="43">
        <v>-15</v>
      </c>
      <c r="L644" s="43">
        <f t="shared" ref="L644:L650" si="152">L643+K644</f>
        <v>176.95000000000073</v>
      </c>
      <c r="M644" s="183"/>
      <c r="N644" s="37" t="str">
        <f t="shared" si="0"/>
        <v>MCSOPF1CPF - Desp. Alimentação / Refeição</v>
      </c>
      <c r="O644" s="37" t="str">
        <f t="shared" si="1"/>
        <v>OPF1CPF - Desp. Alimentação / Refeição</v>
      </c>
      <c r="P644" s="37" t="str">
        <f t="shared" si="2"/>
        <v>MCSOPF1CPF - Desp. Alimentação / Refeição</v>
      </c>
      <c r="Q644" s="37" t="str">
        <f t="shared" si="3"/>
        <v>MCSOPF1</v>
      </c>
      <c r="R644" s="37" t="str">
        <f t="shared" si="4"/>
        <v>MCSOPF1</v>
      </c>
      <c r="S644" s="31"/>
      <c r="T644" s="185">
        <f t="shared" si="5"/>
        <v>46174</v>
      </c>
      <c r="U644" s="181">
        <v>642</v>
      </c>
    </row>
    <row r="645" spans="2:21" s="181" customFormat="1" x14ac:dyDescent="0.25">
      <c r="B645" s="182" t="s">
        <v>25</v>
      </c>
      <c r="C645" s="183"/>
      <c r="D645" s="54" t="str">
        <f>INDEX(Cad_Natureza!$B$3:$C$52,MATCH('2026'!F645,Cad_Natureza!$C$3:$C$52,0),MATCH('2026'!D$2,Cad_Natureza!$B$3:$C$3,0))</f>
        <v>OPF1</v>
      </c>
      <c r="E645" s="52" t="str">
        <f t="shared" si="150"/>
        <v>Despesa 643</v>
      </c>
      <c r="F645" s="53" t="s">
        <v>67</v>
      </c>
      <c r="G645" s="54" t="s">
        <v>25</v>
      </c>
      <c r="H645" s="55">
        <v>46188</v>
      </c>
      <c r="I645" s="55"/>
      <c r="J645" s="50" t="str">
        <f t="shared" si="151"/>
        <v>Observação da despesa 643</v>
      </c>
      <c r="K645" s="43">
        <v>-24</v>
      </c>
      <c r="L645" s="43">
        <f t="shared" si="152"/>
        <v>152.95000000000073</v>
      </c>
      <c r="M645" s="183"/>
      <c r="N645" s="37" t="str">
        <f t="shared" si="0"/>
        <v>MCSOPF1CPF - Desp. Alimentação / Refeição</v>
      </c>
      <c r="O645" s="37" t="str">
        <f t="shared" si="1"/>
        <v>OPF1CPF - Desp. Alimentação / Refeição</v>
      </c>
      <c r="P645" s="37" t="str">
        <f t="shared" si="2"/>
        <v>MCSOPF1CPF - Desp. Alimentação / Refeição</v>
      </c>
      <c r="Q645" s="37" t="str">
        <f t="shared" si="3"/>
        <v>MCSOPF1</v>
      </c>
      <c r="R645" s="37" t="str">
        <f t="shared" si="4"/>
        <v>MCSOPF1</v>
      </c>
      <c r="S645" s="31"/>
      <c r="T645" s="185">
        <f t="shared" si="5"/>
        <v>46174</v>
      </c>
      <c r="U645" s="181">
        <v>643</v>
      </c>
    </row>
    <row r="646" spans="2:21" s="181" customFormat="1" x14ac:dyDescent="0.25">
      <c r="B646" s="182" t="s">
        <v>25</v>
      </c>
      <c r="C646" s="183"/>
      <c r="D646" s="54" t="str">
        <f>INDEX(Cad_Natureza!$B$3:$C$52,MATCH('2026'!F646,Cad_Natureza!$C$3:$C$52,0),MATCH('2026'!D$2,Cad_Natureza!$B$3:$C$3,0))</f>
        <v>PENS6</v>
      </c>
      <c r="E646" s="52" t="str">
        <f t="shared" si="150"/>
        <v>Despesa 644</v>
      </c>
      <c r="F646" s="53" t="s">
        <v>34</v>
      </c>
      <c r="G646" s="54" t="s">
        <v>25</v>
      </c>
      <c r="H646" s="55">
        <v>46188</v>
      </c>
      <c r="I646" s="55"/>
      <c r="J646" s="50" t="str">
        <f t="shared" si="151"/>
        <v>Observação da despesa 644</v>
      </c>
      <c r="K646" s="43">
        <v>-35.93</v>
      </c>
      <c r="L646" s="43">
        <f t="shared" si="152"/>
        <v>117.02000000000072</v>
      </c>
      <c r="M646" s="183"/>
      <c r="N646" s="37" t="str">
        <f t="shared" si="0"/>
        <v>MCSPENS6CPF - Pensão - Farmácia e Saúde</v>
      </c>
      <c r="O646" s="37" t="str">
        <f t="shared" si="1"/>
        <v>PENS6CPF - Pensão - Farmácia e Saúde</v>
      </c>
      <c r="P646" s="37" t="str">
        <f t="shared" si="2"/>
        <v>MCSPENS6CPF - Pensão - Farmácia e Saúde</v>
      </c>
      <c r="Q646" s="37" t="str">
        <f t="shared" si="3"/>
        <v>MCSPENS6</v>
      </c>
      <c r="R646" s="37" t="str">
        <f t="shared" si="4"/>
        <v>MCSPENS6</v>
      </c>
      <c r="S646" s="31"/>
      <c r="T646" s="185">
        <f t="shared" si="5"/>
        <v>46174</v>
      </c>
      <c r="U646" s="181">
        <v>644</v>
      </c>
    </row>
    <row r="647" spans="2:21" s="181" customFormat="1" x14ac:dyDescent="0.25">
      <c r="B647" s="182" t="s">
        <v>25</v>
      </c>
      <c r="C647" s="183"/>
      <c r="D647" s="54" t="str">
        <f>INDEX(Cad_Natureza!$B$3:$C$52,MATCH('2026'!F647,Cad_Natureza!$C$3:$C$52,0),MATCH('2026'!D$2,Cad_Natureza!$B$3:$C$3,0))</f>
        <v>DESP4</v>
      </c>
      <c r="E647" s="52" t="str">
        <f t="shared" si="150"/>
        <v>Despesa 645</v>
      </c>
      <c r="F647" s="53" t="s">
        <v>74</v>
      </c>
      <c r="G647" s="54" t="s">
        <v>25</v>
      </c>
      <c r="H647" s="55">
        <v>46188</v>
      </c>
      <c r="I647" s="55"/>
      <c r="J647" s="50" t="str">
        <f t="shared" si="151"/>
        <v>Observação da despesa 645</v>
      </c>
      <c r="K647" s="43">
        <v>-15</v>
      </c>
      <c r="L647" s="43">
        <f t="shared" si="152"/>
        <v>102.02000000000072</v>
      </c>
      <c r="M647" s="183"/>
      <c r="N647" s="37" t="str">
        <f t="shared" si="0"/>
        <v>MCSDESP4CPF - Desp. Moradia</v>
      </c>
      <c r="O647" s="37" t="str">
        <f t="shared" si="1"/>
        <v>DESP4CPF - Desp. Moradia</v>
      </c>
      <c r="P647" s="37" t="str">
        <f t="shared" si="2"/>
        <v>MCSDESP4CPF - Desp. Moradia</v>
      </c>
      <c r="Q647" s="37" t="str">
        <f t="shared" si="3"/>
        <v>MCSDESP4</v>
      </c>
      <c r="R647" s="37" t="str">
        <f t="shared" si="4"/>
        <v>MCSDESP4</v>
      </c>
      <c r="S647" s="31"/>
      <c r="T647" s="185">
        <f t="shared" si="5"/>
        <v>46174</v>
      </c>
      <c r="U647" s="181">
        <v>645</v>
      </c>
    </row>
    <row r="648" spans="2:21" s="181" customFormat="1" x14ac:dyDescent="0.25">
      <c r="B648" s="182" t="s">
        <v>25</v>
      </c>
      <c r="C648" s="183"/>
      <c r="D648" s="54" t="str">
        <f>INDEX(Cad_Natureza!$B$3:$C$52,MATCH('2026'!F648,Cad_Natureza!$C$3:$C$52,0),MATCH('2026'!D$2,Cad_Natureza!$B$3:$C$3,0))</f>
        <v>DESP3</v>
      </c>
      <c r="E648" s="52" t="str">
        <f t="shared" si="150"/>
        <v>Despesa 646</v>
      </c>
      <c r="F648" s="53" t="s">
        <v>59</v>
      </c>
      <c r="G648" s="54" t="s">
        <v>25</v>
      </c>
      <c r="H648" s="55">
        <v>46188</v>
      </c>
      <c r="I648" s="55"/>
      <c r="J648" s="50" t="str">
        <f t="shared" si="151"/>
        <v>Observação da despesa 646</v>
      </c>
      <c r="K648" s="43">
        <v>-15</v>
      </c>
      <c r="L648" s="43">
        <f t="shared" si="152"/>
        <v>87.020000000000721</v>
      </c>
      <c r="M648" s="183"/>
      <c r="N648" s="37" t="str">
        <f t="shared" ref="N648:N654" si="153">B648&amp;D648&amp;F648</f>
        <v xml:space="preserve">MCSDESP3CPF - Desp. com veículo - Manut. / Gastos </v>
      </c>
      <c r="O648" s="37" t="str">
        <f t="shared" ref="O648:O654" si="154">D648&amp;F648</f>
        <v xml:space="preserve">DESP3CPF - Desp. com veículo - Manut. / Gastos </v>
      </c>
      <c r="P648" s="37" t="str">
        <f t="shared" ref="P648:P654" si="155">"MCS"&amp;D648&amp;F648</f>
        <v xml:space="preserve">MCSDESP3CPF - Desp. com veículo - Manut. / Gastos </v>
      </c>
      <c r="Q648" s="37" t="str">
        <f t="shared" ref="Q648:Q654" si="156">"MCS"&amp;D648</f>
        <v>MCSDESP3</v>
      </c>
      <c r="R648" s="37" t="str">
        <f t="shared" ref="R648:R654" si="157">B648&amp;D648</f>
        <v>MCSDESP3</v>
      </c>
      <c r="S648" s="31"/>
      <c r="T648" s="185">
        <f t="shared" ref="T648:T654" si="158">(1&amp;"/"&amp;MONTH(H648)&amp;"/"&amp;YEAR(H648))*1</f>
        <v>46174</v>
      </c>
      <c r="U648" s="181">
        <v>646</v>
      </c>
    </row>
    <row r="649" spans="2:21" s="177" customFormat="1" x14ac:dyDescent="0.25">
      <c r="B649" s="174" t="s">
        <v>25</v>
      </c>
      <c r="C649" s="51"/>
      <c r="D649" s="44" t="str">
        <f>INDEX(Cad_Natureza!$B$3:$C$52,MATCH('2026'!F649,Cad_Natureza!$C$3:$C$52,0),MATCH('2026'!D$2,Cad_Natureza!$B$3:$C$3,0))</f>
        <v>REC4</v>
      </c>
      <c r="E649" s="45" t="str">
        <f t="shared" si="150"/>
        <v>Receita 647</v>
      </c>
      <c r="F649" s="46" t="s">
        <v>57</v>
      </c>
      <c r="G649" s="44" t="s">
        <v>25</v>
      </c>
      <c r="H649" s="47">
        <v>46188</v>
      </c>
      <c r="I649" s="47"/>
      <c r="J649" s="48" t="str">
        <f t="shared" si="151"/>
        <v>Observação da receita 647</v>
      </c>
      <c r="K649" s="49">
        <v>1000</v>
      </c>
      <c r="L649" s="49">
        <f t="shared" si="152"/>
        <v>1087.0200000000007</v>
      </c>
      <c r="M649" s="51"/>
      <c r="N649" s="37" t="str">
        <f t="shared" si="153"/>
        <v>MCSREC4CPF - Transf. Da conta PJ para a conta PF</v>
      </c>
      <c r="O649" s="37" t="str">
        <f t="shared" si="154"/>
        <v>REC4CPF - Transf. Da conta PJ para a conta PF</v>
      </c>
      <c r="P649" s="37" t="str">
        <f t="shared" si="155"/>
        <v>MCSREC4CPF - Transf. Da conta PJ para a conta PF</v>
      </c>
      <c r="Q649" s="37" t="str">
        <f t="shared" si="156"/>
        <v>MCSREC4</v>
      </c>
      <c r="R649" s="37" t="str">
        <f t="shared" si="157"/>
        <v>MCSREC4</v>
      </c>
      <c r="S649" s="31"/>
      <c r="T649" s="176">
        <f t="shared" si="158"/>
        <v>46174</v>
      </c>
      <c r="U649" s="181">
        <v>647</v>
      </c>
    </row>
    <row r="650" spans="2:21" s="181" customFormat="1" x14ac:dyDescent="0.25">
      <c r="B650" s="182" t="s">
        <v>25</v>
      </c>
      <c r="C650" s="183"/>
      <c r="D650" s="54" t="str">
        <f>INDEX(Cad_Natureza!$B$3:$C$52,MATCH('2026'!F650,Cad_Natureza!$C$3:$C$52,0),MATCH('2026'!D$2,Cad_Natureza!$B$3:$C$3,0))</f>
        <v>PENS2</v>
      </c>
      <c r="E650" s="52" t="str">
        <f t="shared" si="150"/>
        <v>Despesa 648</v>
      </c>
      <c r="F650" s="53" t="s">
        <v>38</v>
      </c>
      <c r="G650" s="54" t="s">
        <v>25</v>
      </c>
      <c r="H650" s="55">
        <v>46188</v>
      </c>
      <c r="I650" s="55"/>
      <c r="J650" s="50" t="str">
        <f t="shared" si="151"/>
        <v>Observação da despesa 648</v>
      </c>
      <c r="K650" s="43">
        <v>-490.89</v>
      </c>
      <c r="L650" s="43">
        <f t="shared" si="152"/>
        <v>596.13000000000068</v>
      </c>
      <c r="M650" s="183"/>
      <c r="N650" s="37" t="str">
        <f t="shared" si="153"/>
        <v>MCSPENS2CPF - Pensão - Energia</v>
      </c>
      <c r="O650" s="37" t="str">
        <f t="shared" si="154"/>
        <v>PENS2CPF - Pensão - Energia</v>
      </c>
      <c r="P650" s="37" t="str">
        <f t="shared" si="155"/>
        <v>MCSPENS2CPF - Pensão - Energia</v>
      </c>
      <c r="Q650" s="37" t="str">
        <f t="shared" si="156"/>
        <v>MCSPENS2</v>
      </c>
      <c r="R650" s="37" t="str">
        <f t="shared" si="157"/>
        <v>MCSPENS2</v>
      </c>
      <c r="S650" s="31"/>
      <c r="T650" s="185">
        <f t="shared" si="158"/>
        <v>46174</v>
      </c>
      <c r="U650" s="181">
        <v>648</v>
      </c>
    </row>
    <row r="651" spans="2:21" s="39" customFormat="1" x14ac:dyDescent="0.25">
      <c r="B651" s="30" t="s">
        <v>25</v>
      </c>
      <c r="C651" s="31"/>
      <c r="D651" s="32" t="e">
        <f>INDEX(Cad_Natureza!$B$3:$C$52,MATCH('2026'!F651,Cad_Natureza!$C$3:$C$52,0),MATCH('2026'!D$2,Cad_Natureza!$B$3:$C$3,0))</f>
        <v>#N/A</v>
      </c>
      <c r="E651" s="33"/>
      <c r="F651" s="34"/>
      <c r="G651" s="32" t="s">
        <v>25</v>
      </c>
      <c r="H651" s="35"/>
      <c r="I651" s="35"/>
      <c r="J651" s="36"/>
      <c r="K651" s="17"/>
      <c r="L651" s="17"/>
      <c r="M651" s="31"/>
      <c r="N651" s="37" t="e">
        <f t="shared" si="153"/>
        <v>#N/A</v>
      </c>
      <c r="O651" s="37" t="e">
        <f t="shared" si="154"/>
        <v>#N/A</v>
      </c>
      <c r="P651" s="37" t="e">
        <f t="shared" si="155"/>
        <v>#N/A</v>
      </c>
      <c r="Q651" s="37" t="e">
        <f t="shared" si="156"/>
        <v>#N/A</v>
      </c>
      <c r="R651" s="37" t="e">
        <f t="shared" si="157"/>
        <v>#N/A</v>
      </c>
      <c r="S651" s="31"/>
      <c r="T651" s="38">
        <f t="shared" si="158"/>
        <v>1</v>
      </c>
      <c r="U651" s="181">
        <v>649</v>
      </c>
    </row>
    <row r="652" spans="2:21" s="39" customFormat="1" x14ac:dyDescent="0.25">
      <c r="B652" s="30" t="s">
        <v>25</v>
      </c>
      <c r="C652" s="31"/>
      <c r="D652" s="32" t="e">
        <f>INDEX(Cad_Natureza!$B$3:$C$52,MATCH('2026'!F652,Cad_Natureza!$C$3:$C$52,0),MATCH('2026'!D$2,Cad_Natureza!$B$3:$C$3,0))</f>
        <v>#N/A</v>
      </c>
      <c r="E652" s="33"/>
      <c r="F652" s="34"/>
      <c r="G652" s="32" t="s">
        <v>25</v>
      </c>
      <c r="H652" s="35"/>
      <c r="I652" s="35"/>
      <c r="J652" s="36"/>
      <c r="K652" s="17"/>
      <c r="L652" s="17"/>
      <c r="M652" s="31"/>
      <c r="N652" s="37" t="e">
        <f t="shared" si="153"/>
        <v>#N/A</v>
      </c>
      <c r="O652" s="37" t="e">
        <f t="shared" si="154"/>
        <v>#N/A</v>
      </c>
      <c r="P652" s="37" t="e">
        <f t="shared" si="155"/>
        <v>#N/A</v>
      </c>
      <c r="Q652" s="37" t="e">
        <f t="shared" si="156"/>
        <v>#N/A</v>
      </c>
      <c r="R652" s="37" t="e">
        <f t="shared" si="157"/>
        <v>#N/A</v>
      </c>
      <c r="S652" s="31"/>
      <c r="T652" s="38">
        <f t="shared" si="158"/>
        <v>1</v>
      </c>
      <c r="U652" s="181">
        <v>650</v>
      </c>
    </row>
    <row r="653" spans="2:21" s="39" customFormat="1" x14ac:dyDescent="0.25">
      <c r="B653" s="30" t="s">
        <v>25</v>
      </c>
      <c r="C653" s="31"/>
      <c r="D653" s="32" t="e">
        <f>INDEX(Cad_Natureza!$B$3:$C$52,MATCH('2026'!F653,Cad_Natureza!$C$3:$C$52,0),MATCH('2026'!D$2,Cad_Natureza!$B$3:$C$3,0))</f>
        <v>#N/A</v>
      </c>
      <c r="E653" s="33"/>
      <c r="F653" s="34"/>
      <c r="G653" s="32" t="s">
        <v>25</v>
      </c>
      <c r="H653" s="35"/>
      <c r="I653" s="35"/>
      <c r="J653" s="36"/>
      <c r="K653" s="17"/>
      <c r="L653" s="17"/>
      <c r="M653" s="31"/>
      <c r="N653" s="37" t="e">
        <f t="shared" si="153"/>
        <v>#N/A</v>
      </c>
      <c r="O653" s="37" t="e">
        <f t="shared" si="154"/>
        <v>#N/A</v>
      </c>
      <c r="P653" s="37" t="e">
        <f t="shared" si="155"/>
        <v>#N/A</v>
      </c>
      <c r="Q653" s="37" t="e">
        <f t="shared" si="156"/>
        <v>#N/A</v>
      </c>
      <c r="R653" s="37" t="e">
        <f t="shared" si="157"/>
        <v>#N/A</v>
      </c>
      <c r="S653" s="31"/>
      <c r="T653" s="38">
        <f t="shared" si="158"/>
        <v>1</v>
      </c>
      <c r="U653" s="181">
        <v>651</v>
      </c>
    </row>
    <row r="654" spans="2:21" s="39" customFormat="1" x14ac:dyDescent="0.25">
      <c r="B654" s="30" t="s">
        <v>25</v>
      </c>
      <c r="C654" s="31"/>
      <c r="D654" s="32" t="e">
        <f>INDEX(Cad_Natureza!$B$3:$C$52,MATCH('2026'!F654,Cad_Natureza!$C$3:$C$52,0),MATCH('2026'!D$2,Cad_Natureza!$B$3:$C$3,0))</f>
        <v>#N/A</v>
      </c>
      <c r="E654" s="33"/>
      <c r="F654" s="34"/>
      <c r="G654" s="32" t="s">
        <v>25</v>
      </c>
      <c r="H654" s="35"/>
      <c r="I654" s="35"/>
      <c r="J654" s="36"/>
      <c r="K654" s="17"/>
      <c r="L654" s="17"/>
      <c r="M654" s="31"/>
      <c r="N654" s="37" t="e">
        <f t="shared" si="153"/>
        <v>#N/A</v>
      </c>
      <c r="O654" s="37" t="e">
        <f t="shared" si="154"/>
        <v>#N/A</v>
      </c>
      <c r="P654" s="37" t="e">
        <f t="shared" si="155"/>
        <v>#N/A</v>
      </c>
      <c r="Q654" s="37" t="e">
        <f t="shared" si="156"/>
        <v>#N/A</v>
      </c>
      <c r="R654" s="37" t="e">
        <f t="shared" si="157"/>
        <v>#N/A</v>
      </c>
      <c r="S654" s="31"/>
      <c r="T654" s="38">
        <f t="shared" si="158"/>
        <v>1</v>
      </c>
      <c r="U654" s="181">
        <v>652</v>
      </c>
    </row>
    <row r="655" spans="2:21" s="39" customFormat="1" x14ac:dyDescent="0.25">
      <c r="B655" s="30" t="s">
        <v>25</v>
      </c>
      <c r="C655" s="31"/>
      <c r="D655" s="32" t="e">
        <f>INDEX(Cad_Natureza!$B$3:$C$52,MATCH('2026'!F655,Cad_Natureza!$C$3:$C$52,0),MATCH('2026'!D$2,Cad_Natureza!$B$3:$C$3,0))</f>
        <v>#N/A</v>
      </c>
      <c r="E655" s="33"/>
      <c r="F655" s="34"/>
      <c r="G655" s="32" t="s">
        <v>25</v>
      </c>
      <c r="H655" s="35"/>
      <c r="I655" s="35"/>
      <c r="J655" s="36"/>
      <c r="K655" s="17"/>
      <c r="L655" s="17"/>
      <c r="M655" s="31"/>
      <c r="N655" s="37" t="e">
        <f t="shared" si="0"/>
        <v>#N/A</v>
      </c>
      <c r="O655" s="37" t="e">
        <f t="shared" si="1"/>
        <v>#N/A</v>
      </c>
      <c r="P655" s="37" t="e">
        <f t="shared" si="2"/>
        <v>#N/A</v>
      </c>
      <c r="Q655" s="37" t="e">
        <f t="shared" si="3"/>
        <v>#N/A</v>
      </c>
      <c r="R655" s="37" t="e">
        <f t="shared" si="4"/>
        <v>#N/A</v>
      </c>
      <c r="S655" s="31"/>
      <c r="T655" s="38">
        <f t="shared" si="5"/>
        <v>1</v>
      </c>
      <c r="U655" s="181">
        <v>653</v>
      </c>
    </row>
    <row r="656" spans="2:21" s="39" customFormat="1" x14ac:dyDescent="0.25">
      <c r="B656" s="30" t="s">
        <v>25</v>
      </c>
      <c r="C656" s="31"/>
      <c r="D656" s="32" t="e">
        <f>INDEX(Cad_Natureza!$B$3:$C$52,MATCH('2026'!F656,Cad_Natureza!$C$3:$C$52,0),MATCH('2026'!D$2,Cad_Natureza!$B$3:$C$3,0))</f>
        <v>#N/A</v>
      </c>
      <c r="E656" s="33"/>
      <c r="F656" s="34"/>
      <c r="G656" s="32" t="s">
        <v>25</v>
      </c>
      <c r="H656" s="35"/>
      <c r="I656" s="35"/>
      <c r="J656" s="36"/>
      <c r="K656" s="17"/>
      <c r="L656" s="17"/>
      <c r="M656" s="31"/>
      <c r="N656" s="37" t="e">
        <f t="shared" si="0"/>
        <v>#N/A</v>
      </c>
      <c r="O656" s="37" t="e">
        <f t="shared" si="1"/>
        <v>#N/A</v>
      </c>
      <c r="P656" s="37" t="e">
        <f t="shared" si="2"/>
        <v>#N/A</v>
      </c>
      <c r="Q656" s="37" t="e">
        <f t="shared" si="3"/>
        <v>#N/A</v>
      </c>
      <c r="R656" s="37" t="e">
        <f t="shared" si="4"/>
        <v>#N/A</v>
      </c>
      <c r="S656" s="31"/>
      <c r="T656" s="38">
        <f t="shared" si="5"/>
        <v>1</v>
      </c>
      <c r="U656" s="181">
        <v>654</v>
      </c>
    </row>
    <row r="657" spans="2:21" s="137" customFormat="1" x14ac:dyDescent="0.25">
      <c r="B657" s="137" t="s">
        <v>18</v>
      </c>
      <c r="C657" s="138" t="s">
        <v>18</v>
      </c>
      <c r="D657" s="137" t="s">
        <v>18</v>
      </c>
      <c r="E657" s="137" t="s">
        <v>18</v>
      </c>
      <c r="F657" s="26" t="s">
        <v>18</v>
      </c>
      <c r="G657" s="137" t="s">
        <v>18</v>
      </c>
      <c r="H657" s="137" t="s">
        <v>18</v>
      </c>
      <c r="I657" s="171" t="s">
        <v>18</v>
      </c>
      <c r="J657" s="137" t="s">
        <v>18</v>
      </c>
      <c r="K657" s="137" t="s">
        <v>18</v>
      </c>
      <c r="M657" s="138" t="s">
        <v>18</v>
      </c>
      <c r="N657" s="26" t="s">
        <v>18</v>
      </c>
      <c r="O657" s="26" t="s">
        <v>18</v>
      </c>
      <c r="P657" s="26" t="s">
        <v>18</v>
      </c>
      <c r="Q657" s="26" t="s">
        <v>18</v>
      </c>
      <c r="R657" s="26" t="s">
        <v>18</v>
      </c>
      <c r="S657" s="138" t="s">
        <v>18</v>
      </c>
      <c r="T657" s="137" t="s">
        <v>18</v>
      </c>
      <c r="U657" s="181">
        <v>655</v>
      </c>
    </row>
  </sheetData>
  <autoFilter ref="B2:T2" xr:uid="{00000000-0001-0000-0200-000000000000}"/>
  <dataValidations count="2">
    <dataValidation type="list" allowBlank="1" showInputMessage="1" showErrorMessage="1" sqref="G3:G656" xr:uid="{4764DC36-33F0-411A-AA9A-D876A5FC283A}">
      <formula1>Lista_Socios</formula1>
    </dataValidation>
    <dataValidation type="list" allowBlank="1" showInputMessage="1" showErrorMessage="1" sqref="F3:F656" xr:uid="{21075B2A-B49C-4970-B292-6CAB86A14248}">
      <formula1>Lista_CRs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B6FB7-FB37-48C8-B254-ECF8F8319422}">
  <sheetPr codeName="Planilha1"/>
  <dimension ref="B3:H53"/>
  <sheetViews>
    <sheetView showGridLines="0" zoomScale="85" zoomScaleNormal="85" workbookViewId="0">
      <pane ySplit="3" topLeftCell="A4" activePane="bottomLeft" state="frozen"/>
      <selection pane="bottomLeft" activeCell="H5" sqref="H5"/>
    </sheetView>
  </sheetViews>
  <sheetFormatPr defaultRowHeight="15" x14ac:dyDescent="0.25"/>
  <cols>
    <col min="1" max="1" width="3.42578125" customWidth="1"/>
    <col min="3" max="3" width="47" bestFit="1" customWidth="1"/>
    <col min="4" max="4" width="8.42578125" customWidth="1"/>
    <col min="5" max="5" width="11.140625" customWidth="1"/>
  </cols>
  <sheetData>
    <row r="3" spans="2:8" x14ac:dyDescent="0.25">
      <c r="B3" s="56" t="s">
        <v>30</v>
      </c>
      <c r="C3" s="57" t="s">
        <v>27</v>
      </c>
      <c r="E3" s="134" t="s">
        <v>98</v>
      </c>
      <c r="G3" s="134" t="s">
        <v>109</v>
      </c>
    </row>
    <row r="4" spans="2:8" x14ac:dyDescent="0.25">
      <c r="B4" s="59" t="s">
        <v>29</v>
      </c>
      <c r="C4" s="58" t="s">
        <v>28</v>
      </c>
      <c r="E4" s="135" t="s">
        <v>25</v>
      </c>
      <c r="F4" t="str">
        <f ca="1">OFFSET(Cad_Natureza!$E$4,0,0,COUNTA(Cad_Natureza!$E$4:$E$102))</f>
        <v>MCS</v>
      </c>
      <c r="G4" s="135" t="s">
        <v>107</v>
      </c>
      <c r="H4" t="str">
        <f ca="1">OFFSET(Cad_Natureza!$G$4,0,0,COUNTA(Cad_Natureza!$G$4:$G$102))</f>
        <v>REAL</v>
      </c>
    </row>
    <row r="5" spans="2:8" x14ac:dyDescent="0.25">
      <c r="B5" s="59" t="s">
        <v>12</v>
      </c>
      <c r="C5" s="60" t="s">
        <v>68</v>
      </c>
      <c r="E5" s="135"/>
      <c r="G5" s="135" t="s">
        <v>108</v>
      </c>
      <c r="H5" t="str">
        <f ca="1">OFFSET(Cad_Natureza!$G$4,0,0,COUNTA(Cad_Natureza!$G$4:$G$102))</f>
        <v>PREVISTO</v>
      </c>
    </row>
    <row r="6" spans="2:8" x14ac:dyDescent="0.25">
      <c r="B6" s="59" t="s">
        <v>13</v>
      </c>
      <c r="C6" s="60" t="s">
        <v>84</v>
      </c>
      <c r="E6" s="135"/>
    </row>
    <row r="7" spans="2:8" x14ac:dyDescent="0.25">
      <c r="B7" s="59" t="s">
        <v>14</v>
      </c>
      <c r="C7" s="60" t="s">
        <v>85</v>
      </c>
    </row>
    <row r="8" spans="2:8" x14ac:dyDescent="0.25">
      <c r="B8" s="59" t="s">
        <v>15</v>
      </c>
      <c r="C8" s="60" t="s">
        <v>57</v>
      </c>
    </row>
    <row r="9" spans="2:8" x14ac:dyDescent="0.25">
      <c r="B9" s="59" t="s">
        <v>53</v>
      </c>
      <c r="C9" s="60" t="s">
        <v>63</v>
      </c>
    </row>
    <row r="10" spans="2:8" x14ac:dyDescent="0.25">
      <c r="B10" s="59" t="s">
        <v>97</v>
      </c>
      <c r="C10" s="60" t="s">
        <v>75</v>
      </c>
    </row>
    <row r="11" spans="2:8" x14ac:dyDescent="0.25">
      <c r="B11" s="59" t="s">
        <v>76</v>
      </c>
      <c r="C11" s="60" t="s">
        <v>83</v>
      </c>
    </row>
    <row r="12" spans="2:8" x14ac:dyDescent="0.25">
      <c r="B12" s="61"/>
      <c r="C12" s="62"/>
    </row>
    <row r="13" spans="2:8" x14ac:dyDescent="0.25">
      <c r="B13" s="61" t="s">
        <v>8</v>
      </c>
      <c r="C13" s="62" t="s">
        <v>67</v>
      </c>
    </row>
    <row r="14" spans="2:8" x14ac:dyDescent="0.25">
      <c r="B14" s="61" t="s">
        <v>9</v>
      </c>
      <c r="C14" s="62" t="s">
        <v>64</v>
      </c>
    </row>
    <row r="15" spans="2:8" x14ac:dyDescent="0.25">
      <c r="B15" s="132" t="s">
        <v>44</v>
      </c>
      <c r="C15" s="133" t="s">
        <v>56</v>
      </c>
    </row>
    <row r="16" spans="2:8" x14ac:dyDescent="0.25">
      <c r="B16" s="132" t="s">
        <v>45</v>
      </c>
      <c r="C16" s="133" t="s">
        <v>62</v>
      </c>
      <c r="E16" s="41"/>
      <c r="F16" s="41"/>
    </row>
    <row r="17" spans="2:6" x14ac:dyDescent="0.25">
      <c r="B17" s="132" t="s">
        <v>46</v>
      </c>
      <c r="C17" s="133" t="s">
        <v>59</v>
      </c>
      <c r="E17" s="41"/>
      <c r="F17" s="41"/>
    </row>
    <row r="18" spans="2:6" x14ac:dyDescent="0.25">
      <c r="B18" s="132" t="s">
        <v>47</v>
      </c>
      <c r="C18" s="133" t="s">
        <v>74</v>
      </c>
      <c r="E18" s="41"/>
      <c r="F18" s="41"/>
    </row>
    <row r="19" spans="2:6" x14ac:dyDescent="0.25">
      <c r="B19" s="132" t="s">
        <v>55</v>
      </c>
      <c r="C19" s="133" t="s">
        <v>73</v>
      </c>
      <c r="E19" s="41"/>
      <c r="F19" s="41"/>
    </row>
    <row r="20" spans="2:6" x14ac:dyDescent="0.25">
      <c r="B20" s="62" t="s">
        <v>77</v>
      </c>
      <c r="C20" s="62" t="s">
        <v>65</v>
      </c>
      <c r="E20" s="41"/>
      <c r="F20" s="41"/>
    </row>
    <row r="21" spans="2:6" x14ac:dyDescent="0.25">
      <c r="B21" s="62" t="s">
        <v>78</v>
      </c>
      <c r="C21" s="62" t="s">
        <v>66</v>
      </c>
      <c r="E21" s="42"/>
      <c r="F21" s="42"/>
    </row>
    <row r="22" spans="2:6" x14ac:dyDescent="0.25">
      <c r="B22" s="132" t="s">
        <v>11</v>
      </c>
      <c r="C22" s="133" t="s">
        <v>36</v>
      </c>
      <c r="E22" s="42"/>
      <c r="F22" s="42"/>
    </row>
    <row r="23" spans="2:6" x14ac:dyDescent="0.25">
      <c r="B23" s="132" t="s">
        <v>37</v>
      </c>
      <c r="C23" s="133" t="s">
        <v>72</v>
      </c>
      <c r="E23" s="42"/>
      <c r="F23" s="42"/>
    </row>
    <row r="24" spans="2:6" x14ac:dyDescent="0.25">
      <c r="B24" s="132" t="s">
        <v>112</v>
      </c>
      <c r="C24" s="133" t="s">
        <v>113</v>
      </c>
      <c r="E24" s="42"/>
      <c r="F24" s="42"/>
    </row>
    <row r="25" spans="2:6" x14ac:dyDescent="0.25">
      <c r="B25" s="61" t="s">
        <v>10</v>
      </c>
      <c r="C25" s="62" t="s">
        <v>32</v>
      </c>
      <c r="E25" s="42"/>
      <c r="F25" s="42"/>
    </row>
    <row r="26" spans="2:6" x14ac:dyDescent="0.25">
      <c r="B26" s="132" t="s">
        <v>79</v>
      </c>
      <c r="C26" s="133" t="s">
        <v>70</v>
      </c>
      <c r="E26" s="42"/>
      <c r="F26" s="42"/>
    </row>
    <row r="27" spans="2:6" x14ac:dyDescent="0.25">
      <c r="B27" s="61"/>
      <c r="C27" s="62"/>
      <c r="E27" s="42"/>
      <c r="F27" s="42"/>
    </row>
    <row r="28" spans="2:6" x14ac:dyDescent="0.25">
      <c r="B28" s="61" t="s">
        <v>41</v>
      </c>
      <c r="C28" s="62" t="s">
        <v>40</v>
      </c>
      <c r="E28" s="42"/>
      <c r="F28" s="42"/>
    </row>
    <row r="29" spans="2:6" x14ac:dyDescent="0.25">
      <c r="B29" s="61" t="s">
        <v>42</v>
      </c>
      <c r="C29" s="62" t="s">
        <v>38</v>
      </c>
      <c r="E29" s="42"/>
      <c r="F29" s="42"/>
    </row>
    <row r="30" spans="2:6" x14ac:dyDescent="0.25">
      <c r="B30" s="61" t="s">
        <v>43</v>
      </c>
      <c r="C30" s="62" t="s">
        <v>69</v>
      </c>
      <c r="E30" s="42"/>
      <c r="F30" s="42"/>
    </row>
    <row r="31" spans="2:6" x14ac:dyDescent="0.25">
      <c r="B31" s="61" t="s">
        <v>48</v>
      </c>
      <c r="C31" s="62" t="s">
        <v>71</v>
      </c>
      <c r="E31" s="42"/>
      <c r="F31" s="42"/>
    </row>
    <row r="32" spans="2:6" x14ac:dyDescent="0.25">
      <c r="B32" s="61" t="s">
        <v>49</v>
      </c>
      <c r="C32" s="62" t="s">
        <v>39</v>
      </c>
      <c r="E32" s="42"/>
      <c r="F32" s="42"/>
    </row>
    <row r="33" spans="2:6" x14ac:dyDescent="0.25">
      <c r="B33" s="61" t="s">
        <v>50</v>
      </c>
      <c r="C33" s="62" t="s">
        <v>34</v>
      </c>
      <c r="E33" s="42"/>
      <c r="F33" s="42"/>
    </row>
    <row r="34" spans="2:6" x14ac:dyDescent="0.25">
      <c r="B34" s="61" t="s">
        <v>51</v>
      </c>
      <c r="C34" s="62" t="s">
        <v>60</v>
      </c>
      <c r="E34" s="42"/>
      <c r="F34" s="42"/>
    </row>
    <row r="35" spans="2:6" x14ac:dyDescent="0.25">
      <c r="B35" s="61" t="s">
        <v>52</v>
      </c>
      <c r="C35" s="62" t="s">
        <v>33</v>
      </c>
      <c r="E35" s="42"/>
      <c r="F35" s="42"/>
    </row>
    <row r="36" spans="2:6" x14ac:dyDescent="0.25">
      <c r="B36" s="61" t="s">
        <v>61</v>
      </c>
      <c r="C36" s="62" t="s">
        <v>58</v>
      </c>
      <c r="E36" s="42"/>
      <c r="F36" s="42"/>
    </row>
    <row r="37" spans="2:6" x14ac:dyDescent="0.25">
      <c r="B37" s="61"/>
      <c r="C37" s="62"/>
    </row>
    <row r="38" spans="2:6" x14ac:dyDescent="0.25">
      <c r="B38" s="61"/>
      <c r="C38" s="62"/>
    </row>
    <row r="39" spans="2:6" x14ac:dyDescent="0.25">
      <c r="B39" s="61"/>
      <c r="C39" s="62"/>
      <c r="D39" s="42"/>
      <c r="E39" s="42"/>
      <c r="F39" s="42"/>
    </row>
    <row r="40" spans="2:6" x14ac:dyDescent="0.25">
      <c r="B40" s="130"/>
      <c r="C40" s="131"/>
      <c r="D40" s="42"/>
      <c r="E40" s="42"/>
      <c r="F40" s="42"/>
    </row>
    <row r="41" spans="2:6" x14ac:dyDescent="0.25">
      <c r="B41" s="130"/>
      <c r="C41" s="131"/>
      <c r="D41" s="42"/>
      <c r="E41" s="42"/>
      <c r="F41" s="42"/>
    </row>
    <row r="42" spans="2:6" x14ac:dyDescent="0.25">
      <c r="B42" s="130"/>
      <c r="C42" s="131"/>
      <c r="E42" s="42"/>
      <c r="F42" s="42"/>
    </row>
    <row r="43" spans="2:6" x14ac:dyDescent="0.25">
      <c r="B43" s="130"/>
      <c r="C43" s="131"/>
      <c r="E43" s="42"/>
      <c r="F43" s="42"/>
    </row>
    <row r="44" spans="2:6" x14ac:dyDescent="0.25">
      <c r="B44" s="130"/>
      <c r="C44" s="131"/>
      <c r="E44" s="42"/>
      <c r="F44" s="42"/>
    </row>
    <row r="45" spans="2:6" x14ac:dyDescent="0.25">
      <c r="B45" s="130"/>
      <c r="C45" s="131"/>
      <c r="E45" s="42"/>
      <c r="F45" s="42"/>
    </row>
    <row r="46" spans="2:6" x14ac:dyDescent="0.25">
      <c r="B46" s="130"/>
      <c r="C46" s="131"/>
      <c r="E46" s="42"/>
      <c r="F46" s="42"/>
    </row>
    <row r="47" spans="2:6" x14ac:dyDescent="0.25">
      <c r="B47" s="130"/>
      <c r="C47" s="131"/>
      <c r="E47" s="42"/>
      <c r="F47" s="42"/>
    </row>
    <row r="48" spans="2:6" x14ac:dyDescent="0.25">
      <c r="B48" s="130"/>
      <c r="C48" s="131"/>
      <c r="E48" s="42"/>
      <c r="F48" s="42"/>
    </row>
    <row r="49" spans="2:3" x14ac:dyDescent="0.25">
      <c r="B49" s="130"/>
      <c r="C49" s="131"/>
    </row>
    <row r="50" spans="2:3" x14ac:dyDescent="0.25">
      <c r="B50" s="130"/>
      <c r="C50" s="131"/>
    </row>
    <row r="51" spans="2:3" x14ac:dyDescent="0.25">
      <c r="B51" s="130"/>
      <c r="C51" s="131"/>
    </row>
    <row r="52" spans="2:3" x14ac:dyDescent="0.25">
      <c r="B52" s="130"/>
      <c r="C52" s="131"/>
    </row>
    <row r="53" spans="2:3" x14ac:dyDescent="0.25">
      <c r="B53" s="136" t="s">
        <v>54</v>
      </c>
      <c r="C53" s="136" t="s">
        <v>54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FLUXO DE CAIXA</vt:lpstr>
      <vt:lpstr>2026</vt:lpstr>
      <vt:lpstr>Cad_Natureza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marcelo Costa dos Santos</cp:lastModifiedBy>
  <cp:lastPrinted>2019-01-02T16:26:32Z</cp:lastPrinted>
  <dcterms:created xsi:type="dcterms:W3CDTF">2011-11-06T23:53:10Z</dcterms:created>
  <dcterms:modified xsi:type="dcterms:W3CDTF">2026-06-28T23:43:16Z</dcterms:modified>
</cp:coreProperties>
</file>