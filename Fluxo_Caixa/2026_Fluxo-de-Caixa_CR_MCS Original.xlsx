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E:\Fluxo_Caixa\"/>
    </mc:Choice>
  </mc:AlternateContent>
  <xr:revisionPtr revIDLastSave="0" documentId="13_ncr:1_{4FF24738-A12B-460C-99F7-317CB93A453B}" xr6:coauthVersionLast="47" xr6:coauthVersionMax="47" xr10:uidLastSave="{00000000-0000-0000-0000-000000000000}"/>
  <bookViews>
    <workbookView xWindow="-120" yWindow="-120" windowWidth="29040" windowHeight="15720" tabRatio="843" activeTab="2" xr2:uid="{00000000-000D-0000-FFFF-FFFF00000000}"/>
  </bookViews>
  <sheets>
    <sheet name="Cad_Natureza" sheetId="40" r:id="rId1"/>
    <sheet name="2025" sheetId="49" r:id="rId2"/>
    <sheet name="2026" sheetId="39" r:id="rId3"/>
    <sheet name="CAIXA_REAL" sheetId="46" r:id="rId4"/>
    <sheet name="CAIXA_PREVISTO" sheetId="48" r:id="rId5"/>
    <sheet name="PARETO" sheetId="47" r:id="rId6"/>
    <sheet name="Resumo - Ação" sheetId="50" r:id="rId7"/>
    <sheet name="2025_Pensao_INDICE" sheetId="45" r:id="rId8"/>
    <sheet name="Saneago" sheetId="42" r:id="rId9"/>
    <sheet name="Energia_Pgtos" sheetId="44" r:id="rId10"/>
    <sheet name="Composição" sheetId="51" r:id="rId11"/>
    <sheet name="Prev_Combust_Refei" sheetId="43" r:id="rId12"/>
  </sheets>
  <externalReferences>
    <externalReference r:id="rId13"/>
  </externalReferences>
  <definedNames>
    <definedName name="_xlnm._FilterDatabase" localSheetId="1" hidden="1">'2025'!$B$2:$V$2</definedName>
    <definedName name="_xlnm._FilterDatabase" localSheetId="2" hidden="1">'2026'!$B$2:$V$2</definedName>
    <definedName name="_xlnm._FilterDatabase" localSheetId="4" hidden="1">CAIXA_PREVISTO!$A$16:$R$39</definedName>
    <definedName name="_xlnm._FilterDatabase" localSheetId="3" hidden="1">CAIXA_REAL!$A$16:$R$39</definedName>
    <definedName name="_xlnm._FilterDatabase" localSheetId="10" hidden="1">Composição!$B$2:$L$30</definedName>
    <definedName name="_xlnm._FilterDatabase" localSheetId="5" hidden="1">PARETO!$B$5:$L$5</definedName>
    <definedName name="_xlnm._FilterDatabase" localSheetId="11" hidden="1">Prev_Combust_Refei!$B$2:$K$2</definedName>
    <definedName name="Fluxo" localSheetId="6">OFFSET([1]Cad_Natureza!$G$4,0,0,COUNTA([1]Cad_Natureza!$G$4:$G$102))</definedName>
    <definedName name="Fluxo">OFFSET(Cad_Natureza!$G$4,0,0,COUNTA(Cad_Natureza!$G$4:$G$102))</definedName>
    <definedName name="Lista_CRs" comment="Lista suspensa dos CRs" localSheetId="6">OFFSET([1]Cad_Natureza!$C$4,0,0,COUNTA([1]Cad_Natureza!$C$5:$C$52)+3)</definedName>
    <definedName name="Lista_CRs" comment="Lista suspensa dos CRs">OFFSET(Cad_Natureza!$C$4,0,0,COUNTA(Cad_Natureza!$C$5:$C$52)+3)</definedName>
    <definedName name="Lista_Socios" comment="Lista suspensa dos sócios" localSheetId="6">OFFSET([1]Cad_Natureza!$E$4,0,0,COUNTA([1]Cad_Natureza!$E$4:$E$102))</definedName>
    <definedName name="Lista_Socios" comment="Lista suspensa dos sócios">OFFSET(Cad_Natureza!$E$4,0,0,COUNTA(Cad_Natureza!$E$4:$E$102))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1" i="39" l="1"/>
  <c r="K660" i="39"/>
  <c r="K659" i="39"/>
  <c r="K658" i="39"/>
  <c r="K657" i="39"/>
  <c r="U420" i="39"/>
  <c r="T420" i="39"/>
  <c r="D420" i="39"/>
  <c r="P420" i="39" s="1"/>
  <c r="U419" i="39"/>
  <c r="T419" i="39"/>
  <c r="D419" i="39"/>
  <c r="P419" i="39" s="1"/>
  <c r="U418" i="39"/>
  <c r="T418" i="39"/>
  <c r="D418" i="39"/>
  <c r="P418" i="39" s="1"/>
  <c r="U417" i="39"/>
  <c r="T417" i="39"/>
  <c r="D417" i="39"/>
  <c r="P417" i="39" s="1"/>
  <c r="U416" i="39"/>
  <c r="T416" i="39"/>
  <c r="D416" i="39"/>
  <c r="P416" i="39" s="1"/>
  <c r="U415" i="39"/>
  <c r="T415" i="39"/>
  <c r="D415" i="39"/>
  <c r="P415" i="39" s="1"/>
  <c r="U414" i="39"/>
  <c r="T414" i="39"/>
  <c r="D414" i="39"/>
  <c r="P414" i="39" s="1"/>
  <c r="U413" i="39"/>
  <c r="T413" i="39"/>
  <c r="D413" i="39"/>
  <c r="P413" i="39" s="1"/>
  <c r="U412" i="39"/>
  <c r="T412" i="39"/>
  <c r="D412" i="39"/>
  <c r="P412" i="39" s="1"/>
  <c r="U411" i="39"/>
  <c r="T411" i="39"/>
  <c r="D411" i="39"/>
  <c r="P411" i="39" s="1"/>
  <c r="U410" i="39"/>
  <c r="T410" i="39"/>
  <c r="D410" i="39"/>
  <c r="P410" i="39" s="1"/>
  <c r="U409" i="39"/>
  <c r="T409" i="39"/>
  <c r="D409" i="39"/>
  <c r="P409" i="39" s="1"/>
  <c r="U408" i="39"/>
  <c r="T408" i="39"/>
  <c r="D408" i="39"/>
  <c r="P408" i="39" s="1"/>
  <c r="U407" i="39"/>
  <c r="T407" i="39"/>
  <c r="D407" i="39"/>
  <c r="P407" i="39" s="1"/>
  <c r="U406" i="39"/>
  <c r="T406" i="39"/>
  <c r="D406" i="39"/>
  <c r="P406" i="39" s="1"/>
  <c r="U405" i="39"/>
  <c r="T405" i="39"/>
  <c r="D405" i="39"/>
  <c r="P405" i="39" s="1"/>
  <c r="U404" i="39"/>
  <c r="T404" i="39"/>
  <c r="D404" i="39"/>
  <c r="P404" i="39" s="1"/>
  <c r="U403" i="39"/>
  <c r="T403" i="39"/>
  <c r="D403" i="39"/>
  <c r="P403" i="39" s="1"/>
  <c r="U402" i="39"/>
  <c r="T402" i="39"/>
  <c r="D402" i="39"/>
  <c r="P402" i="39" s="1"/>
  <c r="U440" i="39"/>
  <c r="T440" i="39"/>
  <c r="D440" i="39"/>
  <c r="P440" i="39" s="1"/>
  <c r="U439" i="39"/>
  <c r="T439" i="39"/>
  <c r="D439" i="39"/>
  <c r="P439" i="39" s="1"/>
  <c r="U438" i="39"/>
  <c r="T438" i="39"/>
  <c r="D438" i="39"/>
  <c r="P438" i="39" s="1"/>
  <c r="U437" i="39"/>
  <c r="T437" i="39"/>
  <c r="D437" i="39"/>
  <c r="P437" i="39" s="1"/>
  <c r="U436" i="39"/>
  <c r="T436" i="39"/>
  <c r="D436" i="39"/>
  <c r="P436" i="39" s="1"/>
  <c r="U435" i="39"/>
  <c r="T435" i="39"/>
  <c r="D435" i="39"/>
  <c r="P435" i="39" s="1"/>
  <c r="U434" i="39"/>
  <c r="T434" i="39"/>
  <c r="D434" i="39"/>
  <c r="P434" i="39" s="1"/>
  <c r="U433" i="39"/>
  <c r="T433" i="39"/>
  <c r="D433" i="39"/>
  <c r="P433" i="39" s="1"/>
  <c r="U432" i="39"/>
  <c r="T432" i="39"/>
  <c r="D432" i="39"/>
  <c r="P432" i="39" s="1"/>
  <c r="U431" i="39"/>
  <c r="T431" i="39"/>
  <c r="D431" i="39"/>
  <c r="P431" i="39" s="1"/>
  <c r="U430" i="39"/>
  <c r="T430" i="39"/>
  <c r="D430" i="39"/>
  <c r="P430" i="39" s="1"/>
  <c r="U429" i="39"/>
  <c r="T429" i="39"/>
  <c r="D429" i="39"/>
  <c r="P429" i="39" s="1"/>
  <c r="U428" i="39"/>
  <c r="T428" i="39"/>
  <c r="D428" i="39"/>
  <c r="P428" i="39" s="1"/>
  <c r="U427" i="39"/>
  <c r="T427" i="39"/>
  <c r="D427" i="39"/>
  <c r="P427" i="39" s="1"/>
  <c r="U426" i="39"/>
  <c r="T426" i="39"/>
  <c r="D426" i="39"/>
  <c r="P426" i="39" s="1"/>
  <c r="U425" i="39"/>
  <c r="T425" i="39"/>
  <c r="D425" i="39"/>
  <c r="P425" i="39" s="1"/>
  <c r="U424" i="39"/>
  <c r="T424" i="39"/>
  <c r="D424" i="39"/>
  <c r="P424" i="39" s="1"/>
  <c r="U423" i="39"/>
  <c r="T423" i="39"/>
  <c r="D423" i="39"/>
  <c r="P423" i="39" s="1"/>
  <c r="U422" i="39"/>
  <c r="T422" i="39"/>
  <c r="D422" i="39"/>
  <c r="P422" i="39" s="1"/>
  <c r="U421" i="39"/>
  <c r="T421" i="39"/>
  <c r="D421" i="39"/>
  <c r="P421" i="39" s="1"/>
  <c r="U460" i="39"/>
  <c r="T460" i="39"/>
  <c r="D460" i="39"/>
  <c r="P460" i="39" s="1"/>
  <c r="U459" i="39"/>
  <c r="T459" i="39"/>
  <c r="D459" i="39"/>
  <c r="P459" i="39" s="1"/>
  <c r="U458" i="39"/>
  <c r="T458" i="39"/>
  <c r="D458" i="39"/>
  <c r="P458" i="39" s="1"/>
  <c r="U457" i="39"/>
  <c r="T457" i="39"/>
  <c r="D457" i="39"/>
  <c r="P457" i="39" s="1"/>
  <c r="U456" i="39"/>
  <c r="T456" i="39"/>
  <c r="D456" i="39"/>
  <c r="P456" i="39" s="1"/>
  <c r="U455" i="39"/>
  <c r="T455" i="39"/>
  <c r="D455" i="39"/>
  <c r="P455" i="39" s="1"/>
  <c r="U454" i="39"/>
  <c r="T454" i="39"/>
  <c r="D454" i="39"/>
  <c r="P454" i="39" s="1"/>
  <c r="U453" i="39"/>
  <c r="T453" i="39"/>
  <c r="D453" i="39"/>
  <c r="P453" i="39" s="1"/>
  <c r="U452" i="39"/>
  <c r="T452" i="39"/>
  <c r="D452" i="39"/>
  <c r="P452" i="39" s="1"/>
  <c r="U451" i="39"/>
  <c r="T451" i="39"/>
  <c r="D451" i="39"/>
  <c r="P451" i="39" s="1"/>
  <c r="U450" i="39"/>
  <c r="T450" i="39"/>
  <c r="D450" i="39"/>
  <c r="P450" i="39" s="1"/>
  <c r="U449" i="39"/>
  <c r="T449" i="39"/>
  <c r="D449" i="39"/>
  <c r="P449" i="39" s="1"/>
  <c r="U448" i="39"/>
  <c r="T448" i="39"/>
  <c r="D448" i="39"/>
  <c r="P448" i="39" s="1"/>
  <c r="U447" i="39"/>
  <c r="T447" i="39"/>
  <c r="D447" i="39"/>
  <c r="P447" i="39" s="1"/>
  <c r="U446" i="39"/>
  <c r="T446" i="39"/>
  <c r="D446" i="39"/>
  <c r="P446" i="39" s="1"/>
  <c r="U445" i="39"/>
  <c r="T445" i="39"/>
  <c r="D445" i="39"/>
  <c r="P445" i="39" s="1"/>
  <c r="U444" i="39"/>
  <c r="T444" i="39"/>
  <c r="D444" i="39"/>
  <c r="P444" i="39" s="1"/>
  <c r="U443" i="39"/>
  <c r="T443" i="39"/>
  <c r="D443" i="39"/>
  <c r="P443" i="39" s="1"/>
  <c r="U442" i="39"/>
  <c r="T442" i="39"/>
  <c r="D442" i="39"/>
  <c r="P442" i="39" s="1"/>
  <c r="U441" i="39"/>
  <c r="T441" i="39"/>
  <c r="D441" i="39"/>
  <c r="P441" i="39" s="1"/>
  <c r="U480" i="39"/>
  <c r="T480" i="39"/>
  <c r="D480" i="39"/>
  <c r="P480" i="39" s="1"/>
  <c r="U479" i="39"/>
  <c r="T479" i="39"/>
  <c r="D479" i="39"/>
  <c r="P479" i="39" s="1"/>
  <c r="U478" i="39"/>
  <c r="T478" i="39"/>
  <c r="D478" i="39"/>
  <c r="P478" i="39" s="1"/>
  <c r="U477" i="39"/>
  <c r="T477" i="39"/>
  <c r="D477" i="39"/>
  <c r="P477" i="39" s="1"/>
  <c r="U476" i="39"/>
  <c r="T476" i="39"/>
  <c r="D476" i="39"/>
  <c r="P476" i="39" s="1"/>
  <c r="U475" i="39"/>
  <c r="T475" i="39"/>
  <c r="D475" i="39"/>
  <c r="P475" i="39" s="1"/>
  <c r="U474" i="39"/>
  <c r="T474" i="39"/>
  <c r="D474" i="39"/>
  <c r="P474" i="39" s="1"/>
  <c r="U473" i="39"/>
  <c r="T473" i="39"/>
  <c r="D473" i="39"/>
  <c r="P473" i="39" s="1"/>
  <c r="U472" i="39"/>
  <c r="T472" i="39"/>
  <c r="D472" i="39"/>
  <c r="P472" i="39" s="1"/>
  <c r="U471" i="39"/>
  <c r="T471" i="39"/>
  <c r="D471" i="39"/>
  <c r="P471" i="39" s="1"/>
  <c r="U470" i="39"/>
  <c r="T470" i="39"/>
  <c r="D470" i="39"/>
  <c r="P470" i="39" s="1"/>
  <c r="U469" i="39"/>
  <c r="T469" i="39"/>
  <c r="D469" i="39"/>
  <c r="P469" i="39" s="1"/>
  <c r="U468" i="39"/>
  <c r="T468" i="39"/>
  <c r="D468" i="39"/>
  <c r="P468" i="39" s="1"/>
  <c r="U467" i="39"/>
  <c r="T467" i="39"/>
  <c r="D467" i="39"/>
  <c r="P467" i="39" s="1"/>
  <c r="U466" i="39"/>
  <c r="T466" i="39"/>
  <c r="D466" i="39"/>
  <c r="P466" i="39" s="1"/>
  <c r="U465" i="39"/>
  <c r="T465" i="39"/>
  <c r="D465" i="39"/>
  <c r="P465" i="39" s="1"/>
  <c r="U464" i="39"/>
  <c r="T464" i="39"/>
  <c r="D464" i="39"/>
  <c r="P464" i="39" s="1"/>
  <c r="U463" i="39"/>
  <c r="T463" i="39"/>
  <c r="D463" i="39"/>
  <c r="P463" i="39" s="1"/>
  <c r="U462" i="39"/>
  <c r="T462" i="39"/>
  <c r="D462" i="39"/>
  <c r="P462" i="39" s="1"/>
  <c r="U461" i="39"/>
  <c r="T461" i="39"/>
  <c r="D461" i="39"/>
  <c r="P461" i="39" s="1"/>
  <c r="U500" i="39"/>
  <c r="T500" i="39"/>
  <c r="D500" i="39"/>
  <c r="P500" i="39" s="1"/>
  <c r="U499" i="39"/>
  <c r="T499" i="39"/>
  <c r="D499" i="39"/>
  <c r="P499" i="39" s="1"/>
  <c r="U498" i="39"/>
  <c r="T498" i="39"/>
  <c r="D498" i="39"/>
  <c r="P498" i="39" s="1"/>
  <c r="U497" i="39"/>
  <c r="T497" i="39"/>
  <c r="D497" i="39"/>
  <c r="P497" i="39" s="1"/>
  <c r="U496" i="39"/>
  <c r="T496" i="39"/>
  <c r="D496" i="39"/>
  <c r="P496" i="39" s="1"/>
  <c r="U495" i="39"/>
  <c r="T495" i="39"/>
  <c r="D495" i="39"/>
  <c r="P495" i="39" s="1"/>
  <c r="U494" i="39"/>
  <c r="T494" i="39"/>
  <c r="D494" i="39"/>
  <c r="P494" i="39" s="1"/>
  <c r="U493" i="39"/>
  <c r="T493" i="39"/>
  <c r="D493" i="39"/>
  <c r="P493" i="39" s="1"/>
  <c r="U492" i="39"/>
  <c r="T492" i="39"/>
  <c r="D492" i="39"/>
  <c r="P492" i="39" s="1"/>
  <c r="U491" i="39"/>
  <c r="T491" i="39"/>
  <c r="D491" i="39"/>
  <c r="P491" i="39" s="1"/>
  <c r="U490" i="39"/>
  <c r="T490" i="39"/>
  <c r="D490" i="39"/>
  <c r="P490" i="39" s="1"/>
  <c r="U489" i="39"/>
  <c r="T489" i="39"/>
  <c r="D489" i="39"/>
  <c r="P489" i="39" s="1"/>
  <c r="U488" i="39"/>
  <c r="T488" i="39"/>
  <c r="D488" i="39"/>
  <c r="P488" i="39" s="1"/>
  <c r="U487" i="39"/>
  <c r="T487" i="39"/>
  <c r="D487" i="39"/>
  <c r="P487" i="39" s="1"/>
  <c r="U486" i="39"/>
  <c r="T486" i="39"/>
  <c r="D486" i="39"/>
  <c r="P486" i="39" s="1"/>
  <c r="U485" i="39"/>
  <c r="T485" i="39"/>
  <c r="D485" i="39"/>
  <c r="P485" i="39" s="1"/>
  <c r="U484" i="39"/>
  <c r="T484" i="39"/>
  <c r="D484" i="39"/>
  <c r="P484" i="39" s="1"/>
  <c r="U483" i="39"/>
  <c r="T483" i="39"/>
  <c r="D483" i="39"/>
  <c r="P483" i="39" s="1"/>
  <c r="U482" i="39"/>
  <c r="T482" i="39"/>
  <c r="D482" i="39"/>
  <c r="P482" i="39" s="1"/>
  <c r="U481" i="39"/>
  <c r="T481" i="39"/>
  <c r="D481" i="39"/>
  <c r="P481" i="39" s="1"/>
  <c r="U520" i="39"/>
  <c r="T520" i="39"/>
  <c r="D520" i="39"/>
  <c r="P520" i="39" s="1"/>
  <c r="U519" i="39"/>
  <c r="T519" i="39"/>
  <c r="D519" i="39"/>
  <c r="P519" i="39" s="1"/>
  <c r="U518" i="39"/>
  <c r="T518" i="39"/>
  <c r="D518" i="39"/>
  <c r="P518" i="39" s="1"/>
  <c r="U517" i="39"/>
  <c r="T517" i="39"/>
  <c r="D517" i="39"/>
  <c r="P517" i="39" s="1"/>
  <c r="U516" i="39"/>
  <c r="T516" i="39"/>
  <c r="D516" i="39"/>
  <c r="P516" i="39" s="1"/>
  <c r="U515" i="39"/>
  <c r="T515" i="39"/>
  <c r="D515" i="39"/>
  <c r="P515" i="39" s="1"/>
  <c r="U514" i="39"/>
  <c r="T514" i="39"/>
  <c r="D514" i="39"/>
  <c r="P514" i="39" s="1"/>
  <c r="U513" i="39"/>
  <c r="T513" i="39"/>
  <c r="D513" i="39"/>
  <c r="P513" i="39" s="1"/>
  <c r="U512" i="39"/>
  <c r="T512" i="39"/>
  <c r="D512" i="39"/>
  <c r="P512" i="39" s="1"/>
  <c r="U511" i="39"/>
  <c r="T511" i="39"/>
  <c r="D511" i="39"/>
  <c r="P511" i="39" s="1"/>
  <c r="U510" i="39"/>
  <c r="T510" i="39"/>
  <c r="D510" i="39"/>
  <c r="P510" i="39" s="1"/>
  <c r="U509" i="39"/>
  <c r="T509" i="39"/>
  <c r="D509" i="39"/>
  <c r="P509" i="39" s="1"/>
  <c r="U508" i="39"/>
  <c r="T508" i="39"/>
  <c r="D508" i="39"/>
  <c r="P508" i="39" s="1"/>
  <c r="U507" i="39"/>
  <c r="T507" i="39"/>
  <c r="D507" i="39"/>
  <c r="P507" i="39" s="1"/>
  <c r="U506" i="39"/>
  <c r="T506" i="39"/>
  <c r="D506" i="39"/>
  <c r="P506" i="39" s="1"/>
  <c r="U505" i="39"/>
  <c r="T505" i="39"/>
  <c r="D505" i="39"/>
  <c r="P505" i="39" s="1"/>
  <c r="U504" i="39"/>
  <c r="T504" i="39"/>
  <c r="D504" i="39"/>
  <c r="P504" i="39" s="1"/>
  <c r="U503" i="39"/>
  <c r="T503" i="39"/>
  <c r="D503" i="39"/>
  <c r="P503" i="39" s="1"/>
  <c r="U502" i="39"/>
  <c r="T502" i="39"/>
  <c r="D502" i="39"/>
  <c r="P502" i="39" s="1"/>
  <c r="U501" i="39"/>
  <c r="T501" i="39"/>
  <c r="D501" i="39"/>
  <c r="P501" i="39" s="1"/>
  <c r="U540" i="39"/>
  <c r="T540" i="39"/>
  <c r="D540" i="39"/>
  <c r="P540" i="39" s="1"/>
  <c r="U539" i="39"/>
  <c r="T539" i="39"/>
  <c r="D539" i="39"/>
  <c r="P539" i="39" s="1"/>
  <c r="U538" i="39"/>
  <c r="T538" i="39"/>
  <c r="D538" i="39"/>
  <c r="P538" i="39" s="1"/>
  <c r="U537" i="39"/>
  <c r="T537" i="39"/>
  <c r="D537" i="39"/>
  <c r="P537" i="39" s="1"/>
  <c r="U536" i="39"/>
  <c r="T536" i="39"/>
  <c r="D536" i="39"/>
  <c r="P536" i="39" s="1"/>
  <c r="U535" i="39"/>
  <c r="T535" i="39"/>
  <c r="D535" i="39"/>
  <c r="P535" i="39" s="1"/>
  <c r="U534" i="39"/>
  <c r="T534" i="39"/>
  <c r="D534" i="39"/>
  <c r="P534" i="39" s="1"/>
  <c r="U533" i="39"/>
  <c r="T533" i="39"/>
  <c r="D533" i="39"/>
  <c r="P533" i="39" s="1"/>
  <c r="U532" i="39"/>
  <c r="T532" i="39"/>
  <c r="D532" i="39"/>
  <c r="P532" i="39" s="1"/>
  <c r="U531" i="39"/>
  <c r="T531" i="39"/>
  <c r="D531" i="39"/>
  <c r="P531" i="39" s="1"/>
  <c r="U530" i="39"/>
  <c r="T530" i="39"/>
  <c r="D530" i="39"/>
  <c r="P530" i="39" s="1"/>
  <c r="U529" i="39"/>
  <c r="T529" i="39"/>
  <c r="D529" i="39"/>
  <c r="P529" i="39" s="1"/>
  <c r="U528" i="39"/>
  <c r="T528" i="39"/>
  <c r="D528" i="39"/>
  <c r="P528" i="39" s="1"/>
  <c r="U527" i="39"/>
  <c r="T527" i="39"/>
  <c r="D527" i="39"/>
  <c r="P527" i="39" s="1"/>
  <c r="U526" i="39"/>
  <c r="T526" i="39"/>
  <c r="D526" i="39"/>
  <c r="P526" i="39" s="1"/>
  <c r="U525" i="39"/>
  <c r="T525" i="39"/>
  <c r="D525" i="39"/>
  <c r="P525" i="39" s="1"/>
  <c r="U524" i="39"/>
  <c r="T524" i="39"/>
  <c r="D524" i="39"/>
  <c r="P524" i="39" s="1"/>
  <c r="U523" i="39"/>
  <c r="T523" i="39"/>
  <c r="D523" i="39"/>
  <c r="P523" i="39" s="1"/>
  <c r="U522" i="39"/>
  <c r="T522" i="39"/>
  <c r="D522" i="39"/>
  <c r="P522" i="39" s="1"/>
  <c r="U521" i="39"/>
  <c r="T521" i="39"/>
  <c r="D521" i="39"/>
  <c r="P521" i="39" s="1"/>
  <c r="U560" i="39"/>
  <c r="T560" i="39"/>
  <c r="D560" i="39"/>
  <c r="P560" i="39" s="1"/>
  <c r="U559" i="39"/>
  <c r="T559" i="39"/>
  <c r="D559" i="39"/>
  <c r="P559" i="39" s="1"/>
  <c r="U558" i="39"/>
  <c r="T558" i="39"/>
  <c r="D558" i="39"/>
  <c r="P558" i="39" s="1"/>
  <c r="U557" i="39"/>
  <c r="T557" i="39"/>
  <c r="D557" i="39"/>
  <c r="P557" i="39" s="1"/>
  <c r="U556" i="39"/>
  <c r="T556" i="39"/>
  <c r="D556" i="39"/>
  <c r="P556" i="39" s="1"/>
  <c r="U555" i="39"/>
  <c r="T555" i="39"/>
  <c r="D555" i="39"/>
  <c r="P555" i="39" s="1"/>
  <c r="U554" i="39"/>
  <c r="T554" i="39"/>
  <c r="D554" i="39"/>
  <c r="P554" i="39" s="1"/>
  <c r="U553" i="39"/>
  <c r="T553" i="39"/>
  <c r="D553" i="39"/>
  <c r="P553" i="39" s="1"/>
  <c r="U552" i="39"/>
  <c r="T552" i="39"/>
  <c r="D552" i="39"/>
  <c r="P552" i="39" s="1"/>
  <c r="U551" i="39"/>
  <c r="T551" i="39"/>
  <c r="D551" i="39"/>
  <c r="P551" i="39" s="1"/>
  <c r="U550" i="39"/>
  <c r="T550" i="39"/>
  <c r="D550" i="39"/>
  <c r="P550" i="39" s="1"/>
  <c r="U549" i="39"/>
  <c r="T549" i="39"/>
  <c r="D549" i="39"/>
  <c r="P549" i="39" s="1"/>
  <c r="U548" i="39"/>
  <c r="T548" i="39"/>
  <c r="D548" i="39"/>
  <c r="P548" i="39" s="1"/>
  <c r="U547" i="39"/>
  <c r="T547" i="39"/>
  <c r="D547" i="39"/>
  <c r="P547" i="39" s="1"/>
  <c r="U546" i="39"/>
  <c r="T546" i="39"/>
  <c r="D546" i="39"/>
  <c r="P546" i="39" s="1"/>
  <c r="U545" i="39"/>
  <c r="T545" i="39"/>
  <c r="D545" i="39"/>
  <c r="P545" i="39" s="1"/>
  <c r="U544" i="39"/>
  <c r="T544" i="39"/>
  <c r="D544" i="39"/>
  <c r="P544" i="39" s="1"/>
  <c r="U543" i="39"/>
  <c r="T543" i="39"/>
  <c r="D543" i="39"/>
  <c r="P543" i="39" s="1"/>
  <c r="U542" i="39"/>
  <c r="T542" i="39"/>
  <c r="D542" i="39"/>
  <c r="P542" i="39" s="1"/>
  <c r="U541" i="39"/>
  <c r="T541" i="39"/>
  <c r="D541" i="39"/>
  <c r="P541" i="39" s="1"/>
  <c r="U580" i="39"/>
  <c r="T580" i="39"/>
  <c r="D580" i="39"/>
  <c r="P580" i="39" s="1"/>
  <c r="U579" i="39"/>
  <c r="T579" i="39"/>
  <c r="D579" i="39"/>
  <c r="P579" i="39" s="1"/>
  <c r="U578" i="39"/>
  <c r="T578" i="39"/>
  <c r="D578" i="39"/>
  <c r="P578" i="39" s="1"/>
  <c r="U577" i="39"/>
  <c r="T577" i="39"/>
  <c r="D577" i="39"/>
  <c r="P577" i="39" s="1"/>
  <c r="U576" i="39"/>
  <c r="T576" i="39"/>
  <c r="D576" i="39"/>
  <c r="P576" i="39" s="1"/>
  <c r="U575" i="39"/>
  <c r="T575" i="39"/>
  <c r="D575" i="39"/>
  <c r="P575" i="39" s="1"/>
  <c r="U574" i="39"/>
  <c r="T574" i="39"/>
  <c r="D574" i="39"/>
  <c r="P574" i="39" s="1"/>
  <c r="U573" i="39"/>
  <c r="T573" i="39"/>
  <c r="D573" i="39"/>
  <c r="P573" i="39" s="1"/>
  <c r="U572" i="39"/>
  <c r="T572" i="39"/>
  <c r="D572" i="39"/>
  <c r="P572" i="39" s="1"/>
  <c r="U571" i="39"/>
  <c r="T571" i="39"/>
  <c r="D571" i="39"/>
  <c r="P571" i="39" s="1"/>
  <c r="U570" i="39"/>
  <c r="T570" i="39"/>
  <c r="D570" i="39"/>
  <c r="P570" i="39" s="1"/>
  <c r="U569" i="39"/>
  <c r="T569" i="39"/>
  <c r="D569" i="39"/>
  <c r="P569" i="39" s="1"/>
  <c r="U568" i="39"/>
  <c r="T568" i="39"/>
  <c r="D568" i="39"/>
  <c r="P568" i="39" s="1"/>
  <c r="U567" i="39"/>
  <c r="T567" i="39"/>
  <c r="D567" i="39"/>
  <c r="P567" i="39" s="1"/>
  <c r="U566" i="39"/>
  <c r="T566" i="39"/>
  <c r="D566" i="39"/>
  <c r="P566" i="39" s="1"/>
  <c r="U565" i="39"/>
  <c r="T565" i="39"/>
  <c r="D565" i="39"/>
  <c r="P565" i="39" s="1"/>
  <c r="U564" i="39"/>
  <c r="T564" i="39"/>
  <c r="D564" i="39"/>
  <c r="P564" i="39" s="1"/>
  <c r="U563" i="39"/>
  <c r="T563" i="39"/>
  <c r="D563" i="39"/>
  <c r="P563" i="39" s="1"/>
  <c r="U562" i="39"/>
  <c r="T562" i="39"/>
  <c r="D562" i="39"/>
  <c r="P562" i="39" s="1"/>
  <c r="U561" i="39"/>
  <c r="T561" i="39"/>
  <c r="D561" i="39"/>
  <c r="P561" i="39" s="1"/>
  <c r="U600" i="39"/>
  <c r="T600" i="39"/>
  <c r="D600" i="39"/>
  <c r="P600" i="39" s="1"/>
  <c r="U599" i="39"/>
  <c r="T599" i="39"/>
  <c r="D599" i="39"/>
  <c r="P599" i="39" s="1"/>
  <c r="U598" i="39"/>
  <c r="T598" i="39"/>
  <c r="D598" i="39"/>
  <c r="P598" i="39" s="1"/>
  <c r="U597" i="39"/>
  <c r="T597" i="39"/>
  <c r="D597" i="39"/>
  <c r="P597" i="39" s="1"/>
  <c r="U596" i="39"/>
  <c r="T596" i="39"/>
  <c r="D596" i="39"/>
  <c r="P596" i="39" s="1"/>
  <c r="U595" i="39"/>
  <c r="T595" i="39"/>
  <c r="D595" i="39"/>
  <c r="P595" i="39" s="1"/>
  <c r="U594" i="39"/>
  <c r="T594" i="39"/>
  <c r="D594" i="39"/>
  <c r="P594" i="39" s="1"/>
  <c r="U593" i="39"/>
  <c r="T593" i="39"/>
  <c r="D593" i="39"/>
  <c r="P593" i="39" s="1"/>
  <c r="U592" i="39"/>
  <c r="T592" i="39"/>
  <c r="D592" i="39"/>
  <c r="P592" i="39" s="1"/>
  <c r="U591" i="39"/>
  <c r="T591" i="39"/>
  <c r="D591" i="39"/>
  <c r="P591" i="39" s="1"/>
  <c r="U590" i="39"/>
  <c r="T590" i="39"/>
  <c r="D590" i="39"/>
  <c r="P590" i="39" s="1"/>
  <c r="U589" i="39"/>
  <c r="T589" i="39"/>
  <c r="D589" i="39"/>
  <c r="P589" i="39" s="1"/>
  <c r="U588" i="39"/>
  <c r="T588" i="39"/>
  <c r="D588" i="39"/>
  <c r="P588" i="39" s="1"/>
  <c r="U587" i="39"/>
  <c r="T587" i="39"/>
  <c r="D587" i="39"/>
  <c r="P587" i="39" s="1"/>
  <c r="U586" i="39"/>
  <c r="T586" i="39"/>
  <c r="D586" i="39"/>
  <c r="P586" i="39" s="1"/>
  <c r="U585" i="39"/>
  <c r="T585" i="39"/>
  <c r="D585" i="39"/>
  <c r="P585" i="39" s="1"/>
  <c r="U584" i="39"/>
  <c r="T584" i="39"/>
  <c r="D584" i="39"/>
  <c r="P584" i="39" s="1"/>
  <c r="U583" i="39"/>
  <c r="T583" i="39"/>
  <c r="D583" i="39"/>
  <c r="P583" i="39" s="1"/>
  <c r="U582" i="39"/>
  <c r="T582" i="39"/>
  <c r="D582" i="39"/>
  <c r="P582" i="39" s="1"/>
  <c r="U581" i="39"/>
  <c r="T581" i="39"/>
  <c r="D581" i="39"/>
  <c r="P581" i="39" s="1"/>
  <c r="U620" i="39"/>
  <c r="T620" i="39"/>
  <c r="D620" i="39"/>
  <c r="P620" i="39" s="1"/>
  <c r="U619" i="39"/>
  <c r="T619" i="39"/>
  <c r="D619" i="39"/>
  <c r="P619" i="39" s="1"/>
  <c r="U618" i="39"/>
  <c r="T618" i="39"/>
  <c r="D618" i="39"/>
  <c r="P618" i="39" s="1"/>
  <c r="U617" i="39"/>
  <c r="T617" i="39"/>
  <c r="D617" i="39"/>
  <c r="P617" i="39" s="1"/>
  <c r="U616" i="39"/>
  <c r="T616" i="39"/>
  <c r="D616" i="39"/>
  <c r="P616" i="39" s="1"/>
  <c r="U615" i="39"/>
  <c r="T615" i="39"/>
  <c r="D615" i="39"/>
  <c r="P615" i="39" s="1"/>
  <c r="U614" i="39"/>
  <c r="T614" i="39"/>
  <c r="D614" i="39"/>
  <c r="P614" i="39" s="1"/>
  <c r="U613" i="39"/>
  <c r="T613" i="39"/>
  <c r="D613" i="39"/>
  <c r="P613" i="39" s="1"/>
  <c r="U612" i="39"/>
  <c r="T612" i="39"/>
  <c r="D612" i="39"/>
  <c r="P612" i="39" s="1"/>
  <c r="U611" i="39"/>
  <c r="T611" i="39"/>
  <c r="D611" i="39"/>
  <c r="P611" i="39" s="1"/>
  <c r="U610" i="39"/>
  <c r="T610" i="39"/>
  <c r="D610" i="39"/>
  <c r="P610" i="39" s="1"/>
  <c r="U609" i="39"/>
  <c r="T609" i="39"/>
  <c r="D609" i="39"/>
  <c r="P609" i="39" s="1"/>
  <c r="U608" i="39"/>
  <c r="T608" i="39"/>
  <c r="D608" i="39"/>
  <c r="P608" i="39" s="1"/>
  <c r="U607" i="39"/>
  <c r="T607" i="39"/>
  <c r="D607" i="39"/>
  <c r="P607" i="39" s="1"/>
  <c r="U606" i="39"/>
  <c r="T606" i="39"/>
  <c r="D606" i="39"/>
  <c r="P606" i="39" s="1"/>
  <c r="U605" i="39"/>
  <c r="T605" i="39"/>
  <c r="D605" i="39"/>
  <c r="P605" i="39" s="1"/>
  <c r="U604" i="39"/>
  <c r="T604" i="39"/>
  <c r="D604" i="39"/>
  <c r="P604" i="39" s="1"/>
  <c r="U603" i="39"/>
  <c r="T603" i="39"/>
  <c r="D603" i="39"/>
  <c r="P603" i="39" s="1"/>
  <c r="U602" i="39"/>
  <c r="T602" i="39"/>
  <c r="D602" i="39"/>
  <c r="P602" i="39" s="1"/>
  <c r="U601" i="39"/>
  <c r="T601" i="39"/>
  <c r="D601" i="39"/>
  <c r="P601" i="39" s="1"/>
  <c r="U640" i="39"/>
  <c r="T640" i="39"/>
  <c r="D640" i="39"/>
  <c r="P640" i="39" s="1"/>
  <c r="U639" i="39"/>
  <c r="T639" i="39"/>
  <c r="D639" i="39"/>
  <c r="P639" i="39" s="1"/>
  <c r="U638" i="39"/>
  <c r="T638" i="39"/>
  <c r="D638" i="39"/>
  <c r="P638" i="39" s="1"/>
  <c r="U637" i="39"/>
  <c r="T637" i="39"/>
  <c r="D637" i="39"/>
  <c r="P637" i="39" s="1"/>
  <c r="U636" i="39"/>
  <c r="T636" i="39"/>
  <c r="D636" i="39"/>
  <c r="P636" i="39" s="1"/>
  <c r="U635" i="39"/>
  <c r="T635" i="39"/>
  <c r="D635" i="39"/>
  <c r="P635" i="39" s="1"/>
  <c r="U634" i="39"/>
  <c r="T634" i="39"/>
  <c r="D634" i="39"/>
  <c r="P634" i="39" s="1"/>
  <c r="U633" i="39"/>
  <c r="T633" i="39"/>
  <c r="D633" i="39"/>
  <c r="P633" i="39" s="1"/>
  <c r="U632" i="39"/>
  <c r="T632" i="39"/>
  <c r="D632" i="39"/>
  <c r="P632" i="39" s="1"/>
  <c r="U631" i="39"/>
  <c r="T631" i="39"/>
  <c r="D631" i="39"/>
  <c r="P631" i="39" s="1"/>
  <c r="U630" i="39"/>
  <c r="T630" i="39"/>
  <c r="D630" i="39"/>
  <c r="P630" i="39" s="1"/>
  <c r="U629" i="39"/>
  <c r="T629" i="39"/>
  <c r="D629" i="39"/>
  <c r="P629" i="39" s="1"/>
  <c r="U628" i="39"/>
  <c r="T628" i="39"/>
  <c r="D628" i="39"/>
  <c r="P628" i="39" s="1"/>
  <c r="U627" i="39"/>
  <c r="T627" i="39"/>
  <c r="D627" i="39"/>
  <c r="P627" i="39" s="1"/>
  <c r="U626" i="39"/>
  <c r="T626" i="39"/>
  <c r="D626" i="39"/>
  <c r="P626" i="39" s="1"/>
  <c r="U625" i="39"/>
  <c r="T625" i="39"/>
  <c r="D625" i="39"/>
  <c r="P625" i="39" s="1"/>
  <c r="U624" i="39"/>
  <c r="T624" i="39"/>
  <c r="D624" i="39"/>
  <c r="P624" i="39" s="1"/>
  <c r="U623" i="39"/>
  <c r="T623" i="39"/>
  <c r="D623" i="39"/>
  <c r="P623" i="39" s="1"/>
  <c r="U622" i="39"/>
  <c r="T622" i="39"/>
  <c r="D622" i="39"/>
  <c r="P622" i="39" s="1"/>
  <c r="U621" i="39"/>
  <c r="T621" i="39"/>
  <c r="D621" i="39"/>
  <c r="P621" i="39" s="1"/>
  <c r="U647" i="39"/>
  <c r="T647" i="39"/>
  <c r="D647" i="39"/>
  <c r="P647" i="39" s="1"/>
  <c r="U646" i="39"/>
  <c r="T646" i="39"/>
  <c r="D646" i="39"/>
  <c r="P646" i="39" s="1"/>
  <c r="U645" i="39"/>
  <c r="T645" i="39"/>
  <c r="D645" i="39"/>
  <c r="P645" i="39" s="1"/>
  <c r="U644" i="39"/>
  <c r="T644" i="39"/>
  <c r="D644" i="39"/>
  <c r="P644" i="39" s="1"/>
  <c r="U643" i="39"/>
  <c r="T643" i="39"/>
  <c r="D643" i="39"/>
  <c r="P643" i="39" s="1"/>
  <c r="U642" i="39"/>
  <c r="T642" i="39"/>
  <c r="D642" i="39"/>
  <c r="P642" i="39" s="1"/>
  <c r="U641" i="39"/>
  <c r="T641" i="39"/>
  <c r="D641" i="39"/>
  <c r="P641" i="39" s="1"/>
  <c r="U654" i="39"/>
  <c r="T654" i="39"/>
  <c r="D654" i="39"/>
  <c r="P654" i="39" s="1"/>
  <c r="U653" i="39"/>
  <c r="T653" i="39"/>
  <c r="D653" i="39"/>
  <c r="P653" i="39" s="1"/>
  <c r="U652" i="39"/>
  <c r="T652" i="39"/>
  <c r="D652" i="39"/>
  <c r="P652" i="39" s="1"/>
  <c r="U651" i="39"/>
  <c r="T651" i="39"/>
  <c r="D651" i="39"/>
  <c r="P651" i="39" s="1"/>
  <c r="U650" i="39"/>
  <c r="T650" i="39"/>
  <c r="D650" i="39"/>
  <c r="P650" i="39" s="1"/>
  <c r="U649" i="39"/>
  <c r="T649" i="39"/>
  <c r="D649" i="39"/>
  <c r="P649" i="39" s="1"/>
  <c r="U648" i="39"/>
  <c r="T648" i="39"/>
  <c r="D648" i="39"/>
  <c r="P648" i="39" s="1"/>
  <c r="K665" i="39"/>
  <c r="K664" i="39"/>
  <c r="K663" i="39"/>
  <c r="K662" i="39"/>
  <c r="K679" i="39"/>
  <c r="K670" i="39"/>
  <c r="U257" i="39"/>
  <c r="T257" i="39"/>
  <c r="D257" i="39"/>
  <c r="U256" i="39"/>
  <c r="T256" i="39"/>
  <c r="D256" i="39"/>
  <c r="Q256" i="39" s="1"/>
  <c r="U255" i="39"/>
  <c r="T255" i="39"/>
  <c r="D255" i="39"/>
  <c r="Q255" i="39" s="1"/>
  <c r="U254" i="39"/>
  <c r="T254" i="39"/>
  <c r="D254" i="39"/>
  <c r="O254" i="39" s="1"/>
  <c r="U253" i="39"/>
  <c r="T253" i="39"/>
  <c r="D253" i="39"/>
  <c r="U252" i="39"/>
  <c r="T252" i="39"/>
  <c r="D252" i="39"/>
  <c r="Q252" i="39" s="1"/>
  <c r="U251" i="39"/>
  <c r="T251" i="39"/>
  <c r="D251" i="39"/>
  <c r="Q251" i="39" s="1"/>
  <c r="U250" i="39"/>
  <c r="T250" i="39"/>
  <c r="D250" i="39"/>
  <c r="O250" i="39" s="1"/>
  <c r="U249" i="39"/>
  <c r="T249" i="39"/>
  <c r="D249" i="39"/>
  <c r="U248" i="39"/>
  <c r="T248" i="39"/>
  <c r="D248" i="39"/>
  <c r="Q248" i="39" s="1"/>
  <c r="U247" i="39"/>
  <c r="T247" i="39"/>
  <c r="D247" i="39"/>
  <c r="Q247" i="39" s="1"/>
  <c r="U246" i="39"/>
  <c r="T246" i="39"/>
  <c r="D246" i="39"/>
  <c r="O246" i="39" s="1"/>
  <c r="U245" i="39"/>
  <c r="T245" i="39"/>
  <c r="D245" i="39"/>
  <c r="U244" i="39"/>
  <c r="T244" i="39"/>
  <c r="D244" i="39"/>
  <c r="Q244" i="39" s="1"/>
  <c r="U243" i="39"/>
  <c r="T243" i="39"/>
  <c r="D243" i="39"/>
  <c r="Q243" i="39" s="1"/>
  <c r="U242" i="39"/>
  <c r="T242" i="39"/>
  <c r="D242" i="39"/>
  <c r="O242" i="39" s="1"/>
  <c r="U285" i="39"/>
  <c r="T285" i="39"/>
  <c r="D285" i="39"/>
  <c r="O285" i="39" s="1"/>
  <c r="U284" i="39"/>
  <c r="T284" i="39"/>
  <c r="D284" i="39"/>
  <c r="Q284" i="39" s="1"/>
  <c r="U283" i="39"/>
  <c r="T283" i="39"/>
  <c r="D283" i="39"/>
  <c r="Q283" i="39" s="1"/>
  <c r="U282" i="39"/>
  <c r="T282" i="39"/>
  <c r="D282" i="39"/>
  <c r="O282" i="39" s="1"/>
  <c r="U281" i="39"/>
  <c r="T281" i="39"/>
  <c r="D281" i="39"/>
  <c r="O281" i="39" s="1"/>
  <c r="U280" i="39"/>
  <c r="T280" i="39"/>
  <c r="D280" i="39"/>
  <c r="Q280" i="39" s="1"/>
  <c r="U279" i="39"/>
  <c r="T279" i="39"/>
  <c r="D279" i="39"/>
  <c r="Q279" i="39" s="1"/>
  <c r="U278" i="39"/>
  <c r="T278" i="39"/>
  <c r="D278" i="39"/>
  <c r="O278" i="39" s="1"/>
  <c r="U277" i="39"/>
  <c r="T277" i="39"/>
  <c r="D277" i="39"/>
  <c r="O277" i="39" s="1"/>
  <c r="U276" i="39"/>
  <c r="T276" i="39"/>
  <c r="D276" i="39"/>
  <c r="Q276" i="39" s="1"/>
  <c r="U275" i="39"/>
  <c r="T275" i="39"/>
  <c r="D275" i="39"/>
  <c r="Q275" i="39" s="1"/>
  <c r="U274" i="39"/>
  <c r="T274" i="39"/>
  <c r="D274" i="39"/>
  <c r="O274" i="39" s="1"/>
  <c r="U273" i="39"/>
  <c r="T273" i="39"/>
  <c r="D273" i="39"/>
  <c r="O273" i="39" s="1"/>
  <c r="U272" i="39"/>
  <c r="T272" i="39"/>
  <c r="D272" i="39"/>
  <c r="Q272" i="39" s="1"/>
  <c r="U271" i="39"/>
  <c r="T271" i="39"/>
  <c r="D271" i="39"/>
  <c r="Q271" i="39" s="1"/>
  <c r="U270" i="39"/>
  <c r="T270" i="39"/>
  <c r="D270" i="39"/>
  <c r="Q270" i="39" s="1"/>
  <c r="U269" i="39"/>
  <c r="T269" i="39"/>
  <c r="D269" i="39"/>
  <c r="O269" i="39" s="1"/>
  <c r="U268" i="39"/>
  <c r="T268" i="39"/>
  <c r="D268" i="39"/>
  <c r="Q268" i="39" s="1"/>
  <c r="U267" i="39"/>
  <c r="T267" i="39"/>
  <c r="D267" i="39"/>
  <c r="Q267" i="39" s="1"/>
  <c r="U266" i="39"/>
  <c r="T266" i="39"/>
  <c r="D266" i="39"/>
  <c r="Q266" i="39" s="1"/>
  <c r="U265" i="39"/>
  <c r="T265" i="39"/>
  <c r="D265" i="39"/>
  <c r="Q265" i="39" s="1"/>
  <c r="U264" i="39"/>
  <c r="T264" i="39"/>
  <c r="D264" i="39"/>
  <c r="Q264" i="39" s="1"/>
  <c r="U263" i="39"/>
  <c r="T263" i="39"/>
  <c r="D263" i="39"/>
  <c r="Q263" i="39" s="1"/>
  <c r="U262" i="39"/>
  <c r="T262" i="39"/>
  <c r="D262" i="39"/>
  <c r="Q262" i="39" s="1"/>
  <c r="U261" i="39"/>
  <c r="T261" i="39"/>
  <c r="D261" i="39"/>
  <c r="P261" i="39" s="1"/>
  <c r="U260" i="39"/>
  <c r="T260" i="39"/>
  <c r="D260" i="39"/>
  <c r="Q260" i="39" s="1"/>
  <c r="U259" i="39"/>
  <c r="T259" i="39"/>
  <c r="D259" i="39"/>
  <c r="R259" i="39" s="1"/>
  <c r="U258" i="39"/>
  <c r="T258" i="39"/>
  <c r="D258" i="39"/>
  <c r="P258" i="39" s="1"/>
  <c r="U241" i="39"/>
  <c r="T241" i="39"/>
  <c r="D241" i="39"/>
  <c r="P241" i="39" s="1"/>
  <c r="U240" i="39"/>
  <c r="T240" i="39"/>
  <c r="D240" i="39"/>
  <c r="P240" i="39" s="1"/>
  <c r="U315" i="39"/>
  <c r="T315" i="39"/>
  <c r="D315" i="39"/>
  <c r="Q315" i="39" s="1"/>
  <c r="U314" i="39"/>
  <c r="T314" i="39"/>
  <c r="D314" i="39"/>
  <c r="U313" i="39"/>
  <c r="T313" i="39"/>
  <c r="D313" i="39"/>
  <c r="Q313" i="39" s="1"/>
  <c r="U312" i="39"/>
  <c r="T312" i="39"/>
  <c r="D312" i="39"/>
  <c r="U311" i="39"/>
  <c r="T311" i="39"/>
  <c r="D311" i="39"/>
  <c r="U310" i="39"/>
  <c r="T310" i="39"/>
  <c r="D310" i="39"/>
  <c r="U309" i="39"/>
  <c r="T309" i="39"/>
  <c r="D309" i="39"/>
  <c r="U308" i="39"/>
  <c r="T308" i="39"/>
  <c r="D308" i="39"/>
  <c r="U307" i="39"/>
  <c r="T307" i="39"/>
  <c r="D307" i="39"/>
  <c r="Q307" i="39" s="1"/>
  <c r="U306" i="39"/>
  <c r="T306" i="39"/>
  <c r="D306" i="39"/>
  <c r="U305" i="39"/>
  <c r="T305" i="39"/>
  <c r="D305" i="39"/>
  <c r="U304" i="39"/>
  <c r="T304" i="39"/>
  <c r="D304" i="39"/>
  <c r="U303" i="39"/>
  <c r="T303" i="39"/>
  <c r="D303" i="39"/>
  <c r="U302" i="39"/>
  <c r="T302" i="39"/>
  <c r="D302" i="39"/>
  <c r="U301" i="39"/>
  <c r="T301" i="39"/>
  <c r="D301" i="39"/>
  <c r="U300" i="39"/>
  <c r="T300" i="39"/>
  <c r="D300" i="39"/>
  <c r="U299" i="39"/>
  <c r="T299" i="39"/>
  <c r="D299" i="39"/>
  <c r="U298" i="39"/>
  <c r="T298" i="39"/>
  <c r="D298" i="39"/>
  <c r="U297" i="39"/>
  <c r="T297" i="39"/>
  <c r="D297" i="39"/>
  <c r="Q297" i="39" s="1"/>
  <c r="U296" i="39"/>
  <c r="T296" i="39"/>
  <c r="D296" i="39"/>
  <c r="U295" i="39"/>
  <c r="T295" i="39"/>
  <c r="D295" i="39"/>
  <c r="R295" i="39" s="1"/>
  <c r="U294" i="39"/>
  <c r="T294" i="39"/>
  <c r="D294" i="39"/>
  <c r="U293" i="39"/>
  <c r="T293" i="39"/>
  <c r="D293" i="39"/>
  <c r="R293" i="39" s="1"/>
  <c r="U292" i="39"/>
  <c r="T292" i="39"/>
  <c r="D292" i="39"/>
  <c r="Q292" i="39" s="1"/>
  <c r="U291" i="39"/>
  <c r="T291" i="39"/>
  <c r="D291" i="39"/>
  <c r="R291" i="39" s="1"/>
  <c r="U290" i="39"/>
  <c r="T290" i="39"/>
  <c r="D290" i="39"/>
  <c r="Q290" i="39" s="1"/>
  <c r="U289" i="39"/>
  <c r="T289" i="39"/>
  <c r="D289" i="39"/>
  <c r="R289" i="39" s="1"/>
  <c r="U288" i="39"/>
  <c r="T288" i="39"/>
  <c r="D288" i="39"/>
  <c r="U287" i="39"/>
  <c r="T287" i="39"/>
  <c r="D287" i="39"/>
  <c r="R287" i="39" s="1"/>
  <c r="U286" i="39"/>
  <c r="T286" i="39"/>
  <c r="D286" i="39"/>
  <c r="Q286" i="39" s="1"/>
  <c r="U345" i="39"/>
  <c r="T345" i="39"/>
  <c r="D345" i="39"/>
  <c r="P345" i="39" s="1"/>
  <c r="U344" i="39"/>
  <c r="T344" i="39"/>
  <c r="D344" i="39"/>
  <c r="P344" i="39" s="1"/>
  <c r="U343" i="39"/>
  <c r="T343" i="39"/>
  <c r="D343" i="39"/>
  <c r="P343" i="39" s="1"/>
  <c r="U342" i="39"/>
  <c r="T342" i="39"/>
  <c r="D342" i="39"/>
  <c r="P342" i="39" s="1"/>
  <c r="U341" i="39"/>
  <c r="T341" i="39"/>
  <c r="D341" i="39"/>
  <c r="P341" i="39" s="1"/>
  <c r="U340" i="39"/>
  <c r="T340" i="39"/>
  <c r="D340" i="39"/>
  <c r="P340" i="39" s="1"/>
  <c r="U339" i="39"/>
  <c r="T339" i="39"/>
  <c r="D339" i="39"/>
  <c r="P339" i="39" s="1"/>
  <c r="U338" i="39"/>
  <c r="T338" i="39"/>
  <c r="D338" i="39"/>
  <c r="P338" i="39" s="1"/>
  <c r="U337" i="39"/>
  <c r="T337" i="39"/>
  <c r="D337" i="39"/>
  <c r="P337" i="39" s="1"/>
  <c r="U336" i="39"/>
  <c r="T336" i="39"/>
  <c r="D336" i="39"/>
  <c r="P336" i="39" s="1"/>
  <c r="U335" i="39"/>
  <c r="T335" i="39"/>
  <c r="D335" i="39"/>
  <c r="P335" i="39" s="1"/>
  <c r="U334" i="39"/>
  <c r="T334" i="39"/>
  <c r="D334" i="39"/>
  <c r="P334" i="39" s="1"/>
  <c r="U333" i="39"/>
  <c r="T333" i="39"/>
  <c r="D333" i="39"/>
  <c r="P333" i="39" s="1"/>
  <c r="U332" i="39"/>
  <c r="T332" i="39"/>
  <c r="D332" i="39"/>
  <c r="P332" i="39" s="1"/>
  <c r="U331" i="39"/>
  <c r="T331" i="39"/>
  <c r="D331" i="39"/>
  <c r="P331" i="39" s="1"/>
  <c r="U330" i="39"/>
  <c r="T330" i="39"/>
  <c r="D330" i="39"/>
  <c r="P330" i="39" s="1"/>
  <c r="U329" i="39"/>
  <c r="T329" i="39"/>
  <c r="D329" i="39"/>
  <c r="P329" i="39" s="1"/>
  <c r="U328" i="39"/>
  <c r="T328" i="39"/>
  <c r="D328" i="39"/>
  <c r="P328" i="39" s="1"/>
  <c r="U327" i="39"/>
  <c r="T327" i="39"/>
  <c r="D327" i="39"/>
  <c r="P327" i="39" s="1"/>
  <c r="U326" i="39"/>
  <c r="T326" i="39"/>
  <c r="D326" i="39"/>
  <c r="U325" i="39"/>
  <c r="T325" i="39"/>
  <c r="D325" i="39"/>
  <c r="U324" i="39"/>
  <c r="T324" i="39"/>
  <c r="D324" i="39"/>
  <c r="U323" i="39"/>
  <c r="T323" i="39"/>
  <c r="D323" i="39"/>
  <c r="U322" i="39"/>
  <c r="T322" i="39"/>
  <c r="D322" i="39"/>
  <c r="U321" i="39"/>
  <c r="T321" i="39"/>
  <c r="D321" i="39"/>
  <c r="U320" i="39"/>
  <c r="T320" i="39"/>
  <c r="D320" i="39"/>
  <c r="U319" i="39"/>
  <c r="T319" i="39"/>
  <c r="D319" i="39"/>
  <c r="U318" i="39"/>
  <c r="T318" i="39"/>
  <c r="D318" i="39"/>
  <c r="U317" i="39"/>
  <c r="T317" i="39"/>
  <c r="D317" i="39"/>
  <c r="U316" i="39"/>
  <c r="T316" i="39"/>
  <c r="D316" i="39"/>
  <c r="U375" i="39"/>
  <c r="T375" i="39"/>
  <c r="D375" i="39"/>
  <c r="P375" i="39" s="1"/>
  <c r="U374" i="39"/>
  <c r="T374" i="39"/>
  <c r="D374" i="39"/>
  <c r="P374" i="39" s="1"/>
  <c r="U373" i="39"/>
  <c r="T373" i="39"/>
  <c r="D373" i="39"/>
  <c r="P373" i="39" s="1"/>
  <c r="U372" i="39"/>
  <c r="T372" i="39"/>
  <c r="D372" i="39"/>
  <c r="P372" i="39" s="1"/>
  <c r="U371" i="39"/>
  <c r="T371" i="39"/>
  <c r="D371" i="39"/>
  <c r="P371" i="39" s="1"/>
  <c r="U370" i="39"/>
  <c r="T370" i="39"/>
  <c r="D370" i="39"/>
  <c r="P370" i="39" s="1"/>
  <c r="U369" i="39"/>
  <c r="T369" i="39"/>
  <c r="D369" i="39"/>
  <c r="P369" i="39" s="1"/>
  <c r="U368" i="39"/>
  <c r="T368" i="39"/>
  <c r="D368" i="39"/>
  <c r="P368" i="39" s="1"/>
  <c r="U367" i="39"/>
  <c r="T367" i="39"/>
  <c r="D367" i="39"/>
  <c r="P367" i="39" s="1"/>
  <c r="U366" i="39"/>
  <c r="T366" i="39"/>
  <c r="D366" i="39"/>
  <c r="P366" i="39" s="1"/>
  <c r="U365" i="39"/>
  <c r="T365" i="39"/>
  <c r="D365" i="39"/>
  <c r="P365" i="39" s="1"/>
  <c r="U364" i="39"/>
  <c r="T364" i="39"/>
  <c r="D364" i="39"/>
  <c r="U363" i="39"/>
  <c r="T363" i="39"/>
  <c r="D363" i="39"/>
  <c r="U362" i="39"/>
  <c r="T362" i="39"/>
  <c r="D362" i="39"/>
  <c r="U361" i="39"/>
  <c r="T361" i="39"/>
  <c r="D361" i="39"/>
  <c r="U360" i="39"/>
  <c r="T360" i="39"/>
  <c r="D360" i="39"/>
  <c r="U359" i="39"/>
  <c r="T359" i="39"/>
  <c r="D359" i="39"/>
  <c r="U358" i="39"/>
  <c r="T358" i="39"/>
  <c r="D358" i="39"/>
  <c r="U357" i="39"/>
  <c r="T357" i="39"/>
  <c r="D357" i="39"/>
  <c r="U356" i="39"/>
  <c r="T356" i="39"/>
  <c r="D356" i="39"/>
  <c r="U355" i="39"/>
  <c r="T355" i="39"/>
  <c r="D355" i="39"/>
  <c r="U354" i="39"/>
  <c r="T354" i="39"/>
  <c r="D354" i="39"/>
  <c r="U353" i="39"/>
  <c r="T353" i="39"/>
  <c r="D353" i="39"/>
  <c r="U352" i="39"/>
  <c r="T352" i="39"/>
  <c r="D352" i="39"/>
  <c r="U351" i="39"/>
  <c r="T351" i="39"/>
  <c r="D351" i="39"/>
  <c r="O351" i="39" s="1"/>
  <c r="U350" i="39"/>
  <c r="T350" i="39"/>
  <c r="D350" i="39"/>
  <c r="U349" i="39"/>
  <c r="T349" i="39"/>
  <c r="D349" i="39"/>
  <c r="U348" i="39"/>
  <c r="T348" i="39"/>
  <c r="D348" i="39"/>
  <c r="U347" i="39"/>
  <c r="T347" i="39"/>
  <c r="D347" i="39"/>
  <c r="O347" i="39" s="1"/>
  <c r="U346" i="39"/>
  <c r="T346" i="39"/>
  <c r="D346" i="39"/>
  <c r="O346" i="39" s="1"/>
  <c r="U390" i="39"/>
  <c r="T390" i="39"/>
  <c r="D390" i="39"/>
  <c r="P390" i="39" s="1"/>
  <c r="U389" i="39"/>
  <c r="T389" i="39"/>
  <c r="D389" i="39"/>
  <c r="P389" i="39" s="1"/>
  <c r="U388" i="39"/>
  <c r="T388" i="39"/>
  <c r="D388" i="39"/>
  <c r="P388" i="39" s="1"/>
  <c r="U387" i="39"/>
  <c r="T387" i="39"/>
  <c r="D387" i="39"/>
  <c r="P387" i="39" s="1"/>
  <c r="U386" i="39"/>
  <c r="T386" i="39"/>
  <c r="D386" i="39"/>
  <c r="P386" i="39" s="1"/>
  <c r="U385" i="39"/>
  <c r="T385" i="39"/>
  <c r="D385" i="39"/>
  <c r="P385" i="39" s="1"/>
  <c r="U384" i="39"/>
  <c r="T384" i="39"/>
  <c r="D384" i="39"/>
  <c r="P384" i="39" s="1"/>
  <c r="U383" i="39"/>
  <c r="T383" i="39"/>
  <c r="D383" i="39"/>
  <c r="P383" i="39" s="1"/>
  <c r="U382" i="39"/>
  <c r="T382" i="39"/>
  <c r="D382" i="39"/>
  <c r="P382" i="39" s="1"/>
  <c r="U381" i="39"/>
  <c r="T381" i="39"/>
  <c r="D381" i="39"/>
  <c r="P381" i="39" s="1"/>
  <c r="U380" i="39"/>
  <c r="T380" i="39"/>
  <c r="D380" i="39"/>
  <c r="P380" i="39" s="1"/>
  <c r="U379" i="39"/>
  <c r="T379" i="39"/>
  <c r="D379" i="39"/>
  <c r="P379" i="39" s="1"/>
  <c r="U378" i="39"/>
  <c r="T378" i="39"/>
  <c r="D378" i="39"/>
  <c r="P378" i="39" s="1"/>
  <c r="U377" i="39"/>
  <c r="T377" i="39"/>
  <c r="D377" i="39"/>
  <c r="P377" i="39" s="1"/>
  <c r="U376" i="39"/>
  <c r="T376" i="39"/>
  <c r="D376" i="39"/>
  <c r="P376" i="39" s="1"/>
  <c r="U399" i="39"/>
  <c r="T399" i="39"/>
  <c r="D399" i="39"/>
  <c r="P399" i="39" s="1"/>
  <c r="U398" i="39"/>
  <c r="T398" i="39"/>
  <c r="D398" i="39"/>
  <c r="P398" i="39" s="1"/>
  <c r="U397" i="39"/>
  <c r="T397" i="39"/>
  <c r="D397" i="39"/>
  <c r="P397" i="39" s="1"/>
  <c r="U396" i="39"/>
  <c r="T396" i="39"/>
  <c r="D396" i="39"/>
  <c r="P396" i="39" s="1"/>
  <c r="U395" i="39"/>
  <c r="T395" i="39"/>
  <c r="D395" i="39"/>
  <c r="P395" i="39" s="1"/>
  <c r="U394" i="39"/>
  <c r="T394" i="39"/>
  <c r="D394" i="39"/>
  <c r="P394" i="39" s="1"/>
  <c r="U393" i="39"/>
  <c r="T393" i="39"/>
  <c r="D393" i="39"/>
  <c r="P393" i="39" s="1"/>
  <c r="U392" i="39"/>
  <c r="T392" i="39"/>
  <c r="D392" i="39"/>
  <c r="P392" i="39" s="1"/>
  <c r="U391" i="39"/>
  <c r="T391" i="39"/>
  <c r="D391" i="39"/>
  <c r="P391" i="39" s="1"/>
  <c r="U169" i="39"/>
  <c r="T169" i="39"/>
  <c r="D169" i="39"/>
  <c r="P169" i="39" s="1"/>
  <c r="U168" i="39"/>
  <c r="T168" i="39"/>
  <c r="D168" i="39"/>
  <c r="P168" i="39" s="1"/>
  <c r="U167" i="39"/>
  <c r="T167" i="39"/>
  <c r="D167" i="39"/>
  <c r="P167" i="39" s="1"/>
  <c r="U166" i="39"/>
  <c r="T166" i="39"/>
  <c r="D166" i="39"/>
  <c r="P166" i="39" s="1"/>
  <c r="U165" i="39"/>
  <c r="T165" i="39"/>
  <c r="D165" i="39"/>
  <c r="P165" i="39" s="1"/>
  <c r="U164" i="39"/>
  <c r="T164" i="39"/>
  <c r="D164" i="39"/>
  <c r="P164" i="39" s="1"/>
  <c r="U163" i="39"/>
  <c r="T163" i="39"/>
  <c r="D163" i="39"/>
  <c r="P163" i="39" s="1"/>
  <c r="U162" i="39"/>
  <c r="T162" i="39"/>
  <c r="D162" i="39"/>
  <c r="P162" i="39" s="1"/>
  <c r="U161" i="39"/>
  <c r="T161" i="39"/>
  <c r="D161" i="39"/>
  <c r="P161" i="39" s="1"/>
  <c r="U160" i="39"/>
  <c r="T160" i="39"/>
  <c r="D160" i="39"/>
  <c r="P160" i="39" s="1"/>
  <c r="U159" i="39"/>
  <c r="T159" i="39"/>
  <c r="D159" i="39"/>
  <c r="P159" i="39" s="1"/>
  <c r="U158" i="39"/>
  <c r="T158" i="39"/>
  <c r="D158" i="39"/>
  <c r="P158" i="39" s="1"/>
  <c r="U157" i="39"/>
  <c r="T157" i="39"/>
  <c r="D157" i="39"/>
  <c r="P157" i="39" s="1"/>
  <c r="U156" i="39"/>
  <c r="T156" i="39"/>
  <c r="D156" i="39"/>
  <c r="P156" i="39" s="1"/>
  <c r="U155" i="39"/>
  <c r="T155" i="39"/>
  <c r="D155" i="39"/>
  <c r="P155" i="39" s="1"/>
  <c r="U184" i="39"/>
  <c r="T184" i="39"/>
  <c r="D184" i="39"/>
  <c r="P184" i="39" s="1"/>
  <c r="U183" i="39"/>
  <c r="T183" i="39"/>
  <c r="D183" i="39"/>
  <c r="P183" i="39" s="1"/>
  <c r="U182" i="39"/>
  <c r="T182" i="39"/>
  <c r="D182" i="39"/>
  <c r="P182" i="39" s="1"/>
  <c r="U181" i="39"/>
  <c r="T181" i="39"/>
  <c r="D181" i="39"/>
  <c r="P181" i="39" s="1"/>
  <c r="U180" i="39"/>
  <c r="T180" i="39"/>
  <c r="D180" i="39"/>
  <c r="P180" i="39" s="1"/>
  <c r="U179" i="39"/>
  <c r="T179" i="39"/>
  <c r="D179" i="39"/>
  <c r="P179" i="39" s="1"/>
  <c r="U178" i="39"/>
  <c r="T178" i="39"/>
  <c r="D178" i="39"/>
  <c r="P178" i="39" s="1"/>
  <c r="U177" i="39"/>
  <c r="T177" i="39"/>
  <c r="D177" i="39"/>
  <c r="P177" i="39" s="1"/>
  <c r="U176" i="39"/>
  <c r="T176" i="39"/>
  <c r="D176" i="39"/>
  <c r="P176" i="39" s="1"/>
  <c r="U175" i="39"/>
  <c r="T175" i="39"/>
  <c r="D175" i="39"/>
  <c r="P175" i="39" s="1"/>
  <c r="U174" i="39"/>
  <c r="T174" i="39"/>
  <c r="D174" i="39"/>
  <c r="P174" i="39" s="1"/>
  <c r="U173" i="39"/>
  <c r="T173" i="39"/>
  <c r="D173" i="39"/>
  <c r="P173" i="39" s="1"/>
  <c r="U172" i="39"/>
  <c r="T172" i="39"/>
  <c r="D172" i="39"/>
  <c r="P172" i="39" s="1"/>
  <c r="U171" i="39"/>
  <c r="T171" i="39"/>
  <c r="D171" i="39"/>
  <c r="P171" i="39" s="1"/>
  <c r="U170" i="39"/>
  <c r="T170" i="39"/>
  <c r="D170" i="39"/>
  <c r="P170" i="39" s="1"/>
  <c r="U199" i="39"/>
  <c r="T199" i="39"/>
  <c r="D199" i="39"/>
  <c r="P199" i="39" s="1"/>
  <c r="U198" i="39"/>
  <c r="T198" i="39"/>
  <c r="D198" i="39"/>
  <c r="P198" i="39" s="1"/>
  <c r="U197" i="39"/>
  <c r="T197" i="39"/>
  <c r="D197" i="39"/>
  <c r="P197" i="39" s="1"/>
  <c r="U196" i="39"/>
  <c r="T196" i="39"/>
  <c r="D196" i="39"/>
  <c r="P196" i="39" s="1"/>
  <c r="U195" i="39"/>
  <c r="T195" i="39"/>
  <c r="D195" i="39"/>
  <c r="P195" i="39" s="1"/>
  <c r="U194" i="39"/>
  <c r="T194" i="39"/>
  <c r="D194" i="39"/>
  <c r="P194" i="39" s="1"/>
  <c r="U193" i="39"/>
  <c r="T193" i="39"/>
  <c r="D193" i="39"/>
  <c r="P193" i="39" s="1"/>
  <c r="U192" i="39"/>
  <c r="T192" i="39"/>
  <c r="D192" i="39"/>
  <c r="P192" i="39" s="1"/>
  <c r="U191" i="39"/>
  <c r="T191" i="39"/>
  <c r="D191" i="39"/>
  <c r="P191" i="39" s="1"/>
  <c r="U190" i="39"/>
  <c r="T190" i="39"/>
  <c r="D190" i="39"/>
  <c r="P190" i="39" s="1"/>
  <c r="U189" i="39"/>
  <c r="T189" i="39"/>
  <c r="D189" i="39"/>
  <c r="P189" i="39" s="1"/>
  <c r="U188" i="39"/>
  <c r="T188" i="39"/>
  <c r="D188" i="39"/>
  <c r="P188" i="39" s="1"/>
  <c r="U187" i="39"/>
  <c r="T187" i="39"/>
  <c r="D187" i="39"/>
  <c r="P187" i="39" s="1"/>
  <c r="U186" i="39"/>
  <c r="T186" i="39"/>
  <c r="D186" i="39"/>
  <c r="P186" i="39" s="1"/>
  <c r="U185" i="39"/>
  <c r="T185" i="39"/>
  <c r="D185" i="39"/>
  <c r="P185" i="39" s="1"/>
  <c r="U214" i="39"/>
  <c r="T214" i="39"/>
  <c r="D214" i="39"/>
  <c r="P214" i="39" s="1"/>
  <c r="U213" i="39"/>
  <c r="T213" i="39"/>
  <c r="D213" i="39"/>
  <c r="P213" i="39" s="1"/>
  <c r="U212" i="39"/>
  <c r="T212" i="39"/>
  <c r="D212" i="39"/>
  <c r="P212" i="39" s="1"/>
  <c r="U211" i="39"/>
  <c r="T211" i="39"/>
  <c r="D211" i="39"/>
  <c r="P211" i="39" s="1"/>
  <c r="U210" i="39"/>
  <c r="T210" i="39"/>
  <c r="D210" i="39"/>
  <c r="P210" i="39" s="1"/>
  <c r="U209" i="39"/>
  <c r="T209" i="39"/>
  <c r="D209" i="39"/>
  <c r="P209" i="39" s="1"/>
  <c r="U208" i="39"/>
  <c r="T208" i="39"/>
  <c r="D208" i="39"/>
  <c r="P208" i="39" s="1"/>
  <c r="U207" i="39"/>
  <c r="T207" i="39"/>
  <c r="D207" i="39"/>
  <c r="P207" i="39" s="1"/>
  <c r="U206" i="39"/>
  <c r="T206" i="39"/>
  <c r="D206" i="39"/>
  <c r="P206" i="39" s="1"/>
  <c r="U205" i="39"/>
  <c r="T205" i="39"/>
  <c r="D205" i="39"/>
  <c r="P205" i="39" s="1"/>
  <c r="U204" i="39"/>
  <c r="T204" i="39"/>
  <c r="D204" i="39"/>
  <c r="P204" i="39" s="1"/>
  <c r="U203" i="39"/>
  <c r="T203" i="39"/>
  <c r="D203" i="39"/>
  <c r="P203" i="39" s="1"/>
  <c r="U202" i="39"/>
  <c r="T202" i="39"/>
  <c r="D202" i="39"/>
  <c r="P202" i="39" s="1"/>
  <c r="U201" i="39"/>
  <c r="T201" i="39"/>
  <c r="D201" i="39"/>
  <c r="P201" i="39" s="1"/>
  <c r="U200" i="39"/>
  <c r="T200" i="39"/>
  <c r="D200" i="39"/>
  <c r="P200" i="39" s="1"/>
  <c r="U229" i="39"/>
  <c r="T229" i="39"/>
  <c r="D229" i="39"/>
  <c r="P229" i="39" s="1"/>
  <c r="U228" i="39"/>
  <c r="T228" i="39"/>
  <c r="D228" i="39"/>
  <c r="P228" i="39" s="1"/>
  <c r="U227" i="39"/>
  <c r="T227" i="39"/>
  <c r="D227" i="39"/>
  <c r="P227" i="39" s="1"/>
  <c r="U226" i="39"/>
  <c r="T226" i="39"/>
  <c r="D226" i="39"/>
  <c r="P226" i="39" s="1"/>
  <c r="U225" i="39"/>
  <c r="T225" i="39"/>
  <c r="D225" i="39"/>
  <c r="P225" i="39" s="1"/>
  <c r="U224" i="39"/>
  <c r="T224" i="39"/>
  <c r="D224" i="39"/>
  <c r="P224" i="39" s="1"/>
  <c r="U223" i="39"/>
  <c r="T223" i="39"/>
  <c r="D223" i="39"/>
  <c r="P223" i="39" s="1"/>
  <c r="U222" i="39"/>
  <c r="T222" i="39"/>
  <c r="D222" i="39"/>
  <c r="P222" i="39" s="1"/>
  <c r="U221" i="39"/>
  <c r="T221" i="39"/>
  <c r="D221" i="39"/>
  <c r="P221" i="39" s="1"/>
  <c r="U220" i="39"/>
  <c r="T220" i="39"/>
  <c r="D220" i="39"/>
  <c r="P220" i="39" s="1"/>
  <c r="U219" i="39"/>
  <c r="T219" i="39"/>
  <c r="D219" i="39"/>
  <c r="P219" i="39" s="1"/>
  <c r="U218" i="39"/>
  <c r="T218" i="39"/>
  <c r="D218" i="39"/>
  <c r="P218" i="39" s="1"/>
  <c r="U217" i="39"/>
  <c r="T217" i="39"/>
  <c r="D217" i="39"/>
  <c r="P217" i="39" s="1"/>
  <c r="U216" i="39"/>
  <c r="T216" i="39"/>
  <c r="D216" i="39"/>
  <c r="P216" i="39" s="1"/>
  <c r="U215" i="39"/>
  <c r="T215" i="39"/>
  <c r="D215" i="39"/>
  <c r="P215" i="39" s="1"/>
  <c r="U45" i="39"/>
  <c r="T45" i="39"/>
  <c r="D45" i="39"/>
  <c r="P45" i="39" s="1"/>
  <c r="U44" i="39"/>
  <c r="T44" i="39"/>
  <c r="D44" i="39"/>
  <c r="P44" i="39" s="1"/>
  <c r="U43" i="39"/>
  <c r="T43" i="39"/>
  <c r="D43" i="39"/>
  <c r="P43" i="39" s="1"/>
  <c r="U42" i="39"/>
  <c r="T42" i="39"/>
  <c r="D42" i="39"/>
  <c r="P42" i="39" s="1"/>
  <c r="U41" i="39"/>
  <c r="T41" i="39"/>
  <c r="D41" i="39"/>
  <c r="P41" i="39" s="1"/>
  <c r="U40" i="39"/>
  <c r="T40" i="39"/>
  <c r="D40" i="39"/>
  <c r="P40" i="39" s="1"/>
  <c r="U39" i="39"/>
  <c r="T39" i="39"/>
  <c r="D39" i="39"/>
  <c r="U38" i="39"/>
  <c r="T38" i="39"/>
  <c r="D38" i="39"/>
  <c r="U37" i="39"/>
  <c r="T37" i="39"/>
  <c r="D37" i="39"/>
  <c r="U36" i="39"/>
  <c r="T36" i="39"/>
  <c r="D36" i="39"/>
  <c r="U35" i="39"/>
  <c r="T35" i="39"/>
  <c r="D35" i="39"/>
  <c r="U34" i="39"/>
  <c r="T34" i="39"/>
  <c r="D34" i="39"/>
  <c r="U33" i="39"/>
  <c r="T33" i="39"/>
  <c r="D33" i="39"/>
  <c r="U32" i="39"/>
  <c r="T32" i="39"/>
  <c r="D32" i="39"/>
  <c r="U31" i="39"/>
  <c r="T31" i="39"/>
  <c r="D31" i="39"/>
  <c r="U30" i="39"/>
  <c r="T30" i="39"/>
  <c r="D30" i="39"/>
  <c r="U29" i="39"/>
  <c r="T29" i="39"/>
  <c r="D29" i="39"/>
  <c r="U28" i="39"/>
  <c r="T28" i="39"/>
  <c r="D28" i="39"/>
  <c r="U27" i="39"/>
  <c r="T27" i="39"/>
  <c r="D27" i="39"/>
  <c r="U26" i="39"/>
  <c r="T26" i="39"/>
  <c r="D26" i="39"/>
  <c r="U25" i="39"/>
  <c r="T25" i="39"/>
  <c r="D25" i="39"/>
  <c r="U24" i="39"/>
  <c r="T24" i="39"/>
  <c r="D24" i="39"/>
  <c r="U23" i="39"/>
  <c r="T23" i="39"/>
  <c r="D23" i="39"/>
  <c r="U22" i="39"/>
  <c r="T22" i="39"/>
  <c r="D22" i="39"/>
  <c r="U21" i="39"/>
  <c r="T21" i="39"/>
  <c r="D21" i="39"/>
  <c r="U20" i="39"/>
  <c r="T20" i="39"/>
  <c r="D20" i="39"/>
  <c r="U19" i="39"/>
  <c r="T19" i="39"/>
  <c r="D19" i="39"/>
  <c r="U18" i="39"/>
  <c r="T18" i="39"/>
  <c r="D18" i="39"/>
  <c r="U17" i="39"/>
  <c r="T17" i="39"/>
  <c r="D17" i="39"/>
  <c r="U16" i="39"/>
  <c r="T16" i="39"/>
  <c r="D16" i="39"/>
  <c r="U15" i="39"/>
  <c r="T15" i="39"/>
  <c r="D15" i="39"/>
  <c r="U14" i="39"/>
  <c r="T14" i="39"/>
  <c r="D14" i="39"/>
  <c r="U13" i="39"/>
  <c r="T13" i="39"/>
  <c r="D13" i="39"/>
  <c r="U12" i="39"/>
  <c r="T12" i="39"/>
  <c r="D12" i="39"/>
  <c r="U11" i="39"/>
  <c r="T11" i="39"/>
  <c r="D11" i="39"/>
  <c r="U10" i="39"/>
  <c r="T10" i="39"/>
  <c r="D10" i="39"/>
  <c r="U9" i="39"/>
  <c r="T9" i="39"/>
  <c r="D9" i="39"/>
  <c r="U8" i="39"/>
  <c r="T8" i="39"/>
  <c r="D8" i="39"/>
  <c r="U7" i="39"/>
  <c r="T7" i="39"/>
  <c r="D7" i="39"/>
  <c r="U6" i="39"/>
  <c r="T6" i="39"/>
  <c r="D6" i="39"/>
  <c r="U85" i="39"/>
  <c r="T85" i="39"/>
  <c r="D85" i="39"/>
  <c r="U84" i="39"/>
  <c r="T84" i="39"/>
  <c r="D84" i="39"/>
  <c r="U83" i="39"/>
  <c r="T83" i="39"/>
  <c r="D83" i="39"/>
  <c r="U82" i="39"/>
  <c r="T82" i="39"/>
  <c r="D82" i="39"/>
  <c r="U81" i="39"/>
  <c r="T81" i="39"/>
  <c r="D81" i="39"/>
  <c r="U80" i="39"/>
  <c r="T80" i="39"/>
  <c r="D80" i="39"/>
  <c r="U79" i="39"/>
  <c r="T79" i="39"/>
  <c r="D79" i="39"/>
  <c r="U78" i="39"/>
  <c r="T78" i="39"/>
  <c r="D78" i="39"/>
  <c r="U77" i="39"/>
  <c r="T77" i="39"/>
  <c r="D77" i="39"/>
  <c r="U76" i="39"/>
  <c r="T76" i="39"/>
  <c r="D76" i="39"/>
  <c r="U75" i="39"/>
  <c r="T75" i="39"/>
  <c r="D75" i="39"/>
  <c r="U74" i="39"/>
  <c r="T74" i="39"/>
  <c r="D74" i="39"/>
  <c r="U73" i="39"/>
  <c r="T73" i="39"/>
  <c r="D73" i="39"/>
  <c r="U72" i="39"/>
  <c r="T72" i="39"/>
  <c r="D72" i="39"/>
  <c r="U71" i="39"/>
  <c r="T71" i="39"/>
  <c r="D71" i="39"/>
  <c r="U70" i="39"/>
  <c r="T70" i="39"/>
  <c r="D70" i="39"/>
  <c r="U69" i="39"/>
  <c r="T69" i="39"/>
  <c r="D69" i="39"/>
  <c r="U68" i="39"/>
  <c r="T68" i="39"/>
  <c r="D68" i="39"/>
  <c r="U67" i="39"/>
  <c r="T67" i="39"/>
  <c r="D67" i="39"/>
  <c r="U66" i="39"/>
  <c r="T66" i="39"/>
  <c r="D66" i="39"/>
  <c r="U65" i="39"/>
  <c r="T65" i="39"/>
  <c r="D65" i="39"/>
  <c r="U64" i="39"/>
  <c r="T64" i="39"/>
  <c r="D64" i="39"/>
  <c r="U63" i="39"/>
  <c r="T63" i="39"/>
  <c r="D63" i="39"/>
  <c r="U62" i="39"/>
  <c r="T62" i="39"/>
  <c r="D62" i="39"/>
  <c r="U61" i="39"/>
  <c r="T61" i="39"/>
  <c r="D61" i="39"/>
  <c r="U60" i="39"/>
  <c r="T60" i="39"/>
  <c r="D60" i="39"/>
  <c r="U59" i="39"/>
  <c r="T59" i="39"/>
  <c r="D59" i="39"/>
  <c r="Q59" i="39" s="1"/>
  <c r="U58" i="39"/>
  <c r="T58" i="39"/>
  <c r="D58" i="39"/>
  <c r="U57" i="39"/>
  <c r="T57" i="39"/>
  <c r="D57" i="39"/>
  <c r="U56" i="39"/>
  <c r="T56" i="39"/>
  <c r="D56" i="39"/>
  <c r="U55" i="39"/>
  <c r="T55" i="39"/>
  <c r="D55" i="39"/>
  <c r="Q55" i="39" s="1"/>
  <c r="U54" i="39"/>
  <c r="T54" i="39"/>
  <c r="D54" i="39"/>
  <c r="U53" i="39"/>
  <c r="T53" i="39"/>
  <c r="D53" i="39"/>
  <c r="Q53" i="39" s="1"/>
  <c r="U52" i="39"/>
  <c r="T52" i="39"/>
  <c r="D52" i="39"/>
  <c r="U51" i="39"/>
  <c r="T51" i="39"/>
  <c r="D51" i="39"/>
  <c r="Q51" i="39" s="1"/>
  <c r="U50" i="39"/>
  <c r="T50" i="39"/>
  <c r="D50" i="39"/>
  <c r="Q50" i="39" s="1"/>
  <c r="U49" i="39"/>
  <c r="T49" i="39"/>
  <c r="D49" i="39"/>
  <c r="Q49" i="39" s="1"/>
  <c r="U48" i="39"/>
  <c r="T48" i="39"/>
  <c r="D48" i="39"/>
  <c r="N48" i="39" s="1"/>
  <c r="U47" i="39"/>
  <c r="T47" i="39"/>
  <c r="D47" i="39"/>
  <c r="U46" i="39"/>
  <c r="T46" i="39"/>
  <c r="D46" i="39"/>
  <c r="R46" i="39" s="1"/>
  <c r="U125" i="39"/>
  <c r="T125" i="39"/>
  <c r="D125" i="39"/>
  <c r="P125" i="39" s="1"/>
  <c r="U124" i="39"/>
  <c r="T124" i="39"/>
  <c r="D124" i="39"/>
  <c r="U123" i="39"/>
  <c r="T123" i="39"/>
  <c r="D123" i="39"/>
  <c r="P123" i="39" s="1"/>
  <c r="U122" i="39"/>
  <c r="T122" i="39"/>
  <c r="D122" i="39"/>
  <c r="P122" i="39" s="1"/>
  <c r="U121" i="39"/>
  <c r="T121" i="39"/>
  <c r="D121" i="39"/>
  <c r="P121" i="39" s="1"/>
  <c r="U120" i="39"/>
  <c r="T120" i="39"/>
  <c r="D120" i="39"/>
  <c r="P120" i="39" s="1"/>
  <c r="U119" i="39"/>
  <c r="T119" i="39"/>
  <c r="D119" i="39"/>
  <c r="P119" i="39" s="1"/>
  <c r="U118" i="39"/>
  <c r="T118" i="39"/>
  <c r="D118" i="39"/>
  <c r="P118" i="39" s="1"/>
  <c r="U117" i="39"/>
  <c r="T117" i="39"/>
  <c r="D117" i="39"/>
  <c r="P117" i="39" s="1"/>
  <c r="U116" i="39"/>
  <c r="T116" i="39"/>
  <c r="D116" i="39"/>
  <c r="P116" i="39" s="1"/>
  <c r="U115" i="39"/>
  <c r="T115" i="39"/>
  <c r="D115" i="39"/>
  <c r="P115" i="39" s="1"/>
  <c r="U114" i="39"/>
  <c r="T114" i="39"/>
  <c r="D114" i="39"/>
  <c r="P114" i="39" s="1"/>
  <c r="U113" i="39"/>
  <c r="T113" i="39"/>
  <c r="D113" i="39"/>
  <c r="U112" i="39"/>
  <c r="T112" i="39"/>
  <c r="D112" i="39"/>
  <c r="U111" i="39"/>
  <c r="T111" i="39"/>
  <c r="D111" i="39"/>
  <c r="U110" i="39"/>
  <c r="T110" i="39"/>
  <c r="D110" i="39"/>
  <c r="U109" i="39"/>
  <c r="T109" i="39"/>
  <c r="D109" i="39"/>
  <c r="U108" i="39"/>
  <c r="T108" i="39"/>
  <c r="D108" i="39"/>
  <c r="U107" i="39"/>
  <c r="T107" i="39"/>
  <c r="D107" i="39"/>
  <c r="U106" i="39"/>
  <c r="T106" i="39"/>
  <c r="D106" i="39"/>
  <c r="U105" i="39"/>
  <c r="T105" i="39"/>
  <c r="D105" i="39"/>
  <c r="U104" i="39"/>
  <c r="T104" i="39"/>
  <c r="D104" i="39"/>
  <c r="U103" i="39"/>
  <c r="T103" i="39"/>
  <c r="D103" i="39"/>
  <c r="U102" i="39"/>
  <c r="T102" i="39"/>
  <c r="D102" i="39"/>
  <c r="U101" i="39"/>
  <c r="T101" i="39"/>
  <c r="D101" i="39"/>
  <c r="U100" i="39"/>
  <c r="T100" i="39"/>
  <c r="D100" i="39"/>
  <c r="U99" i="39"/>
  <c r="T99" i="39"/>
  <c r="D99" i="39"/>
  <c r="U98" i="39"/>
  <c r="T98" i="39"/>
  <c r="D98" i="39"/>
  <c r="U97" i="39"/>
  <c r="T97" i="39"/>
  <c r="D97" i="39"/>
  <c r="U96" i="39"/>
  <c r="T96" i="39"/>
  <c r="D96" i="39"/>
  <c r="U95" i="39"/>
  <c r="T95" i="39"/>
  <c r="D95" i="39"/>
  <c r="Q95" i="39" s="1"/>
  <c r="U94" i="39"/>
  <c r="T94" i="39"/>
  <c r="D94" i="39"/>
  <c r="U93" i="39"/>
  <c r="T93" i="39"/>
  <c r="D93" i="39"/>
  <c r="U92" i="39"/>
  <c r="T92" i="39"/>
  <c r="D92" i="39"/>
  <c r="U91" i="39"/>
  <c r="T91" i="39"/>
  <c r="D91" i="39"/>
  <c r="U90" i="39"/>
  <c r="T90" i="39"/>
  <c r="D90" i="39"/>
  <c r="U89" i="39"/>
  <c r="T89" i="39"/>
  <c r="D89" i="39"/>
  <c r="U88" i="39"/>
  <c r="T88" i="39"/>
  <c r="D88" i="39"/>
  <c r="U87" i="39"/>
  <c r="T87" i="39"/>
  <c r="D87" i="39"/>
  <c r="U86" i="39"/>
  <c r="T86" i="39"/>
  <c r="D86" i="39"/>
  <c r="U133" i="39"/>
  <c r="T133" i="39"/>
  <c r="D133" i="39"/>
  <c r="P133" i="39" s="1"/>
  <c r="U132" i="39"/>
  <c r="T132" i="39"/>
  <c r="D132" i="39"/>
  <c r="P132" i="39" s="1"/>
  <c r="U131" i="39"/>
  <c r="T131" i="39"/>
  <c r="D131" i="39"/>
  <c r="P131" i="39" s="1"/>
  <c r="U130" i="39"/>
  <c r="T130" i="39"/>
  <c r="D130" i="39"/>
  <c r="P130" i="39" s="1"/>
  <c r="U129" i="39"/>
  <c r="T129" i="39"/>
  <c r="D129" i="39"/>
  <c r="P129" i="39" s="1"/>
  <c r="U128" i="39"/>
  <c r="T128" i="39"/>
  <c r="D128" i="39"/>
  <c r="P128" i="39" s="1"/>
  <c r="U127" i="39"/>
  <c r="T127" i="39"/>
  <c r="D127" i="39"/>
  <c r="P127" i="39" s="1"/>
  <c r="U126" i="39"/>
  <c r="T126" i="39"/>
  <c r="D126" i="39"/>
  <c r="P126" i="39" s="1"/>
  <c r="U141" i="39"/>
  <c r="T141" i="39"/>
  <c r="D141" i="39"/>
  <c r="P141" i="39" s="1"/>
  <c r="U140" i="39"/>
  <c r="T140" i="39"/>
  <c r="D140" i="39"/>
  <c r="P140" i="39" s="1"/>
  <c r="U139" i="39"/>
  <c r="T139" i="39"/>
  <c r="D139" i="39"/>
  <c r="P139" i="39" s="1"/>
  <c r="U138" i="39"/>
  <c r="T138" i="39"/>
  <c r="D138" i="39"/>
  <c r="P138" i="39" s="1"/>
  <c r="U137" i="39"/>
  <c r="T137" i="39"/>
  <c r="D137" i="39"/>
  <c r="P137" i="39" s="1"/>
  <c r="U136" i="39"/>
  <c r="T136" i="39"/>
  <c r="D136" i="39"/>
  <c r="P136" i="39" s="1"/>
  <c r="U135" i="39"/>
  <c r="T135" i="39"/>
  <c r="D135" i="39"/>
  <c r="P135" i="39" s="1"/>
  <c r="U134" i="39"/>
  <c r="T134" i="39"/>
  <c r="D134" i="39"/>
  <c r="P134" i="39" s="1"/>
  <c r="U149" i="39"/>
  <c r="T149" i="39"/>
  <c r="D149" i="39"/>
  <c r="P149" i="39" s="1"/>
  <c r="U148" i="39"/>
  <c r="T148" i="39"/>
  <c r="D148" i="39"/>
  <c r="P148" i="39" s="1"/>
  <c r="U147" i="39"/>
  <c r="T147" i="39"/>
  <c r="D147" i="39"/>
  <c r="P147" i="39" s="1"/>
  <c r="U146" i="39"/>
  <c r="T146" i="39"/>
  <c r="D146" i="39"/>
  <c r="P146" i="39" s="1"/>
  <c r="U145" i="39"/>
  <c r="T145" i="39"/>
  <c r="D145" i="39"/>
  <c r="P145" i="39" s="1"/>
  <c r="U144" i="39"/>
  <c r="T144" i="39"/>
  <c r="D144" i="39"/>
  <c r="P144" i="39" s="1"/>
  <c r="U143" i="39"/>
  <c r="T143" i="39"/>
  <c r="D143" i="39"/>
  <c r="P143" i="39" s="1"/>
  <c r="U142" i="39"/>
  <c r="T142" i="39"/>
  <c r="D142" i="39"/>
  <c r="P142" i="39" s="1"/>
  <c r="U232" i="39"/>
  <c r="T232" i="39"/>
  <c r="D232" i="39"/>
  <c r="P232" i="39" s="1"/>
  <c r="U231" i="39"/>
  <c r="T231" i="39"/>
  <c r="D231" i="39"/>
  <c r="P231" i="39" s="1"/>
  <c r="U230" i="39"/>
  <c r="T230" i="39"/>
  <c r="D230" i="39"/>
  <c r="P230" i="39" s="1"/>
  <c r="U154" i="39"/>
  <c r="T154" i="39"/>
  <c r="D154" i="39"/>
  <c r="P154" i="39" s="1"/>
  <c r="U153" i="39"/>
  <c r="T153" i="39"/>
  <c r="D153" i="39"/>
  <c r="P153" i="39" s="1"/>
  <c r="U152" i="39"/>
  <c r="T152" i="39"/>
  <c r="D152" i="39"/>
  <c r="P152" i="39" s="1"/>
  <c r="U151" i="39"/>
  <c r="T151" i="39"/>
  <c r="D151" i="39"/>
  <c r="P151" i="39" s="1"/>
  <c r="U150" i="39"/>
  <c r="T150" i="39"/>
  <c r="D150" i="39"/>
  <c r="P150" i="39" s="1"/>
  <c r="U400" i="39"/>
  <c r="T400" i="39"/>
  <c r="D400" i="39"/>
  <c r="P400" i="39" s="1"/>
  <c r="U239" i="39"/>
  <c r="T239" i="39"/>
  <c r="D239" i="39"/>
  <c r="P239" i="39" s="1"/>
  <c r="U238" i="39"/>
  <c r="T238" i="39"/>
  <c r="D238" i="39"/>
  <c r="P238" i="39" s="1"/>
  <c r="U237" i="39"/>
  <c r="T237" i="39"/>
  <c r="D237" i="39"/>
  <c r="P237" i="39" s="1"/>
  <c r="U236" i="39"/>
  <c r="T236" i="39"/>
  <c r="D236" i="39"/>
  <c r="P236" i="39" s="1"/>
  <c r="U235" i="39"/>
  <c r="T235" i="39"/>
  <c r="D235" i="39"/>
  <c r="P235" i="39" s="1"/>
  <c r="U234" i="39"/>
  <c r="T234" i="39"/>
  <c r="D234" i="39"/>
  <c r="P234" i="39" s="1"/>
  <c r="U233" i="39"/>
  <c r="T233" i="39"/>
  <c r="D233" i="39"/>
  <c r="P233" i="39" s="1"/>
  <c r="U660" i="49"/>
  <c r="T660" i="49"/>
  <c r="D660" i="49"/>
  <c r="P660" i="49" s="1"/>
  <c r="U659" i="49"/>
  <c r="T659" i="49"/>
  <c r="D659" i="49"/>
  <c r="P659" i="49" s="1"/>
  <c r="U762" i="49"/>
  <c r="T762" i="49"/>
  <c r="D762" i="49"/>
  <c r="P762" i="49" s="1"/>
  <c r="D937" i="49"/>
  <c r="Q937" i="49" s="1"/>
  <c r="C26" i="50"/>
  <c r="C25" i="50"/>
  <c r="D21" i="50"/>
  <c r="O18" i="50"/>
  <c r="C16" i="50"/>
  <c r="C15" i="50"/>
  <c r="J10" i="50"/>
  <c r="C9" i="50"/>
  <c r="F8" i="50"/>
  <c r="F7" i="50"/>
  <c r="F6" i="50"/>
  <c r="F5" i="50"/>
  <c r="F4" i="50"/>
  <c r="F3" i="50"/>
  <c r="U682" i="39"/>
  <c r="T682" i="39"/>
  <c r="R682" i="39"/>
  <c r="Q682" i="39"/>
  <c r="P682" i="39"/>
  <c r="O682" i="39"/>
  <c r="N682" i="39"/>
  <c r="U13" i="48"/>
  <c r="U13" i="46"/>
  <c r="E32" i="43"/>
  <c r="G32" i="43" s="1"/>
  <c r="I32" i="43" s="1"/>
  <c r="E31" i="43"/>
  <c r="G31" i="43" s="1"/>
  <c r="I31" i="43" s="1"/>
  <c r="E30" i="43"/>
  <c r="E29" i="43"/>
  <c r="E28" i="43"/>
  <c r="E25" i="43"/>
  <c r="G25" i="43" s="1"/>
  <c r="I25" i="43" s="1"/>
  <c r="E24" i="43"/>
  <c r="G24" i="43" s="1"/>
  <c r="I24" i="43" s="1"/>
  <c r="E23" i="43"/>
  <c r="E22" i="43"/>
  <c r="E21" i="43"/>
  <c r="E18" i="43"/>
  <c r="G18" i="43" s="1"/>
  <c r="I18" i="43" s="1"/>
  <c r="E17" i="43"/>
  <c r="G17" i="43" s="1"/>
  <c r="I17" i="43" s="1"/>
  <c r="E16" i="43"/>
  <c r="E15" i="43"/>
  <c r="E11" i="43"/>
  <c r="G11" i="43" s="1"/>
  <c r="I11" i="43" s="1"/>
  <c r="E10" i="43"/>
  <c r="G10" i="43" s="1"/>
  <c r="I10" i="43" s="1"/>
  <c r="E9" i="43"/>
  <c r="E8" i="43"/>
  <c r="E7" i="43"/>
  <c r="E4" i="43"/>
  <c r="G4" i="43" s="1"/>
  <c r="I4" i="43" s="1"/>
  <c r="E3" i="43"/>
  <c r="G3" i="43" s="1"/>
  <c r="I3" i="43" s="1"/>
  <c r="B4" i="43"/>
  <c r="B5" i="43" s="1"/>
  <c r="B6" i="43" s="1"/>
  <c r="B7" i="43" s="1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D5" i="39"/>
  <c r="D4" i="39"/>
  <c r="L4" i="39"/>
  <c r="L5" i="39" s="1"/>
  <c r="D3" i="39"/>
  <c r="U940" i="49"/>
  <c r="T940" i="49"/>
  <c r="D940" i="49"/>
  <c r="Q940" i="49" s="1"/>
  <c r="U939" i="49"/>
  <c r="T939" i="49"/>
  <c r="D939" i="49"/>
  <c r="U938" i="49"/>
  <c r="T938" i="49"/>
  <c r="D938" i="49"/>
  <c r="O938" i="49" s="1"/>
  <c r="U937" i="49"/>
  <c r="T937" i="49"/>
  <c r="U936" i="49"/>
  <c r="T936" i="49"/>
  <c r="D936" i="49"/>
  <c r="P936" i="49" s="1"/>
  <c r="U935" i="49"/>
  <c r="T935" i="49"/>
  <c r="D935" i="49"/>
  <c r="Q935" i="49" s="1"/>
  <c r="U934" i="49"/>
  <c r="T934" i="49"/>
  <c r="D934" i="49"/>
  <c r="U933" i="49"/>
  <c r="T933" i="49"/>
  <c r="D933" i="49"/>
  <c r="O933" i="49" s="1"/>
  <c r="U932" i="49"/>
  <c r="T932" i="49"/>
  <c r="D932" i="49"/>
  <c r="U931" i="49"/>
  <c r="T931" i="49"/>
  <c r="D931" i="49"/>
  <c r="Q931" i="49" s="1"/>
  <c r="U930" i="49"/>
  <c r="T930" i="49"/>
  <c r="D930" i="49"/>
  <c r="U929" i="49"/>
  <c r="T929" i="49"/>
  <c r="D929" i="49"/>
  <c r="O929" i="49" s="1"/>
  <c r="U928" i="49"/>
  <c r="T928" i="49"/>
  <c r="D928" i="49"/>
  <c r="U927" i="49"/>
  <c r="T927" i="49"/>
  <c r="D927" i="49"/>
  <c r="Q927" i="49" s="1"/>
  <c r="U926" i="49"/>
  <c r="T926" i="49"/>
  <c r="D926" i="49"/>
  <c r="U925" i="49"/>
  <c r="T925" i="49"/>
  <c r="D925" i="49"/>
  <c r="O925" i="49" s="1"/>
  <c r="U924" i="49"/>
  <c r="T924" i="49"/>
  <c r="D924" i="49"/>
  <c r="P924" i="49" s="1"/>
  <c r="U923" i="49"/>
  <c r="T923" i="49"/>
  <c r="D923" i="49"/>
  <c r="Q923" i="49" s="1"/>
  <c r="U922" i="49"/>
  <c r="T922" i="49"/>
  <c r="D922" i="49"/>
  <c r="P922" i="49" s="1"/>
  <c r="U921" i="49"/>
  <c r="T921" i="49"/>
  <c r="D921" i="49"/>
  <c r="O921" i="49" s="1"/>
  <c r="U920" i="49"/>
  <c r="T920" i="49"/>
  <c r="D920" i="49"/>
  <c r="P920" i="49" s="1"/>
  <c r="U919" i="49"/>
  <c r="T919" i="49"/>
  <c r="D919" i="49"/>
  <c r="Q919" i="49" s="1"/>
  <c r="U918" i="49"/>
  <c r="T918" i="49"/>
  <c r="D918" i="49"/>
  <c r="U917" i="49"/>
  <c r="T917" i="49"/>
  <c r="D917" i="49"/>
  <c r="O917" i="49" s="1"/>
  <c r="U916" i="49"/>
  <c r="T916" i="49"/>
  <c r="D916" i="49"/>
  <c r="U915" i="49"/>
  <c r="T915" i="49"/>
  <c r="D915" i="49"/>
  <c r="Q915" i="49" s="1"/>
  <c r="U914" i="49"/>
  <c r="T914" i="49"/>
  <c r="D914" i="49"/>
  <c r="U913" i="49"/>
  <c r="T913" i="49"/>
  <c r="D913" i="49"/>
  <c r="O913" i="49" s="1"/>
  <c r="U912" i="49"/>
  <c r="T912" i="49"/>
  <c r="D912" i="49"/>
  <c r="U911" i="49"/>
  <c r="T911" i="49"/>
  <c r="D911" i="49"/>
  <c r="Q911" i="49" s="1"/>
  <c r="U910" i="49"/>
  <c r="T910" i="49"/>
  <c r="D910" i="49"/>
  <c r="U909" i="49"/>
  <c r="T909" i="49"/>
  <c r="D909" i="49"/>
  <c r="O909" i="49" s="1"/>
  <c r="U908" i="49"/>
  <c r="T908" i="49"/>
  <c r="D908" i="49"/>
  <c r="P908" i="49" s="1"/>
  <c r="U907" i="49"/>
  <c r="T907" i="49"/>
  <c r="D907" i="49"/>
  <c r="Q907" i="49" s="1"/>
  <c r="U906" i="49"/>
  <c r="T906" i="49"/>
  <c r="D906" i="49"/>
  <c r="P906" i="49" s="1"/>
  <c r="U905" i="49"/>
  <c r="T905" i="49"/>
  <c r="D905" i="49"/>
  <c r="O905" i="49" s="1"/>
  <c r="U904" i="49"/>
  <c r="T904" i="49"/>
  <c r="D904" i="49"/>
  <c r="P904" i="49" s="1"/>
  <c r="U903" i="49"/>
  <c r="T903" i="49"/>
  <c r="D903" i="49"/>
  <c r="Q903" i="49" s="1"/>
  <c r="U902" i="49"/>
  <c r="T902" i="49"/>
  <c r="D902" i="49"/>
  <c r="U901" i="49"/>
  <c r="T901" i="49"/>
  <c r="D901" i="49"/>
  <c r="O901" i="49" s="1"/>
  <c r="U900" i="49"/>
  <c r="T900" i="49"/>
  <c r="D900" i="49"/>
  <c r="U899" i="49"/>
  <c r="T899" i="49"/>
  <c r="D899" i="49"/>
  <c r="Q899" i="49" s="1"/>
  <c r="U898" i="49"/>
  <c r="T898" i="49"/>
  <c r="D898" i="49"/>
  <c r="U897" i="49"/>
  <c r="T897" i="49"/>
  <c r="D897" i="49"/>
  <c r="O897" i="49" s="1"/>
  <c r="U896" i="49"/>
  <c r="T896" i="49"/>
  <c r="D896" i="49"/>
  <c r="U895" i="49"/>
  <c r="T895" i="49"/>
  <c r="D895" i="49"/>
  <c r="U894" i="49"/>
  <c r="T894" i="49"/>
  <c r="D894" i="49"/>
  <c r="P894" i="49" s="1"/>
  <c r="U893" i="49"/>
  <c r="T893" i="49"/>
  <c r="D893" i="49"/>
  <c r="O893" i="49" s="1"/>
  <c r="U892" i="49"/>
  <c r="T892" i="49"/>
  <c r="D892" i="49"/>
  <c r="U891" i="49"/>
  <c r="T891" i="49"/>
  <c r="D891" i="49"/>
  <c r="U890" i="49"/>
  <c r="T890" i="49"/>
  <c r="D890" i="49"/>
  <c r="U889" i="49"/>
  <c r="T889" i="49"/>
  <c r="D889" i="49"/>
  <c r="U888" i="49"/>
  <c r="T888" i="49"/>
  <c r="D888" i="49"/>
  <c r="U887" i="49"/>
  <c r="T887" i="49"/>
  <c r="D887" i="49"/>
  <c r="U886" i="49"/>
  <c r="T886" i="49"/>
  <c r="D886" i="49"/>
  <c r="U885" i="49"/>
  <c r="T885" i="49"/>
  <c r="D885" i="49"/>
  <c r="U884" i="49"/>
  <c r="T884" i="49"/>
  <c r="D884" i="49"/>
  <c r="N884" i="49" s="1"/>
  <c r="U883" i="49"/>
  <c r="T883" i="49"/>
  <c r="D883" i="49"/>
  <c r="U882" i="49"/>
  <c r="T882" i="49"/>
  <c r="D882" i="49"/>
  <c r="U881" i="49"/>
  <c r="T881" i="49"/>
  <c r="D881" i="49"/>
  <c r="U880" i="49"/>
  <c r="T880" i="49"/>
  <c r="D880" i="49"/>
  <c r="U879" i="49"/>
  <c r="T879" i="49"/>
  <c r="D879" i="49"/>
  <c r="U878" i="49"/>
  <c r="T878" i="49"/>
  <c r="D878" i="49"/>
  <c r="U877" i="49"/>
  <c r="T877" i="49"/>
  <c r="D877" i="49"/>
  <c r="U876" i="49"/>
  <c r="T876" i="49"/>
  <c r="D876" i="49"/>
  <c r="R876" i="49" s="1"/>
  <c r="U875" i="49"/>
  <c r="T875" i="49"/>
  <c r="D875" i="49"/>
  <c r="U874" i="49"/>
  <c r="T874" i="49"/>
  <c r="D874" i="49"/>
  <c r="U873" i="49"/>
  <c r="T873" i="49"/>
  <c r="D873" i="49"/>
  <c r="U872" i="49"/>
  <c r="T872" i="49"/>
  <c r="D872" i="49"/>
  <c r="U871" i="49"/>
  <c r="T871" i="49"/>
  <c r="D871" i="49"/>
  <c r="Q871" i="49" s="1"/>
  <c r="U870" i="49"/>
  <c r="T870" i="49"/>
  <c r="D870" i="49"/>
  <c r="R870" i="49" s="1"/>
  <c r="U869" i="49"/>
  <c r="T869" i="49"/>
  <c r="D869" i="49"/>
  <c r="U868" i="49"/>
  <c r="T868" i="49"/>
  <c r="D868" i="49"/>
  <c r="U867" i="49"/>
  <c r="T867" i="49"/>
  <c r="D867" i="49"/>
  <c r="U866" i="49"/>
  <c r="T866" i="49"/>
  <c r="D866" i="49"/>
  <c r="U865" i="49"/>
  <c r="T865" i="49"/>
  <c r="D865" i="49"/>
  <c r="U864" i="49"/>
  <c r="T864" i="49"/>
  <c r="D864" i="49"/>
  <c r="Q864" i="49" s="1"/>
  <c r="U863" i="49"/>
  <c r="T863" i="49"/>
  <c r="D863" i="49"/>
  <c r="U862" i="49"/>
  <c r="T862" i="49"/>
  <c r="D862" i="49"/>
  <c r="U861" i="49"/>
  <c r="T861" i="49"/>
  <c r="D861" i="49"/>
  <c r="U860" i="49"/>
  <c r="T860" i="49"/>
  <c r="D860" i="49"/>
  <c r="U859" i="49"/>
  <c r="T859" i="49"/>
  <c r="D859" i="49"/>
  <c r="U858" i="49"/>
  <c r="T858" i="49"/>
  <c r="D858" i="49"/>
  <c r="U857" i="49"/>
  <c r="T857" i="49"/>
  <c r="D857" i="49"/>
  <c r="U856" i="49"/>
  <c r="T856" i="49"/>
  <c r="D856" i="49"/>
  <c r="U855" i="49"/>
  <c r="T855" i="49"/>
  <c r="D855" i="49"/>
  <c r="U854" i="49"/>
  <c r="T854" i="49"/>
  <c r="D854" i="49"/>
  <c r="U853" i="49"/>
  <c r="T853" i="49"/>
  <c r="D853" i="49"/>
  <c r="O853" i="49" s="1"/>
  <c r="U852" i="49"/>
  <c r="T852" i="49"/>
  <c r="D852" i="49"/>
  <c r="Q852" i="49" s="1"/>
  <c r="U851" i="49"/>
  <c r="T851" i="49"/>
  <c r="D851" i="49"/>
  <c r="U850" i="49"/>
  <c r="T850" i="49"/>
  <c r="D850" i="49"/>
  <c r="U849" i="49"/>
  <c r="T849" i="49"/>
  <c r="D849" i="49"/>
  <c r="U848" i="49"/>
  <c r="T848" i="49"/>
  <c r="D848" i="49"/>
  <c r="U847" i="49"/>
  <c r="T847" i="49"/>
  <c r="D847" i="49"/>
  <c r="U846" i="49"/>
  <c r="T846" i="49"/>
  <c r="D846" i="49"/>
  <c r="U845" i="49"/>
  <c r="T845" i="49"/>
  <c r="D845" i="49"/>
  <c r="U844" i="49"/>
  <c r="T844" i="49"/>
  <c r="D844" i="49"/>
  <c r="U843" i="49"/>
  <c r="T843" i="49"/>
  <c r="D843" i="49"/>
  <c r="U842" i="49"/>
  <c r="T842" i="49"/>
  <c r="D842" i="49"/>
  <c r="U841" i="49"/>
  <c r="T841" i="49"/>
  <c r="D841" i="49"/>
  <c r="O841" i="49" s="1"/>
  <c r="U840" i="49"/>
  <c r="T840" i="49"/>
  <c r="D840" i="49"/>
  <c r="U839" i="49"/>
  <c r="T839" i="49"/>
  <c r="D839" i="49"/>
  <c r="U838" i="49"/>
  <c r="T838" i="49"/>
  <c r="D838" i="49"/>
  <c r="U837" i="49"/>
  <c r="T837" i="49"/>
  <c r="D837" i="49"/>
  <c r="P837" i="49" s="1"/>
  <c r="U836" i="49"/>
  <c r="T836" i="49"/>
  <c r="D836" i="49"/>
  <c r="U835" i="49"/>
  <c r="T835" i="49"/>
  <c r="D835" i="49"/>
  <c r="U834" i="49"/>
  <c r="T834" i="49"/>
  <c r="D834" i="49"/>
  <c r="U833" i="49"/>
  <c r="T833" i="49"/>
  <c r="D833" i="49"/>
  <c r="U832" i="49"/>
  <c r="T832" i="49"/>
  <c r="D832" i="49"/>
  <c r="Q832" i="49" s="1"/>
  <c r="U831" i="49"/>
  <c r="T831" i="49"/>
  <c r="D831" i="49"/>
  <c r="U830" i="49"/>
  <c r="T830" i="49"/>
  <c r="D830" i="49"/>
  <c r="U829" i="49"/>
  <c r="T829" i="49"/>
  <c r="D829" i="49"/>
  <c r="U828" i="49"/>
  <c r="T828" i="49"/>
  <c r="D828" i="49"/>
  <c r="U827" i="49"/>
  <c r="T827" i="49"/>
  <c r="D827" i="49"/>
  <c r="U826" i="49"/>
  <c r="T826" i="49"/>
  <c r="D826" i="49"/>
  <c r="U825" i="49"/>
  <c r="T825" i="49"/>
  <c r="D825" i="49"/>
  <c r="U824" i="49"/>
  <c r="T824" i="49"/>
  <c r="D824" i="49"/>
  <c r="U823" i="49"/>
  <c r="T823" i="49"/>
  <c r="D823" i="49"/>
  <c r="U822" i="49"/>
  <c r="T822" i="49"/>
  <c r="D822" i="49"/>
  <c r="U821" i="49"/>
  <c r="T821" i="49"/>
  <c r="D821" i="49"/>
  <c r="U820" i="49"/>
  <c r="T820" i="49"/>
  <c r="D820" i="49"/>
  <c r="N820" i="49" s="1"/>
  <c r="U819" i="49"/>
  <c r="T819" i="49"/>
  <c r="D819" i="49"/>
  <c r="U818" i="49"/>
  <c r="T818" i="49"/>
  <c r="D818" i="49"/>
  <c r="U817" i="49"/>
  <c r="T817" i="49"/>
  <c r="D817" i="49"/>
  <c r="Q817" i="49" s="1"/>
  <c r="U816" i="49"/>
  <c r="T816" i="49"/>
  <c r="D816" i="49"/>
  <c r="U815" i="49"/>
  <c r="T815" i="49"/>
  <c r="D815" i="49"/>
  <c r="U814" i="49"/>
  <c r="T814" i="49"/>
  <c r="D814" i="49"/>
  <c r="U813" i="49"/>
  <c r="T813" i="49"/>
  <c r="D813" i="49"/>
  <c r="U812" i="49"/>
  <c r="T812" i="49"/>
  <c r="D812" i="49"/>
  <c r="N812" i="49" s="1"/>
  <c r="U811" i="49"/>
  <c r="T811" i="49"/>
  <c r="D811" i="49"/>
  <c r="U810" i="49"/>
  <c r="T810" i="49"/>
  <c r="D810" i="49"/>
  <c r="U809" i="49"/>
  <c r="T809" i="49"/>
  <c r="D809" i="49"/>
  <c r="U808" i="49"/>
  <c r="T808" i="49"/>
  <c r="D808" i="49"/>
  <c r="U807" i="49"/>
  <c r="T807" i="49"/>
  <c r="D807" i="49"/>
  <c r="U806" i="49"/>
  <c r="T806" i="49"/>
  <c r="D806" i="49"/>
  <c r="P806" i="49" s="1"/>
  <c r="U805" i="49"/>
  <c r="T805" i="49"/>
  <c r="D805" i="49"/>
  <c r="Q805" i="49" s="1"/>
  <c r="U804" i="49"/>
  <c r="T804" i="49"/>
  <c r="D804" i="49"/>
  <c r="Q804" i="49" s="1"/>
  <c r="U803" i="49"/>
  <c r="T803" i="49"/>
  <c r="D803" i="49"/>
  <c r="U802" i="49"/>
  <c r="T802" i="49"/>
  <c r="D802" i="49"/>
  <c r="U801" i="49"/>
  <c r="T801" i="49"/>
  <c r="D801" i="49"/>
  <c r="U800" i="49"/>
  <c r="T800" i="49"/>
  <c r="D800" i="49"/>
  <c r="U799" i="49"/>
  <c r="T799" i="49"/>
  <c r="D799" i="49"/>
  <c r="U798" i="49"/>
  <c r="T798" i="49"/>
  <c r="D798" i="49"/>
  <c r="U797" i="49"/>
  <c r="T797" i="49"/>
  <c r="D797" i="49"/>
  <c r="U796" i="49"/>
  <c r="T796" i="49"/>
  <c r="D796" i="49"/>
  <c r="U795" i="49"/>
  <c r="T795" i="49"/>
  <c r="D795" i="49"/>
  <c r="U794" i="49"/>
  <c r="T794" i="49"/>
  <c r="D794" i="49"/>
  <c r="U793" i="49"/>
  <c r="T793" i="49"/>
  <c r="D793" i="49"/>
  <c r="U792" i="49"/>
  <c r="T792" i="49"/>
  <c r="D792" i="49"/>
  <c r="U791" i="49"/>
  <c r="T791" i="49"/>
  <c r="D791" i="49"/>
  <c r="U790" i="49"/>
  <c r="T790" i="49"/>
  <c r="D790" i="49"/>
  <c r="U789" i="49"/>
  <c r="T789" i="49"/>
  <c r="D789" i="49"/>
  <c r="U788" i="49"/>
  <c r="T788" i="49"/>
  <c r="D788" i="49"/>
  <c r="U787" i="49"/>
  <c r="T787" i="49"/>
  <c r="D787" i="49"/>
  <c r="U786" i="49"/>
  <c r="T786" i="49"/>
  <c r="D786" i="49"/>
  <c r="U785" i="49"/>
  <c r="T785" i="49"/>
  <c r="D785" i="49"/>
  <c r="U784" i="49"/>
  <c r="T784" i="49"/>
  <c r="D784" i="49"/>
  <c r="U783" i="49"/>
  <c r="T783" i="49"/>
  <c r="D783" i="49"/>
  <c r="U782" i="49"/>
  <c r="T782" i="49"/>
  <c r="D782" i="49"/>
  <c r="U781" i="49"/>
  <c r="T781" i="49"/>
  <c r="D781" i="49"/>
  <c r="Q781" i="49" s="1"/>
  <c r="U780" i="49"/>
  <c r="T780" i="49"/>
  <c r="D780" i="49"/>
  <c r="U779" i="49"/>
  <c r="T779" i="49"/>
  <c r="D779" i="49"/>
  <c r="P779" i="49" s="1"/>
  <c r="U778" i="49"/>
  <c r="T778" i="49"/>
  <c r="D778" i="49"/>
  <c r="U777" i="49"/>
  <c r="T777" i="49"/>
  <c r="D777" i="49"/>
  <c r="U776" i="49"/>
  <c r="T776" i="49"/>
  <c r="D776" i="49"/>
  <c r="U775" i="49"/>
  <c r="T775" i="49"/>
  <c r="D775" i="49"/>
  <c r="U774" i="49"/>
  <c r="T774" i="49"/>
  <c r="D774" i="49"/>
  <c r="U773" i="49"/>
  <c r="T773" i="49"/>
  <c r="D773" i="49"/>
  <c r="U772" i="49"/>
  <c r="T772" i="49"/>
  <c r="D772" i="49"/>
  <c r="U771" i="49"/>
  <c r="T771" i="49"/>
  <c r="D771" i="49"/>
  <c r="U770" i="49"/>
  <c r="T770" i="49"/>
  <c r="D770" i="49"/>
  <c r="U769" i="49"/>
  <c r="T769" i="49"/>
  <c r="D769" i="49"/>
  <c r="U768" i="49"/>
  <c r="T768" i="49"/>
  <c r="D768" i="49"/>
  <c r="U767" i="49"/>
  <c r="T767" i="49"/>
  <c r="D767" i="49"/>
  <c r="U766" i="49"/>
  <c r="T766" i="49"/>
  <c r="D766" i="49"/>
  <c r="U765" i="49"/>
  <c r="T765" i="49"/>
  <c r="D765" i="49"/>
  <c r="U764" i="49"/>
  <c r="T764" i="49"/>
  <c r="D764" i="49"/>
  <c r="U763" i="49"/>
  <c r="T763" i="49"/>
  <c r="D763" i="49"/>
  <c r="U761" i="49"/>
  <c r="T761" i="49"/>
  <c r="D761" i="49"/>
  <c r="N761" i="49" s="1"/>
  <c r="U760" i="49"/>
  <c r="T760" i="49"/>
  <c r="D760" i="49"/>
  <c r="R760" i="49" s="1"/>
  <c r="U759" i="49"/>
  <c r="T759" i="49"/>
  <c r="D759" i="49"/>
  <c r="R759" i="49" s="1"/>
  <c r="U758" i="49"/>
  <c r="T758" i="49"/>
  <c r="D758" i="49"/>
  <c r="U757" i="49"/>
  <c r="T757" i="49"/>
  <c r="D757" i="49"/>
  <c r="U756" i="49"/>
  <c r="T756" i="49"/>
  <c r="D756" i="49"/>
  <c r="U755" i="49"/>
  <c r="T755" i="49"/>
  <c r="D755" i="49"/>
  <c r="U754" i="49"/>
  <c r="T754" i="49"/>
  <c r="D754" i="49"/>
  <c r="O754" i="49" s="1"/>
  <c r="U753" i="49"/>
  <c r="T753" i="49"/>
  <c r="D753" i="49"/>
  <c r="N753" i="49" s="1"/>
  <c r="U752" i="49"/>
  <c r="T752" i="49"/>
  <c r="D752" i="49"/>
  <c r="R752" i="49" s="1"/>
  <c r="U751" i="49"/>
  <c r="T751" i="49"/>
  <c r="D751" i="49"/>
  <c r="R751" i="49" s="1"/>
  <c r="U750" i="49"/>
  <c r="T750" i="49"/>
  <c r="D750" i="49"/>
  <c r="U749" i="49"/>
  <c r="T749" i="49"/>
  <c r="D749" i="49"/>
  <c r="U748" i="49"/>
  <c r="T748" i="49"/>
  <c r="D748" i="49"/>
  <c r="U747" i="49"/>
  <c r="T747" i="49"/>
  <c r="D747" i="49"/>
  <c r="U746" i="49"/>
  <c r="T746" i="49"/>
  <c r="D746" i="49"/>
  <c r="U745" i="49"/>
  <c r="T745" i="49"/>
  <c r="D745" i="49"/>
  <c r="N745" i="49" s="1"/>
  <c r="U744" i="49"/>
  <c r="T744" i="49"/>
  <c r="D744" i="49"/>
  <c r="R744" i="49" s="1"/>
  <c r="U743" i="49"/>
  <c r="T743" i="49"/>
  <c r="D743" i="49"/>
  <c r="R743" i="49" s="1"/>
  <c r="U742" i="49"/>
  <c r="T742" i="49"/>
  <c r="D742" i="49"/>
  <c r="U741" i="49"/>
  <c r="T741" i="49"/>
  <c r="D741" i="49"/>
  <c r="U740" i="49"/>
  <c r="T740" i="49"/>
  <c r="D740" i="49"/>
  <c r="U739" i="49"/>
  <c r="T739" i="49"/>
  <c r="D739" i="49"/>
  <c r="U738" i="49"/>
  <c r="T738" i="49"/>
  <c r="D738" i="49"/>
  <c r="U737" i="49"/>
  <c r="T737" i="49"/>
  <c r="D737" i="49"/>
  <c r="N737" i="49" s="1"/>
  <c r="U736" i="49"/>
  <c r="T736" i="49"/>
  <c r="D736" i="49"/>
  <c r="R736" i="49" s="1"/>
  <c r="U735" i="49"/>
  <c r="T735" i="49"/>
  <c r="D735" i="49"/>
  <c r="R735" i="49" s="1"/>
  <c r="U734" i="49"/>
  <c r="T734" i="49"/>
  <c r="D734" i="49"/>
  <c r="U733" i="49"/>
  <c r="T733" i="49"/>
  <c r="D733" i="49"/>
  <c r="U732" i="49"/>
  <c r="T732" i="49"/>
  <c r="D732" i="49"/>
  <c r="U731" i="49"/>
  <c r="T731" i="49"/>
  <c r="D731" i="49"/>
  <c r="U730" i="49"/>
  <c r="T730" i="49"/>
  <c r="D730" i="49"/>
  <c r="U729" i="49"/>
  <c r="T729" i="49"/>
  <c r="D729" i="49"/>
  <c r="U728" i="49"/>
  <c r="T728" i="49"/>
  <c r="D728" i="49"/>
  <c r="U727" i="49"/>
  <c r="T727" i="49"/>
  <c r="D727" i="49"/>
  <c r="R727" i="49" s="1"/>
  <c r="U726" i="49"/>
  <c r="T726" i="49"/>
  <c r="D726" i="49"/>
  <c r="U725" i="49"/>
  <c r="T725" i="49"/>
  <c r="D725" i="49"/>
  <c r="U724" i="49"/>
  <c r="T724" i="49"/>
  <c r="D724" i="49"/>
  <c r="U723" i="49"/>
  <c r="T723" i="49"/>
  <c r="D723" i="49"/>
  <c r="U722" i="49"/>
  <c r="T722" i="49"/>
  <c r="D722" i="49"/>
  <c r="U721" i="49"/>
  <c r="T721" i="49"/>
  <c r="D721" i="49"/>
  <c r="U720" i="49"/>
  <c r="T720" i="49"/>
  <c r="D720" i="49"/>
  <c r="U719" i="49"/>
  <c r="T719" i="49"/>
  <c r="D719" i="49"/>
  <c r="R719" i="49" s="1"/>
  <c r="U718" i="49"/>
  <c r="T718" i="49"/>
  <c r="D718" i="49"/>
  <c r="U717" i="49"/>
  <c r="T717" i="49"/>
  <c r="D717" i="49"/>
  <c r="U716" i="49"/>
  <c r="T716" i="49"/>
  <c r="D716" i="49"/>
  <c r="U715" i="49"/>
  <c r="T715" i="49"/>
  <c r="D715" i="49"/>
  <c r="U714" i="49"/>
  <c r="T714" i="49"/>
  <c r="D714" i="49"/>
  <c r="U713" i="49"/>
  <c r="T713" i="49"/>
  <c r="D713" i="49"/>
  <c r="U712" i="49"/>
  <c r="T712" i="49"/>
  <c r="D712" i="49"/>
  <c r="Q712" i="49" s="1"/>
  <c r="U711" i="49"/>
  <c r="T711" i="49"/>
  <c r="D711" i="49"/>
  <c r="R711" i="49" s="1"/>
  <c r="U710" i="49"/>
  <c r="T710" i="49"/>
  <c r="D710" i="49"/>
  <c r="U709" i="49"/>
  <c r="T709" i="49"/>
  <c r="D709" i="49"/>
  <c r="U708" i="49"/>
  <c r="T708" i="49"/>
  <c r="D708" i="49"/>
  <c r="U707" i="49"/>
  <c r="T707" i="49"/>
  <c r="D707" i="49"/>
  <c r="U706" i="49"/>
  <c r="T706" i="49"/>
  <c r="D706" i="49"/>
  <c r="R706" i="49" s="1"/>
  <c r="U705" i="49"/>
  <c r="T705" i="49"/>
  <c r="D705" i="49"/>
  <c r="P705" i="49" s="1"/>
  <c r="U704" i="49"/>
  <c r="T704" i="49"/>
  <c r="D704" i="49"/>
  <c r="U703" i="49"/>
  <c r="T703" i="49"/>
  <c r="D703" i="49"/>
  <c r="U702" i="49"/>
  <c r="T702" i="49"/>
  <c r="D702" i="49"/>
  <c r="U701" i="49"/>
  <c r="T701" i="49"/>
  <c r="D701" i="49"/>
  <c r="U700" i="49"/>
  <c r="T700" i="49"/>
  <c r="D700" i="49"/>
  <c r="U699" i="49"/>
  <c r="T699" i="49"/>
  <c r="D699" i="49"/>
  <c r="U698" i="49"/>
  <c r="T698" i="49"/>
  <c r="D698" i="49"/>
  <c r="U697" i="49"/>
  <c r="T697" i="49"/>
  <c r="D697" i="49"/>
  <c r="U696" i="49"/>
  <c r="T696" i="49"/>
  <c r="D696" i="49"/>
  <c r="U695" i="49"/>
  <c r="T695" i="49"/>
  <c r="D695" i="49"/>
  <c r="U694" i="49"/>
  <c r="T694" i="49"/>
  <c r="D694" i="49"/>
  <c r="U693" i="49"/>
  <c r="T693" i="49"/>
  <c r="D693" i="49"/>
  <c r="U692" i="49"/>
  <c r="T692" i="49"/>
  <c r="D692" i="49"/>
  <c r="Q692" i="49" s="1"/>
  <c r="U691" i="49"/>
  <c r="T691" i="49"/>
  <c r="D691" i="49"/>
  <c r="U690" i="49"/>
  <c r="T690" i="49"/>
  <c r="D690" i="49"/>
  <c r="U689" i="49"/>
  <c r="T689" i="49"/>
  <c r="D689" i="49"/>
  <c r="P689" i="49" s="1"/>
  <c r="U688" i="49"/>
  <c r="T688" i="49"/>
  <c r="D688" i="49"/>
  <c r="U687" i="49"/>
  <c r="T687" i="49"/>
  <c r="D687" i="49"/>
  <c r="U686" i="49"/>
  <c r="T686" i="49"/>
  <c r="D686" i="49"/>
  <c r="U685" i="49"/>
  <c r="T685" i="49"/>
  <c r="D685" i="49"/>
  <c r="U684" i="49"/>
  <c r="T684" i="49"/>
  <c r="D684" i="49"/>
  <c r="P684" i="49" s="1"/>
  <c r="U683" i="49"/>
  <c r="T683" i="49"/>
  <c r="D683" i="49"/>
  <c r="U682" i="49"/>
  <c r="T682" i="49"/>
  <c r="D682" i="49"/>
  <c r="U681" i="49"/>
  <c r="T681" i="49"/>
  <c r="D681" i="49"/>
  <c r="U680" i="49"/>
  <c r="T680" i="49"/>
  <c r="D680" i="49"/>
  <c r="U679" i="49"/>
  <c r="T679" i="49"/>
  <c r="D679" i="49"/>
  <c r="U678" i="49"/>
  <c r="T678" i="49"/>
  <c r="D678" i="49"/>
  <c r="U677" i="49"/>
  <c r="T677" i="49"/>
  <c r="D677" i="49"/>
  <c r="U676" i="49"/>
  <c r="T676" i="49"/>
  <c r="D676" i="49"/>
  <c r="Q676" i="49" s="1"/>
  <c r="U675" i="49"/>
  <c r="T675" i="49"/>
  <c r="D675" i="49"/>
  <c r="U674" i="49"/>
  <c r="T674" i="49"/>
  <c r="D674" i="49"/>
  <c r="U673" i="49"/>
  <c r="T673" i="49"/>
  <c r="D673" i="49"/>
  <c r="P673" i="49" s="1"/>
  <c r="U672" i="49"/>
  <c r="T672" i="49"/>
  <c r="D672" i="49"/>
  <c r="U671" i="49"/>
  <c r="T671" i="49"/>
  <c r="D671" i="49"/>
  <c r="U670" i="49"/>
  <c r="T670" i="49"/>
  <c r="D670" i="49"/>
  <c r="U669" i="49"/>
  <c r="T669" i="49"/>
  <c r="D669" i="49"/>
  <c r="U668" i="49"/>
  <c r="T668" i="49"/>
  <c r="D668" i="49"/>
  <c r="U667" i="49"/>
  <c r="T667" i="49"/>
  <c r="D667" i="49"/>
  <c r="U666" i="49"/>
  <c r="T666" i="49"/>
  <c r="D666" i="49"/>
  <c r="U665" i="49"/>
  <c r="T665" i="49"/>
  <c r="D665" i="49"/>
  <c r="U664" i="49"/>
  <c r="T664" i="49"/>
  <c r="D664" i="49"/>
  <c r="U663" i="49"/>
  <c r="T663" i="49"/>
  <c r="D663" i="49"/>
  <c r="U662" i="49"/>
  <c r="T662" i="49"/>
  <c r="D662" i="49"/>
  <c r="N662" i="49" s="1"/>
  <c r="U661" i="49"/>
  <c r="T661" i="49"/>
  <c r="D661" i="49"/>
  <c r="U658" i="49"/>
  <c r="T658" i="49"/>
  <c r="D658" i="49"/>
  <c r="Q658" i="49" s="1"/>
  <c r="U657" i="49"/>
  <c r="T657" i="49"/>
  <c r="D657" i="49"/>
  <c r="N657" i="49" s="1"/>
  <c r="U656" i="49"/>
  <c r="T656" i="49"/>
  <c r="D656" i="49"/>
  <c r="U655" i="49"/>
  <c r="T655" i="49"/>
  <c r="D655" i="49"/>
  <c r="P655" i="49" s="1"/>
  <c r="U654" i="49"/>
  <c r="T654" i="49"/>
  <c r="D654" i="49"/>
  <c r="U653" i="49"/>
  <c r="T653" i="49"/>
  <c r="D653" i="49"/>
  <c r="N653" i="49" s="1"/>
  <c r="U652" i="49"/>
  <c r="T652" i="49"/>
  <c r="D652" i="49"/>
  <c r="U651" i="49"/>
  <c r="T651" i="49"/>
  <c r="D651" i="49"/>
  <c r="U650" i="49"/>
  <c r="T650" i="49"/>
  <c r="D650" i="49"/>
  <c r="U649" i="49"/>
  <c r="T649" i="49"/>
  <c r="D649" i="49"/>
  <c r="U648" i="49"/>
  <c r="T648" i="49"/>
  <c r="D648" i="49"/>
  <c r="U647" i="49"/>
  <c r="T647" i="49"/>
  <c r="D647" i="49"/>
  <c r="U646" i="49"/>
  <c r="T646" i="49"/>
  <c r="D646" i="49"/>
  <c r="U645" i="49"/>
  <c r="T645" i="49"/>
  <c r="D645" i="49"/>
  <c r="U644" i="49"/>
  <c r="T644" i="49"/>
  <c r="D644" i="49"/>
  <c r="O644" i="49" s="1"/>
  <c r="U643" i="49"/>
  <c r="T643" i="49"/>
  <c r="D643" i="49"/>
  <c r="U642" i="49"/>
  <c r="T642" i="49"/>
  <c r="D642" i="49"/>
  <c r="Q642" i="49" s="1"/>
  <c r="U641" i="49"/>
  <c r="T641" i="49"/>
  <c r="L641" i="49"/>
  <c r="L642" i="49" s="1"/>
  <c r="L643" i="49" s="1"/>
  <c r="L644" i="49" s="1"/>
  <c r="L645" i="49" s="1"/>
  <c r="L646" i="49" s="1"/>
  <c r="L647" i="49" s="1"/>
  <c r="L648" i="49" s="1"/>
  <c r="L649" i="49" s="1"/>
  <c r="L650" i="49" s="1"/>
  <c r="L651" i="49" s="1"/>
  <c r="L652" i="49" s="1"/>
  <c r="L653" i="49" s="1"/>
  <c r="L654" i="49" s="1"/>
  <c r="L655" i="49" s="1"/>
  <c r="L656" i="49" s="1"/>
  <c r="L657" i="49" s="1"/>
  <c r="L658" i="49" s="1"/>
  <c r="L659" i="49" s="1"/>
  <c r="L660" i="49" s="1"/>
  <c r="L661" i="49" s="1"/>
  <c r="L662" i="49" s="1"/>
  <c r="L663" i="49" s="1"/>
  <c r="D641" i="49"/>
  <c r="U640" i="49"/>
  <c r="T640" i="49"/>
  <c r="D640" i="49"/>
  <c r="U639" i="49"/>
  <c r="T639" i="49"/>
  <c r="D639" i="49"/>
  <c r="U638" i="49"/>
  <c r="T638" i="49"/>
  <c r="D638" i="49"/>
  <c r="U637" i="49"/>
  <c r="T637" i="49"/>
  <c r="D637" i="49"/>
  <c r="U636" i="49"/>
  <c r="T636" i="49"/>
  <c r="D636" i="49"/>
  <c r="U635" i="49"/>
  <c r="T635" i="49"/>
  <c r="D635" i="49"/>
  <c r="U634" i="49"/>
  <c r="T634" i="49"/>
  <c r="D634" i="49"/>
  <c r="U633" i="49"/>
  <c r="T633" i="49"/>
  <c r="D633" i="49"/>
  <c r="U632" i="49"/>
  <c r="T632" i="49"/>
  <c r="D632" i="49"/>
  <c r="U631" i="49"/>
  <c r="T631" i="49"/>
  <c r="D631" i="49"/>
  <c r="U630" i="49"/>
  <c r="T630" i="49"/>
  <c r="D630" i="49"/>
  <c r="U629" i="49"/>
  <c r="T629" i="49"/>
  <c r="D629" i="49"/>
  <c r="U628" i="49"/>
  <c r="T628" i="49"/>
  <c r="D628" i="49"/>
  <c r="U627" i="49"/>
  <c r="T627" i="49"/>
  <c r="D627" i="49"/>
  <c r="U626" i="49"/>
  <c r="T626" i="49"/>
  <c r="D626" i="49"/>
  <c r="U625" i="49"/>
  <c r="T625" i="49"/>
  <c r="D625" i="49"/>
  <c r="U624" i="49"/>
  <c r="T624" i="49"/>
  <c r="D624" i="49"/>
  <c r="U623" i="49"/>
  <c r="T623" i="49"/>
  <c r="D623" i="49"/>
  <c r="U622" i="49"/>
  <c r="T622" i="49"/>
  <c r="D622" i="49"/>
  <c r="U621" i="49"/>
  <c r="T621" i="49"/>
  <c r="D621" i="49"/>
  <c r="U620" i="49"/>
  <c r="T620" i="49"/>
  <c r="D620" i="49"/>
  <c r="U619" i="49"/>
  <c r="T619" i="49"/>
  <c r="D619" i="49"/>
  <c r="U618" i="49"/>
  <c r="T618" i="49"/>
  <c r="D618" i="49"/>
  <c r="U617" i="49"/>
  <c r="T617" i="49"/>
  <c r="D617" i="49"/>
  <c r="U616" i="49"/>
  <c r="T616" i="49"/>
  <c r="D616" i="49"/>
  <c r="U615" i="49"/>
  <c r="T615" i="49"/>
  <c r="D615" i="49"/>
  <c r="U614" i="49"/>
  <c r="T614" i="49"/>
  <c r="D614" i="49"/>
  <c r="U613" i="49"/>
  <c r="T613" i="49"/>
  <c r="D613" i="49"/>
  <c r="U612" i="49"/>
  <c r="T612" i="49"/>
  <c r="D612" i="49"/>
  <c r="U611" i="49"/>
  <c r="T611" i="49"/>
  <c r="D611" i="49"/>
  <c r="U610" i="49"/>
  <c r="T610" i="49"/>
  <c r="D610" i="49"/>
  <c r="U609" i="49"/>
  <c r="T609" i="49"/>
  <c r="D609" i="49"/>
  <c r="U608" i="49"/>
  <c r="T608" i="49"/>
  <c r="D608" i="49"/>
  <c r="U607" i="49"/>
  <c r="T607" i="49"/>
  <c r="D607" i="49"/>
  <c r="U606" i="49"/>
  <c r="T606" i="49"/>
  <c r="D606" i="49"/>
  <c r="U605" i="49"/>
  <c r="T605" i="49"/>
  <c r="D605" i="49"/>
  <c r="U604" i="49"/>
  <c r="T604" i="49"/>
  <c r="D604" i="49"/>
  <c r="U603" i="49"/>
  <c r="T603" i="49"/>
  <c r="D603" i="49"/>
  <c r="U602" i="49"/>
  <c r="T602" i="49"/>
  <c r="D602" i="49"/>
  <c r="U601" i="49"/>
  <c r="T601" i="49"/>
  <c r="D601" i="49"/>
  <c r="U600" i="49"/>
  <c r="T600" i="49"/>
  <c r="D600" i="49"/>
  <c r="U599" i="49"/>
  <c r="T599" i="49"/>
  <c r="D599" i="49"/>
  <c r="U598" i="49"/>
  <c r="T598" i="49"/>
  <c r="D598" i="49"/>
  <c r="U597" i="49"/>
  <c r="T597" i="49"/>
  <c r="D597" i="49"/>
  <c r="U596" i="49"/>
  <c r="T596" i="49"/>
  <c r="D596" i="49"/>
  <c r="U595" i="49"/>
  <c r="T595" i="49"/>
  <c r="D595" i="49"/>
  <c r="U594" i="49"/>
  <c r="T594" i="49"/>
  <c r="D594" i="49"/>
  <c r="U593" i="49"/>
  <c r="T593" i="49"/>
  <c r="D593" i="49"/>
  <c r="U592" i="49"/>
  <c r="T592" i="49"/>
  <c r="D592" i="49"/>
  <c r="U591" i="49"/>
  <c r="T591" i="49"/>
  <c r="D591" i="49"/>
  <c r="U590" i="49"/>
  <c r="T590" i="49"/>
  <c r="D590" i="49"/>
  <c r="U589" i="49"/>
  <c r="T589" i="49"/>
  <c r="D589" i="49"/>
  <c r="U588" i="49"/>
  <c r="T588" i="49"/>
  <c r="D588" i="49"/>
  <c r="U587" i="49"/>
  <c r="T587" i="49"/>
  <c r="D587" i="49"/>
  <c r="U586" i="49"/>
  <c r="T586" i="49"/>
  <c r="D586" i="49"/>
  <c r="U585" i="49"/>
  <c r="T585" i="49"/>
  <c r="D585" i="49"/>
  <c r="U584" i="49"/>
  <c r="T584" i="49"/>
  <c r="D584" i="49"/>
  <c r="O584" i="49" s="1"/>
  <c r="U583" i="49"/>
  <c r="T583" i="49"/>
  <c r="D583" i="49"/>
  <c r="P583" i="49" s="1"/>
  <c r="U582" i="49"/>
  <c r="T582" i="49"/>
  <c r="D582" i="49"/>
  <c r="P582" i="49" s="1"/>
  <c r="U581" i="49"/>
  <c r="T581" i="49"/>
  <c r="D581" i="49"/>
  <c r="U580" i="49"/>
  <c r="T580" i="49"/>
  <c r="D580" i="49"/>
  <c r="O580" i="49" s="1"/>
  <c r="U579" i="49"/>
  <c r="T579" i="49"/>
  <c r="D579" i="49"/>
  <c r="P579" i="49" s="1"/>
  <c r="U578" i="49"/>
  <c r="T578" i="49"/>
  <c r="D578" i="49"/>
  <c r="P578" i="49" s="1"/>
  <c r="U577" i="49"/>
  <c r="T577" i="49"/>
  <c r="D577" i="49"/>
  <c r="U576" i="49"/>
  <c r="T576" i="49"/>
  <c r="D576" i="49"/>
  <c r="O576" i="49" s="1"/>
  <c r="U575" i="49"/>
  <c r="T575" i="49"/>
  <c r="D575" i="49"/>
  <c r="P575" i="49" s="1"/>
  <c r="U574" i="49"/>
  <c r="T574" i="49"/>
  <c r="D574" i="49"/>
  <c r="P574" i="49" s="1"/>
  <c r="U573" i="49"/>
  <c r="T573" i="49"/>
  <c r="D573" i="49"/>
  <c r="U572" i="49"/>
  <c r="T572" i="49"/>
  <c r="D572" i="49"/>
  <c r="O572" i="49" s="1"/>
  <c r="U571" i="49"/>
  <c r="T571" i="49"/>
  <c r="D571" i="49"/>
  <c r="P571" i="49" s="1"/>
  <c r="U570" i="49"/>
  <c r="T570" i="49"/>
  <c r="D570" i="49"/>
  <c r="P570" i="49" s="1"/>
  <c r="U569" i="49"/>
  <c r="T569" i="49"/>
  <c r="D569" i="49"/>
  <c r="U568" i="49"/>
  <c r="T568" i="49"/>
  <c r="D568" i="49"/>
  <c r="U567" i="49"/>
  <c r="T567" i="49"/>
  <c r="D567" i="49"/>
  <c r="U566" i="49"/>
  <c r="T566" i="49"/>
  <c r="D566" i="49"/>
  <c r="U565" i="49"/>
  <c r="T565" i="49"/>
  <c r="D565" i="49"/>
  <c r="U564" i="49"/>
  <c r="T564" i="49"/>
  <c r="D564" i="49"/>
  <c r="U563" i="49"/>
  <c r="T563" i="49"/>
  <c r="D563" i="49"/>
  <c r="O563" i="49" s="1"/>
  <c r="U562" i="49"/>
  <c r="T562" i="49"/>
  <c r="D562" i="49"/>
  <c r="U561" i="49"/>
  <c r="T561" i="49"/>
  <c r="D561" i="49"/>
  <c r="P561" i="49" s="1"/>
  <c r="U560" i="49"/>
  <c r="T560" i="49"/>
  <c r="D560" i="49"/>
  <c r="U559" i="49"/>
  <c r="T559" i="49"/>
  <c r="D559" i="49"/>
  <c r="U558" i="49"/>
  <c r="T558" i="49"/>
  <c r="D558" i="49"/>
  <c r="U557" i="49"/>
  <c r="T557" i="49"/>
  <c r="D557" i="49"/>
  <c r="U556" i="49"/>
  <c r="T556" i="49"/>
  <c r="D556" i="49"/>
  <c r="U555" i="49"/>
  <c r="T555" i="49"/>
  <c r="D555" i="49"/>
  <c r="Q555" i="49" s="1"/>
  <c r="U554" i="49"/>
  <c r="T554" i="49"/>
  <c r="D554" i="49"/>
  <c r="U553" i="49"/>
  <c r="T553" i="49"/>
  <c r="D553" i="49"/>
  <c r="U552" i="49"/>
  <c r="T552" i="49"/>
  <c r="D552" i="49"/>
  <c r="U551" i="49"/>
  <c r="T551" i="49"/>
  <c r="D551" i="49"/>
  <c r="U550" i="49"/>
  <c r="T550" i="49"/>
  <c r="D550" i="49"/>
  <c r="P550" i="49" s="1"/>
  <c r="U549" i="49"/>
  <c r="T549" i="49"/>
  <c r="D549" i="49"/>
  <c r="U548" i="49"/>
  <c r="T548" i="49"/>
  <c r="D548" i="49"/>
  <c r="U547" i="49"/>
  <c r="T547" i="49"/>
  <c r="D547" i="49"/>
  <c r="Q547" i="49" s="1"/>
  <c r="U546" i="49"/>
  <c r="T546" i="49"/>
  <c r="D546" i="49"/>
  <c r="U545" i="49"/>
  <c r="T545" i="49"/>
  <c r="D545" i="49"/>
  <c r="U544" i="49"/>
  <c r="T544" i="49"/>
  <c r="D544" i="49"/>
  <c r="P544" i="49" s="1"/>
  <c r="U543" i="49"/>
  <c r="T543" i="49"/>
  <c r="D543" i="49"/>
  <c r="U542" i="49"/>
  <c r="T542" i="49"/>
  <c r="D542" i="49"/>
  <c r="R542" i="49" s="1"/>
  <c r="U541" i="49"/>
  <c r="T541" i="49"/>
  <c r="D541" i="49"/>
  <c r="U540" i="49"/>
  <c r="T540" i="49"/>
  <c r="D540" i="49"/>
  <c r="U539" i="49"/>
  <c r="T539" i="49"/>
  <c r="D539" i="49"/>
  <c r="Q539" i="49" s="1"/>
  <c r="U538" i="49"/>
  <c r="T538" i="49"/>
  <c r="D538" i="49"/>
  <c r="U537" i="49"/>
  <c r="T537" i="49"/>
  <c r="D537" i="49"/>
  <c r="Q537" i="49" s="1"/>
  <c r="U536" i="49"/>
  <c r="T536" i="49"/>
  <c r="D536" i="49"/>
  <c r="P536" i="49" s="1"/>
  <c r="U535" i="49"/>
  <c r="T535" i="49"/>
  <c r="D535" i="49"/>
  <c r="U534" i="49"/>
  <c r="T534" i="49"/>
  <c r="D534" i="49"/>
  <c r="N534" i="49" s="1"/>
  <c r="U533" i="49"/>
  <c r="T533" i="49"/>
  <c r="D533" i="49"/>
  <c r="U532" i="49"/>
  <c r="T532" i="49"/>
  <c r="D532" i="49"/>
  <c r="U531" i="49"/>
  <c r="T531" i="49"/>
  <c r="D531" i="49"/>
  <c r="Q531" i="49" s="1"/>
  <c r="U530" i="49"/>
  <c r="T530" i="49"/>
  <c r="D530" i="49"/>
  <c r="U529" i="49"/>
  <c r="T529" i="49"/>
  <c r="D529" i="49"/>
  <c r="U528" i="49"/>
  <c r="T528" i="49"/>
  <c r="D528" i="49"/>
  <c r="U527" i="49"/>
  <c r="T527" i="49"/>
  <c r="D527" i="49"/>
  <c r="P527" i="49" s="1"/>
  <c r="U526" i="49"/>
  <c r="T526" i="49"/>
  <c r="D526" i="49"/>
  <c r="U525" i="49"/>
  <c r="T525" i="49"/>
  <c r="D525" i="49"/>
  <c r="U524" i="49"/>
  <c r="T524" i="49"/>
  <c r="D524" i="49"/>
  <c r="U523" i="49"/>
  <c r="T523" i="49"/>
  <c r="D523" i="49"/>
  <c r="Q523" i="49" s="1"/>
  <c r="U522" i="49"/>
  <c r="T522" i="49"/>
  <c r="D522" i="49"/>
  <c r="U521" i="49"/>
  <c r="T521" i="49"/>
  <c r="D521" i="49"/>
  <c r="P521" i="49" s="1"/>
  <c r="U520" i="49"/>
  <c r="T520" i="49"/>
  <c r="D520" i="49"/>
  <c r="U519" i="49"/>
  <c r="T519" i="49"/>
  <c r="D519" i="49"/>
  <c r="U518" i="49"/>
  <c r="T518" i="49"/>
  <c r="D518" i="49"/>
  <c r="O518" i="49" s="1"/>
  <c r="U517" i="49"/>
  <c r="T517" i="49"/>
  <c r="D517" i="49"/>
  <c r="U516" i="49"/>
  <c r="T516" i="49"/>
  <c r="D516" i="49"/>
  <c r="R516" i="49" s="1"/>
  <c r="U515" i="49"/>
  <c r="T515" i="49"/>
  <c r="D515" i="49"/>
  <c r="Q515" i="49" s="1"/>
  <c r="U514" i="49"/>
  <c r="T514" i="49"/>
  <c r="D514" i="49"/>
  <c r="U513" i="49"/>
  <c r="T513" i="49"/>
  <c r="D513" i="49"/>
  <c r="Q513" i="49" s="1"/>
  <c r="U512" i="49"/>
  <c r="T512" i="49"/>
  <c r="D512" i="49"/>
  <c r="O512" i="49" s="1"/>
  <c r="U511" i="49"/>
  <c r="T511" i="49"/>
  <c r="D511" i="49"/>
  <c r="Q511" i="49" s="1"/>
  <c r="U510" i="49"/>
  <c r="T510" i="49"/>
  <c r="D510" i="49"/>
  <c r="U509" i="49"/>
  <c r="T509" i="49"/>
  <c r="D509" i="49"/>
  <c r="U508" i="49"/>
  <c r="T508" i="49"/>
  <c r="D508" i="49"/>
  <c r="P508" i="49" s="1"/>
  <c r="U507" i="49"/>
  <c r="T507" i="49"/>
  <c r="D507" i="49"/>
  <c r="U506" i="49"/>
  <c r="T506" i="49"/>
  <c r="D506" i="49"/>
  <c r="U505" i="49"/>
  <c r="T505" i="49"/>
  <c r="D505" i="49"/>
  <c r="Q505" i="49" s="1"/>
  <c r="U504" i="49"/>
  <c r="T504" i="49"/>
  <c r="D504" i="49"/>
  <c r="U503" i="49"/>
  <c r="T503" i="49"/>
  <c r="D503" i="49"/>
  <c r="Q503" i="49" s="1"/>
  <c r="U502" i="49"/>
  <c r="T502" i="49"/>
  <c r="D502" i="49"/>
  <c r="P502" i="49" s="1"/>
  <c r="U501" i="49"/>
  <c r="T501" i="49"/>
  <c r="D501" i="49"/>
  <c r="U500" i="49"/>
  <c r="T500" i="49"/>
  <c r="D500" i="49"/>
  <c r="N500" i="49" s="1"/>
  <c r="U499" i="49"/>
  <c r="T499" i="49"/>
  <c r="D499" i="49"/>
  <c r="Q499" i="49" s="1"/>
  <c r="U498" i="49"/>
  <c r="T498" i="49"/>
  <c r="D498" i="49"/>
  <c r="U497" i="49"/>
  <c r="T497" i="49"/>
  <c r="D497" i="49"/>
  <c r="Q497" i="49" s="1"/>
  <c r="U496" i="49"/>
  <c r="T496" i="49"/>
  <c r="D496" i="49"/>
  <c r="U495" i="49"/>
  <c r="T495" i="49"/>
  <c r="D495" i="49"/>
  <c r="U494" i="49"/>
  <c r="T494" i="49"/>
  <c r="D494" i="49"/>
  <c r="U493" i="49"/>
  <c r="T493" i="49"/>
  <c r="D493" i="49"/>
  <c r="U492" i="49"/>
  <c r="T492" i="49"/>
  <c r="D492" i="49"/>
  <c r="P492" i="49" s="1"/>
  <c r="U491" i="49"/>
  <c r="T491" i="49"/>
  <c r="D491" i="49"/>
  <c r="U490" i="49"/>
  <c r="T490" i="49"/>
  <c r="D490" i="49"/>
  <c r="U489" i="49"/>
  <c r="T489" i="49"/>
  <c r="D489" i="49"/>
  <c r="Q489" i="49" s="1"/>
  <c r="U488" i="49"/>
  <c r="T488" i="49"/>
  <c r="D488" i="49"/>
  <c r="U487" i="49"/>
  <c r="T487" i="49"/>
  <c r="D487" i="49"/>
  <c r="Q487" i="49" s="1"/>
  <c r="U486" i="49"/>
  <c r="T486" i="49"/>
  <c r="D486" i="49"/>
  <c r="P486" i="49" s="1"/>
  <c r="U485" i="49"/>
  <c r="T485" i="49"/>
  <c r="D485" i="49"/>
  <c r="U484" i="49"/>
  <c r="T484" i="49"/>
  <c r="D484" i="49"/>
  <c r="U483" i="49"/>
  <c r="T483" i="49"/>
  <c r="D483" i="49"/>
  <c r="Q483" i="49" s="1"/>
  <c r="U482" i="49"/>
  <c r="T482" i="49"/>
  <c r="D482" i="49"/>
  <c r="U481" i="49"/>
  <c r="T481" i="49"/>
  <c r="D481" i="49"/>
  <c r="Q481" i="49" s="1"/>
  <c r="U480" i="49"/>
  <c r="T480" i="49"/>
  <c r="D480" i="49"/>
  <c r="U479" i="49"/>
  <c r="T479" i="49"/>
  <c r="D479" i="49"/>
  <c r="U478" i="49"/>
  <c r="T478" i="49"/>
  <c r="D478" i="49"/>
  <c r="U477" i="49"/>
  <c r="T477" i="49"/>
  <c r="D477" i="49"/>
  <c r="Q477" i="49" s="1"/>
  <c r="U476" i="49"/>
  <c r="T476" i="49"/>
  <c r="D476" i="49"/>
  <c r="P476" i="49" s="1"/>
  <c r="U475" i="49"/>
  <c r="T475" i="49"/>
  <c r="D475" i="49"/>
  <c r="U474" i="49"/>
  <c r="T474" i="49"/>
  <c r="D474" i="49"/>
  <c r="U473" i="49"/>
  <c r="T473" i="49"/>
  <c r="D473" i="49"/>
  <c r="Q473" i="49" s="1"/>
  <c r="U472" i="49"/>
  <c r="T472" i="49"/>
  <c r="D472" i="49"/>
  <c r="U471" i="49"/>
  <c r="T471" i="49"/>
  <c r="D471" i="49"/>
  <c r="Q471" i="49" s="1"/>
  <c r="U470" i="49"/>
  <c r="T470" i="49"/>
  <c r="D470" i="49"/>
  <c r="P470" i="49" s="1"/>
  <c r="U469" i="49"/>
  <c r="T469" i="49"/>
  <c r="D469" i="49"/>
  <c r="U468" i="49"/>
  <c r="T468" i="49"/>
  <c r="D468" i="49"/>
  <c r="U467" i="49"/>
  <c r="T467" i="49"/>
  <c r="D467" i="49"/>
  <c r="Q467" i="49" s="1"/>
  <c r="U466" i="49"/>
  <c r="T466" i="49"/>
  <c r="D466" i="49"/>
  <c r="U465" i="49"/>
  <c r="T465" i="49"/>
  <c r="D465" i="49"/>
  <c r="Q465" i="49" s="1"/>
  <c r="U464" i="49"/>
  <c r="T464" i="49"/>
  <c r="D464" i="49"/>
  <c r="U463" i="49"/>
  <c r="T463" i="49"/>
  <c r="D463" i="49"/>
  <c r="R463" i="49" s="1"/>
  <c r="U462" i="49"/>
  <c r="T462" i="49"/>
  <c r="D462" i="49"/>
  <c r="P462" i="49" s="1"/>
  <c r="U461" i="49"/>
  <c r="T461" i="49"/>
  <c r="D461" i="49"/>
  <c r="U460" i="49"/>
  <c r="T460" i="49"/>
  <c r="D460" i="49"/>
  <c r="P460" i="49" s="1"/>
  <c r="U459" i="49"/>
  <c r="T459" i="49"/>
  <c r="D459" i="49"/>
  <c r="U458" i="49"/>
  <c r="T458" i="49"/>
  <c r="D458" i="49"/>
  <c r="Q458" i="49" s="1"/>
  <c r="U457" i="49"/>
  <c r="T457" i="49"/>
  <c r="D457" i="49"/>
  <c r="Q457" i="49" s="1"/>
  <c r="U456" i="49"/>
  <c r="T456" i="49"/>
  <c r="D456" i="49"/>
  <c r="U455" i="49"/>
  <c r="T455" i="49"/>
  <c r="D455" i="49"/>
  <c r="U454" i="49"/>
  <c r="T454" i="49"/>
  <c r="D454" i="49"/>
  <c r="U453" i="49"/>
  <c r="T453" i="49"/>
  <c r="D453" i="49"/>
  <c r="U452" i="49"/>
  <c r="T452" i="49"/>
  <c r="D452" i="49"/>
  <c r="U451" i="49"/>
  <c r="T451" i="49"/>
  <c r="D451" i="49"/>
  <c r="Q451" i="49" s="1"/>
  <c r="U450" i="49"/>
  <c r="T450" i="49"/>
  <c r="D450" i="49"/>
  <c r="U449" i="49"/>
  <c r="T449" i="49"/>
  <c r="D449" i="49"/>
  <c r="U448" i="49"/>
  <c r="T448" i="49"/>
  <c r="D448" i="49"/>
  <c r="U447" i="49"/>
  <c r="T447" i="49"/>
  <c r="D447" i="49"/>
  <c r="U446" i="49"/>
  <c r="T446" i="49"/>
  <c r="D446" i="49"/>
  <c r="U445" i="49"/>
  <c r="T445" i="49"/>
  <c r="D445" i="49"/>
  <c r="U444" i="49"/>
  <c r="T444" i="49"/>
  <c r="D444" i="49"/>
  <c r="U443" i="49"/>
  <c r="T443" i="49"/>
  <c r="L443" i="49"/>
  <c r="L444" i="49" s="1"/>
  <c r="L445" i="49" s="1"/>
  <c r="L446" i="49" s="1"/>
  <c r="L447" i="49" s="1"/>
  <c r="L448" i="49" s="1"/>
  <c r="L449" i="49" s="1"/>
  <c r="L450" i="49" s="1"/>
  <c r="L451" i="49" s="1"/>
  <c r="L452" i="49" s="1"/>
  <c r="L453" i="49" s="1"/>
  <c r="L454" i="49" s="1"/>
  <c r="L455" i="49" s="1"/>
  <c r="L456" i="49" s="1"/>
  <c r="L457" i="49" s="1"/>
  <c r="L458" i="49" s="1"/>
  <c r="L459" i="49" s="1"/>
  <c r="L460" i="49" s="1"/>
  <c r="L461" i="49" s="1"/>
  <c r="L462" i="49" s="1"/>
  <c r="L463" i="49" s="1"/>
  <c r="L464" i="49" s="1"/>
  <c r="L465" i="49" s="1"/>
  <c r="L466" i="49" s="1"/>
  <c r="L467" i="49" s="1"/>
  <c r="L468" i="49" s="1"/>
  <c r="L469" i="49" s="1"/>
  <c r="L470" i="49" s="1"/>
  <c r="L471" i="49" s="1"/>
  <c r="L472" i="49" s="1"/>
  <c r="L473" i="49" s="1"/>
  <c r="L474" i="49" s="1"/>
  <c r="L475" i="49" s="1"/>
  <c r="L476" i="49" s="1"/>
  <c r="L477" i="49" s="1"/>
  <c r="L478" i="49" s="1"/>
  <c r="L479" i="49" s="1"/>
  <c r="L480" i="49" s="1"/>
  <c r="L481" i="49" s="1"/>
  <c r="L482" i="49" s="1"/>
  <c r="L483" i="49" s="1"/>
  <c r="L484" i="49" s="1"/>
  <c r="L485" i="49" s="1"/>
  <c r="L486" i="49" s="1"/>
  <c r="L487" i="49" s="1"/>
  <c r="L488" i="49" s="1"/>
  <c r="L489" i="49" s="1"/>
  <c r="L490" i="49" s="1"/>
  <c r="L491" i="49" s="1"/>
  <c r="L492" i="49" s="1"/>
  <c r="L493" i="49" s="1"/>
  <c r="L494" i="49" s="1"/>
  <c r="L495" i="49" s="1"/>
  <c r="L496" i="49" s="1"/>
  <c r="L497" i="49" s="1"/>
  <c r="L498" i="49" s="1"/>
  <c r="L499" i="49" s="1"/>
  <c r="L500" i="49" s="1"/>
  <c r="L501" i="49" s="1"/>
  <c r="L502" i="49" s="1"/>
  <c r="L503" i="49" s="1"/>
  <c r="L504" i="49" s="1"/>
  <c r="L505" i="49" s="1"/>
  <c r="L506" i="49" s="1"/>
  <c r="L507" i="49" s="1"/>
  <c r="L508" i="49" s="1"/>
  <c r="L509" i="49" s="1"/>
  <c r="L510" i="49" s="1"/>
  <c r="L511" i="49" s="1"/>
  <c r="L512" i="49" s="1"/>
  <c r="L513" i="49" s="1"/>
  <c r="L514" i="49" s="1"/>
  <c r="L515" i="49" s="1"/>
  <c r="L516" i="49" s="1"/>
  <c r="L517" i="49" s="1"/>
  <c r="L518" i="49" s="1"/>
  <c r="L519" i="49" s="1"/>
  <c r="L520" i="49" s="1"/>
  <c r="L521" i="49" s="1"/>
  <c r="L522" i="49" s="1"/>
  <c r="L523" i="49" s="1"/>
  <c r="L524" i="49" s="1"/>
  <c r="L525" i="49" s="1"/>
  <c r="L526" i="49" s="1"/>
  <c r="L527" i="49" s="1"/>
  <c r="L528" i="49" s="1"/>
  <c r="L529" i="49" s="1"/>
  <c r="L530" i="49" s="1"/>
  <c r="L531" i="49" s="1"/>
  <c r="L532" i="49" s="1"/>
  <c r="L533" i="49" s="1"/>
  <c r="L534" i="49" s="1"/>
  <c r="L535" i="49" s="1"/>
  <c r="L536" i="49" s="1"/>
  <c r="L537" i="49" s="1"/>
  <c r="L538" i="49" s="1"/>
  <c r="L539" i="49" s="1"/>
  <c r="L540" i="49" s="1"/>
  <c r="L541" i="49" s="1"/>
  <c r="L542" i="49" s="1"/>
  <c r="L543" i="49" s="1"/>
  <c r="L544" i="49" s="1"/>
  <c r="L545" i="49" s="1"/>
  <c r="L546" i="49" s="1"/>
  <c r="L547" i="49" s="1"/>
  <c r="L548" i="49" s="1"/>
  <c r="L549" i="49" s="1"/>
  <c r="L550" i="49" s="1"/>
  <c r="L551" i="49" s="1"/>
  <c r="L552" i="49" s="1"/>
  <c r="L553" i="49" s="1"/>
  <c r="L554" i="49" s="1"/>
  <c r="L555" i="49" s="1"/>
  <c r="L556" i="49" s="1"/>
  <c r="L557" i="49" s="1"/>
  <c r="L558" i="49" s="1"/>
  <c r="L559" i="49" s="1"/>
  <c r="L560" i="49" s="1"/>
  <c r="D443" i="49"/>
  <c r="Q443" i="49" s="1"/>
  <c r="U442" i="49"/>
  <c r="T442" i="49"/>
  <c r="D442" i="49"/>
  <c r="U441" i="49"/>
  <c r="T441" i="49"/>
  <c r="D441" i="49"/>
  <c r="U440" i="49"/>
  <c r="T440" i="49"/>
  <c r="D440" i="49"/>
  <c r="U439" i="49"/>
  <c r="T439" i="49"/>
  <c r="D439" i="49"/>
  <c r="Q439" i="49" s="1"/>
  <c r="U438" i="49"/>
  <c r="T438" i="49"/>
  <c r="D438" i="49"/>
  <c r="U437" i="49"/>
  <c r="T437" i="49"/>
  <c r="D437" i="49"/>
  <c r="U436" i="49"/>
  <c r="T436" i="49"/>
  <c r="D436" i="49"/>
  <c r="U435" i="49"/>
  <c r="T435" i="49"/>
  <c r="D435" i="49"/>
  <c r="U434" i="49"/>
  <c r="T434" i="49"/>
  <c r="D434" i="49"/>
  <c r="U433" i="49"/>
  <c r="T433" i="49"/>
  <c r="D433" i="49"/>
  <c r="U432" i="49"/>
  <c r="T432" i="49"/>
  <c r="D432" i="49"/>
  <c r="U431" i="49"/>
  <c r="T431" i="49"/>
  <c r="D431" i="49"/>
  <c r="Q431" i="49" s="1"/>
  <c r="U430" i="49"/>
  <c r="T430" i="49"/>
  <c r="D430" i="49"/>
  <c r="U429" i="49"/>
  <c r="T429" i="49"/>
  <c r="D429" i="49"/>
  <c r="U428" i="49"/>
  <c r="T428" i="49"/>
  <c r="D428" i="49"/>
  <c r="U427" i="49"/>
  <c r="T427" i="49"/>
  <c r="D427" i="49"/>
  <c r="U426" i="49"/>
  <c r="T426" i="49"/>
  <c r="D426" i="49"/>
  <c r="U425" i="49"/>
  <c r="T425" i="49"/>
  <c r="D425" i="49"/>
  <c r="U424" i="49"/>
  <c r="T424" i="49"/>
  <c r="D424" i="49"/>
  <c r="U423" i="49"/>
  <c r="T423" i="49"/>
  <c r="D423" i="49"/>
  <c r="Q423" i="49" s="1"/>
  <c r="U422" i="49"/>
  <c r="T422" i="49"/>
  <c r="D422" i="49"/>
  <c r="U421" i="49"/>
  <c r="T421" i="49"/>
  <c r="D421" i="49"/>
  <c r="U420" i="49"/>
  <c r="T420" i="49"/>
  <c r="D420" i="49"/>
  <c r="U419" i="49"/>
  <c r="T419" i="49"/>
  <c r="D419" i="49"/>
  <c r="U418" i="49"/>
  <c r="T418" i="49"/>
  <c r="D418" i="49"/>
  <c r="U417" i="49"/>
  <c r="T417" i="49"/>
  <c r="D417" i="49"/>
  <c r="Q417" i="49" s="1"/>
  <c r="U416" i="49"/>
  <c r="T416" i="49"/>
  <c r="D416" i="49"/>
  <c r="U415" i="49"/>
  <c r="T415" i="49"/>
  <c r="D415" i="49"/>
  <c r="Q415" i="49" s="1"/>
  <c r="U414" i="49"/>
  <c r="T414" i="49"/>
  <c r="D414" i="49"/>
  <c r="U413" i="49"/>
  <c r="T413" i="49"/>
  <c r="D413" i="49"/>
  <c r="U412" i="49"/>
  <c r="T412" i="49"/>
  <c r="D412" i="49"/>
  <c r="U411" i="49"/>
  <c r="T411" i="49"/>
  <c r="D411" i="49"/>
  <c r="Q411" i="49" s="1"/>
  <c r="U410" i="49"/>
  <c r="T410" i="49"/>
  <c r="D410" i="49"/>
  <c r="U409" i="49"/>
  <c r="T409" i="49"/>
  <c r="D409" i="49"/>
  <c r="U408" i="49"/>
  <c r="T408" i="49"/>
  <c r="D408" i="49"/>
  <c r="U407" i="49"/>
  <c r="T407" i="49"/>
  <c r="D407" i="49"/>
  <c r="Q407" i="49" s="1"/>
  <c r="U406" i="49"/>
  <c r="T406" i="49"/>
  <c r="D406" i="49"/>
  <c r="U405" i="49"/>
  <c r="T405" i="49"/>
  <c r="D405" i="49"/>
  <c r="U404" i="49"/>
  <c r="T404" i="49"/>
  <c r="D404" i="49"/>
  <c r="U403" i="49"/>
  <c r="T403" i="49"/>
  <c r="D403" i="49"/>
  <c r="U402" i="49"/>
  <c r="T402" i="49"/>
  <c r="D402" i="49"/>
  <c r="U401" i="49"/>
  <c r="T401" i="49"/>
  <c r="D401" i="49"/>
  <c r="U400" i="49"/>
  <c r="T400" i="49"/>
  <c r="D400" i="49"/>
  <c r="U399" i="49"/>
  <c r="T399" i="49"/>
  <c r="D399" i="49"/>
  <c r="U398" i="49"/>
  <c r="T398" i="49"/>
  <c r="D398" i="49"/>
  <c r="U397" i="49"/>
  <c r="T397" i="49"/>
  <c r="D397" i="49"/>
  <c r="U396" i="49"/>
  <c r="T396" i="49"/>
  <c r="D396" i="49"/>
  <c r="U395" i="49"/>
  <c r="T395" i="49"/>
  <c r="D395" i="49"/>
  <c r="U394" i="49"/>
  <c r="T394" i="49"/>
  <c r="D394" i="49"/>
  <c r="U393" i="49"/>
  <c r="T393" i="49"/>
  <c r="D393" i="49"/>
  <c r="U392" i="49"/>
  <c r="T392" i="49"/>
  <c r="D392" i="49"/>
  <c r="U391" i="49"/>
  <c r="T391" i="49"/>
  <c r="D391" i="49"/>
  <c r="U390" i="49"/>
  <c r="T390" i="49"/>
  <c r="D390" i="49"/>
  <c r="U389" i="49"/>
  <c r="T389" i="49"/>
  <c r="D389" i="49"/>
  <c r="U388" i="49"/>
  <c r="T388" i="49"/>
  <c r="D388" i="49"/>
  <c r="U387" i="49"/>
  <c r="T387" i="49"/>
  <c r="D387" i="49"/>
  <c r="U386" i="49"/>
  <c r="T386" i="49"/>
  <c r="D386" i="49"/>
  <c r="U385" i="49"/>
  <c r="T385" i="49"/>
  <c r="D385" i="49"/>
  <c r="U384" i="49"/>
  <c r="T384" i="49"/>
  <c r="D384" i="49"/>
  <c r="U383" i="49"/>
  <c r="T383" i="49"/>
  <c r="D383" i="49"/>
  <c r="U382" i="49"/>
  <c r="T382" i="49"/>
  <c r="D382" i="49"/>
  <c r="U381" i="49"/>
  <c r="T381" i="49"/>
  <c r="D381" i="49"/>
  <c r="U380" i="49"/>
  <c r="T380" i="49"/>
  <c r="D380" i="49"/>
  <c r="U379" i="49"/>
  <c r="T379" i="49"/>
  <c r="D379" i="49"/>
  <c r="U378" i="49"/>
  <c r="T378" i="49"/>
  <c r="D378" i="49"/>
  <c r="U377" i="49"/>
  <c r="T377" i="49"/>
  <c r="D377" i="49"/>
  <c r="U376" i="49"/>
  <c r="T376" i="49"/>
  <c r="D376" i="49"/>
  <c r="U375" i="49"/>
  <c r="T375" i="49"/>
  <c r="D375" i="49"/>
  <c r="U374" i="49"/>
  <c r="T374" i="49"/>
  <c r="D374" i="49"/>
  <c r="U373" i="49"/>
  <c r="T373" i="49"/>
  <c r="D373" i="49"/>
  <c r="U372" i="49"/>
  <c r="T372" i="49"/>
  <c r="D372" i="49"/>
  <c r="U371" i="49"/>
  <c r="T371" i="49"/>
  <c r="D371" i="49"/>
  <c r="U370" i="49"/>
  <c r="T370" i="49"/>
  <c r="D370" i="49"/>
  <c r="U369" i="49"/>
  <c r="T369" i="49"/>
  <c r="D369" i="49"/>
  <c r="U368" i="49"/>
  <c r="T368" i="49"/>
  <c r="D368" i="49"/>
  <c r="U367" i="49"/>
  <c r="T367" i="49"/>
  <c r="D367" i="49"/>
  <c r="U366" i="49"/>
  <c r="T366" i="49"/>
  <c r="D366" i="49"/>
  <c r="U365" i="49"/>
  <c r="T365" i="49"/>
  <c r="D365" i="49"/>
  <c r="U364" i="49"/>
  <c r="T364" i="49"/>
  <c r="D364" i="49"/>
  <c r="U363" i="49"/>
  <c r="T363" i="49"/>
  <c r="D363" i="49"/>
  <c r="U362" i="49"/>
  <c r="T362" i="49"/>
  <c r="D362" i="49"/>
  <c r="U361" i="49"/>
  <c r="T361" i="49"/>
  <c r="D361" i="49"/>
  <c r="U360" i="49"/>
  <c r="T360" i="49"/>
  <c r="D360" i="49"/>
  <c r="U359" i="49"/>
  <c r="T359" i="49"/>
  <c r="D359" i="49"/>
  <c r="U358" i="49"/>
  <c r="T358" i="49"/>
  <c r="D358" i="49"/>
  <c r="U357" i="49"/>
  <c r="T357" i="49"/>
  <c r="D357" i="49"/>
  <c r="U356" i="49"/>
  <c r="T356" i="49"/>
  <c r="D356" i="49"/>
  <c r="U355" i="49"/>
  <c r="T355" i="49"/>
  <c r="D355" i="49"/>
  <c r="U354" i="49"/>
  <c r="T354" i="49"/>
  <c r="D354" i="49"/>
  <c r="U353" i="49"/>
  <c r="T353" i="49"/>
  <c r="D353" i="49"/>
  <c r="U352" i="49"/>
  <c r="T352" i="49"/>
  <c r="D352" i="49"/>
  <c r="U351" i="49"/>
  <c r="T351" i="49"/>
  <c r="D351" i="49"/>
  <c r="U350" i="49"/>
  <c r="T350" i="49"/>
  <c r="D350" i="49"/>
  <c r="U349" i="49"/>
  <c r="T349" i="49"/>
  <c r="D349" i="49"/>
  <c r="U348" i="49"/>
  <c r="T348" i="49"/>
  <c r="D348" i="49"/>
  <c r="U347" i="49"/>
  <c r="T347" i="49"/>
  <c r="D347" i="49"/>
  <c r="U346" i="49"/>
  <c r="T346" i="49"/>
  <c r="D346" i="49"/>
  <c r="U345" i="49"/>
  <c r="T345" i="49"/>
  <c r="D345" i="49"/>
  <c r="U344" i="49"/>
  <c r="T344" i="49"/>
  <c r="D344" i="49"/>
  <c r="U343" i="49"/>
  <c r="T343" i="49"/>
  <c r="D343" i="49"/>
  <c r="U342" i="49"/>
  <c r="T342" i="49"/>
  <c r="D342" i="49"/>
  <c r="U341" i="49"/>
  <c r="T341" i="49"/>
  <c r="D341" i="49"/>
  <c r="U340" i="49"/>
  <c r="T340" i="49"/>
  <c r="D340" i="49"/>
  <c r="U339" i="49"/>
  <c r="T339" i="49"/>
  <c r="D339" i="49"/>
  <c r="U338" i="49"/>
  <c r="T338" i="49"/>
  <c r="D338" i="49"/>
  <c r="U337" i="49"/>
  <c r="T337" i="49"/>
  <c r="D337" i="49"/>
  <c r="U336" i="49"/>
  <c r="T336" i="49"/>
  <c r="D336" i="49"/>
  <c r="U335" i="49"/>
  <c r="T335" i="49"/>
  <c r="D335" i="49"/>
  <c r="U334" i="49"/>
  <c r="T334" i="49"/>
  <c r="D334" i="49"/>
  <c r="U333" i="49"/>
  <c r="T333" i="49"/>
  <c r="D333" i="49"/>
  <c r="U332" i="49"/>
  <c r="T332" i="49"/>
  <c r="D332" i="49"/>
  <c r="U331" i="49"/>
  <c r="T331" i="49"/>
  <c r="D331" i="49"/>
  <c r="U330" i="49"/>
  <c r="T330" i="49"/>
  <c r="D330" i="49"/>
  <c r="U329" i="49"/>
  <c r="T329" i="49"/>
  <c r="D329" i="49"/>
  <c r="U328" i="49"/>
  <c r="T328" i="49"/>
  <c r="D328" i="49"/>
  <c r="U327" i="49"/>
  <c r="T327" i="49"/>
  <c r="D327" i="49"/>
  <c r="U326" i="49"/>
  <c r="T326" i="49"/>
  <c r="D326" i="49"/>
  <c r="U325" i="49"/>
  <c r="T325" i="49"/>
  <c r="D325" i="49"/>
  <c r="U324" i="49"/>
  <c r="T324" i="49"/>
  <c r="D324" i="49"/>
  <c r="U323" i="49"/>
  <c r="T323" i="49"/>
  <c r="D323" i="49"/>
  <c r="U322" i="49"/>
  <c r="T322" i="49"/>
  <c r="D322" i="49"/>
  <c r="U321" i="49"/>
  <c r="T321" i="49"/>
  <c r="D321" i="49"/>
  <c r="U320" i="49"/>
  <c r="T320" i="49"/>
  <c r="D320" i="49"/>
  <c r="U319" i="49"/>
  <c r="T319" i="49"/>
  <c r="D319" i="49"/>
  <c r="U318" i="49"/>
  <c r="T318" i="49"/>
  <c r="D318" i="49"/>
  <c r="U317" i="49"/>
  <c r="T317" i="49"/>
  <c r="D317" i="49"/>
  <c r="U316" i="49"/>
  <c r="T316" i="49"/>
  <c r="D316" i="49"/>
  <c r="U315" i="49"/>
  <c r="T315" i="49"/>
  <c r="D315" i="49"/>
  <c r="U314" i="49"/>
  <c r="T314" i="49"/>
  <c r="D314" i="49"/>
  <c r="U313" i="49"/>
  <c r="T313" i="49"/>
  <c r="D313" i="49"/>
  <c r="U312" i="49"/>
  <c r="T312" i="49"/>
  <c r="D312" i="49"/>
  <c r="U311" i="49"/>
  <c r="T311" i="49"/>
  <c r="D311" i="49"/>
  <c r="U310" i="49"/>
  <c r="T310" i="49"/>
  <c r="D310" i="49"/>
  <c r="U309" i="49"/>
  <c r="T309" i="49"/>
  <c r="D309" i="49"/>
  <c r="U308" i="49"/>
  <c r="T308" i="49"/>
  <c r="D308" i="49"/>
  <c r="O308" i="49" s="1"/>
  <c r="U307" i="49"/>
  <c r="T307" i="49"/>
  <c r="D307" i="49"/>
  <c r="P307" i="49" s="1"/>
  <c r="U306" i="49"/>
  <c r="T306" i="49"/>
  <c r="D306" i="49"/>
  <c r="U305" i="49"/>
  <c r="T305" i="49"/>
  <c r="D305" i="49"/>
  <c r="Q305" i="49" s="1"/>
  <c r="U304" i="49"/>
  <c r="T304" i="49"/>
  <c r="D304" i="49"/>
  <c r="O304" i="49" s="1"/>
  <c r="U303" i="49"/>
  <c r="T303" i="49"/>
  <c r="D303" i="49"/>
  <c r="Q303" i="49" s="1"/>
  <c r="U302" i="49"/>
  <c r="T302" i="49"/>
  <c r="D302" i="49"/>
  <c r="U301" i="49"/>
  <c r="T301" i="49"/>
  <c r="D301" i="49"/>
  <c r="Q301" i="49" s="1"/>
  <c r="U300" i="49"/>
  <c r="T300" i="49"/>
  <c r="D300" i="49"/>
  <c r="O300" i="49" s="1"/>
  <c r="U299" i="49"/>
  <c r="T299" i="49"/>
  <c r="D299" i="49"/>
  <c r="Q299" i="49" s="1"/>
  <c r="U298" i="49"/>
  <c r="T298" i="49"/>
  <c r="D298" i="49"/>
  <c r="U297" i="49"/>
  <c r="T297" i="49"/>
  <c r="D297" i="49"/>
  <c r="Q297" i="49" s="1"/>
  <c r="U296" i="49"/>
  <c r="T296" i="49"/>
  <c r="D296" i="49"/>
  <c r="O296" i="49" s="1"/>
  <c r="U295" i="49"/>
  <c r="T295" i="49"/>
  <c r="D295" i="49"/>
  <c r="Q295" i="49" s="1"/>
  <c r="U294" i="49"/>
  <c r="T294" i="49"/>
  <c r="D294" i="49"/>
  <c r="U293" i="49"/>
  <c r="T293" i="49"/>
  <c r="D293" i="49"/>
  <c r="Q293" i="49" s="1"/>
  <c r="U292" i="49"/>
  <c r="T292" i="49"/>
  <c r="D292" i="49"/>
  <c r="O292" i="49" s="1"/>
  <c r="U291" i="49"/>
  <c r="T291" i="49"/>
  <c r="D291" i="49"/>
  <c r="U290" i="49"/>
  <c r="T290" i="49"/>
  <c r="D290" i="49"/>
  <c r="U289" i="49"/>
  <c r="T289" i="49"/>
  <c r="D289" i="49"/>
  <c r="Q289" i="49" s="1"/>
  <c r="U288" i="49"/>
  <c r="T288" i="49"/>
  <c r="D288" i="49"/>
  <c r="O288" i="49" s="1"/>
  <c r="U287" i="49"/>
  <c r="T287" i="49"/>
  <c r="D287" i="49"/>
  <c r="Q287" i="49" s="1"/>
  <c r="U286" i="49"/>
  <c r="T286" i="49"/>
  <c r="D286" i="49"/>
  <c r="U285" i="49"/>
  <c r="T285" i="49"/>
  <c r="D285" i="49"/>
  <c r="Q285" i="49" s="1"/>
  <c r="U284" i="49"/>
  <c r="T284" i="49"/>
  <c r="D284" i="49"/>
  <c r="O284" i="49" s="1"/>
  <c r="U283" i="49"/>
  <c r="T283" i="49"/>
  <c r="D283" i="49"/>
  <c r="Q283" i="49" s="1"/>
  <c r="U282" i="49"/>
  <c r="T282" i="49"/>
  <c r="D282" i="49"/>
  <c r="P282" i="49" s="1"/>
  <c r="U281" i="49"/>
  <c r="T281" i="49"/>
  <c r="D281" i="49"/>
  <c r="Q281" i="49" s="1"/>
  <c r="U280" i="49"/>
  <c r="T280" i="49"/>
  <c r="D280" i="49"/>
  <c r="O280" i="49" s="1"/>
  <c r="U279" i="49"/>
  <c r="T279" i="49"/>
  <c r="D279" i="49"/>
  <c r="P279" i="49" s="1"/>
  <c r="U278" i="49"/>
  <c r="T278" i="49"/>
  <c r="D278" i="49"/>
  <c r="U277" i="49"/>
  <c r="T277" i="49"/>
  <c r="D277" i="49"/>
  <c r="Q277" i="49" s="1"/>
  <c r="U276" i="49"/>
  <c r="T276" i="49"/>
  <c r="D276" i="49"/>
  <c r="O276" i="49" s="1"/>
  <c r="U275" i="49"/>
  <c r="T275" i="49"/>
  <c r="D275" i="49"/>
  <c r="U274" i="49"/>
  <c r="T274" i="49"/>
  <c r="D274" i="49"/>
  <c r="U273" i="49"/>
  <c r="T273" i="49"/>
  <c r="D273" i="49"/>
  <c r="Q273" i="49" s="1"/>
  <c r="U272" i="49"/>
  <c r="T272" i="49"/>
  <c r="D272" i="49"/>
  <c r="O272" i="49" s="1"/>
  <c r="U271" i="49"/>
  <c r="T271" i="49"/>
  <c r="D271" i="49"/>
  <c r="P271" i="49" s="1"/>
  <c r="U270" i="49"/>
  <c r="T270" i="49"/>
  <c r="D270" i="49"/>
  <c r="U269" i="49"/>
  <c r="T269" i="49"/>
  <c r="D269" i="49"/>
  <c r="Q269" i="49" s="1"/>
  <c r="U268" i="49"/>
  <c r="T268" i="49"/>
  <c r="D268" i="49"/>
  <c r="O268" i="49" s="1"/>
  <c r="U267" i="49"/>
  <c r="T267" i="49"/>
  <c r="D267" i="49"/>
  <c r="Q267" i="49" s="1"/>
  <c r="U266" i="49"/>
  <c r="T266" i="49"/>
  <c r="D266" i="49"/>
  <c r="U265" i="49"/>
  <c r="T265" i="49"/>
  <c r="D265" i="49"/>
  <c r="Q265" i="49" s="1"/>
  <c r="U264" i="49"/>
  <c r="T264" i="49"/>
  <c r="D264" i="49"/>
  <c r="O264" i="49" s="1"/>
  <c r="U263" i="49"/>
  <c r="T263" i="49"/>
  <c r="D263" i="49"/>
  <c r="P263" i="49" s="1"/>
  <c r="U262" i="49"/>
  <c r="T262" i="49"/>
  <c r="D262" i="49"/>
  <c r="U261" i="49"/>
  <c r="T261" i="49"/>
  <c r="D261" i="49"/>
  <c r="Q261" i="49" s="1"/>
  <c r="U260" i="49"/>
  <c r="T260" i="49"/>
  <c r="D260" i="49"/>
  <c r="O260" i="49" s="1"/>
  <c r="U259" i="49"/>
  <c r="T259" i="49"/>
  <c r="D259" i="49"/>
  <c r="Q259" i="49" s="1"/>
  <c r="U258" i="49"/>
  <c r="T258" i="49"/>
  <c r="D258" i="49"/>
  <c r="P258" i="49" s="1"/>
  <c r="U257" i="49"/>
  <c r="T257" i="49"/>
  <c r="D257" i="49"/>
  <c r="Q257" i="49" s="1"/>
  <c r="U256" i="49"/>
  <c r="T256" i="49"/>
  <c r="D256" i="49"/>
  <c r="O256" i="49" s="1"/>
  <c r="U255" i="49"/>
  <c r="T255" i="49"/>
  <c r="D255" i="49"/>
  <c r="Q255" i="49" s="1"/>
  <c r="U254" i="49"/>
  <c r="T254" i="49"/>
  <c r="D254" i="49"/>
  <c r="U253" i="49"/>
  <c r="T253" i="49"/>
  <c r="D253" i="49"/>
  <c r="Q253" i="49" s="1"/>
  <c r="U252" i="49"/>
  <c r="T252" i="49"/>
  <c r="D252" i="49"/>
  <c r="O252" i="49" s="1"/>
  <c r="U251" i="49"/>
  <c r="T251" i="49"/>
  <c r="D251" i="49"/>
  <c r="P251" i="49" s="1"/>
  <c r="U250" i="49"/>
  <c r="T250" i="49"/>
  <c r="D250" i="49"/>
  <c r="U249" i="49"/>
  <c r="T249" i="49"/>
  <c r="D249" i="49"/>
  <c r="Q249" i="49" s="1"/>
  <c r="U248" i="49"/>
  <c r="T248" i="49"/>
  <c r="D248" i="49"/>
  <c r="O248" i="49" s="1"/>
  <c r="U247" i="49"/>
  <c r="T247" i="49"/>
  <c r="D247" i="49"/>
  <c r="U246" i="49"/>
  <c r="T246" i="49"/>
  <c r="D246" i="49"/>
  <c r="U245" i="49"/>
  <c r="T245" i="49"/>
  <c r="D245" i="49"/>
  <c r="Q245" i="49" s="1"/>
  <c r="U244" i="49"/>
  <c r="T244" i="49"/>
  <c r="D244" i="49"/>
  <c r="O244" i="49" s="1"/>
  <c r="U243" i="49"/>
  <c r="T243" i="49"/>
  <c r="D243" i="49"/>
  <c r="Q243" i="49" s="1"/>
  <c r="U242" i="49"/>
  <c r="T242" i="49"/>
  <c r="D242" i="49"/>
  <c r="U241" i="49"/>
  <c r="T241" i="49"/>
  <c r="D241" i="49"/>
  <c r="Q241" i="49" s="1"/>
  <c r="U240" i="49"/>
  <c r="T240" i="49"/>
  <c r="D240" i="49"/>
  <c r="O240" i="49" s="1"/>
  <c r="U239" i="49"/>
  <c r="T239" i="49"/>
  <c r="D239" i="49"/>
  <c r="U238" i="49"/>
  <c r="T238" i="49"/>
  <c r="D238" i="49"/>
  <c r="P238" i="49" s="1"/>
  <c r="U237" i="49"/>
  <c r="T237" i="49"/>
  <c r="D237" i="49"/>
  <c r="Q237" i="49" s="1"/>
  <c r="U236" i="49"/>
  <c r="T236" i="49"/>
  <c r="D236" i="49"/>
  <c r="O236" i="49" s="1"/>
  <c r="U235" i="49"/>
  <c r="T235" i="49"/>
  <c r="D235" i="49"/>
  <c r="P235" i="49" s="1"/>
  <c r="U234" i="49"/>
  <c r="T234" i="49"/>
  <c r="D234" i="49"/>
  <c r="U233" i="49"/>
  <c r="T233" i="49"/>
  <c r="D233" i="49"/>
  <c r="Q233" i="49" s="1"/>
  <c r="U232" i="49"/>
  <c r="T232" i="49"/>
  <c r="D232" i="49"/>
  <c r="O232" i="49" s="1"/>
  <c r="U231" i="49"/>
  <c r="T231" i="49"/>
  <c r="D231" i="49"/>
  <c r="U230" i="49"/>
  <c r="T230" i="49"/>
  <c r="D230" i="49"/>
  <c r="U229" i="49"/>
  <c r="T229" i="49"/>
  <c r="D229" i="49"/>
  <c r="Q229" i="49" s="1"/>
  <c r="U228" i="49"/>
  <c r="T228" i="49"/>
  <c r="D228" i="49"/>
  <c r="O228" i="49" s="1"/>
  <c r="U227" i="49"/>
  <c r="T227" i="49"/>
  <c r="D227" i="49"/>
  <c r="Q227" i="49" s="1"/>
  <c r="U226" i="49"/>
  <c r="T226" i="49"/>
  <c r="D226" i="49"/>
  <c r="U225" i="49"/>
  <c r="T225" i="49"/>
  <c r="D225" i="49"/>
  <c r="Q225" i="49" s="1"/>
  <c r="U224" i="49"/>
  <c r="T224" i="49"/>
  <c r="D224" i="49"/>
  <c r="O224" i="49" s="1"/>
  <c r="U223" i="49"/>
  <c r="T223" i="49"/>
  <c r="D223" i="49"/>
  <c r="P223" i="49" s="1"/>
  <c r="U222" i="49"/>
  <c r="T222" i="49"/>
  <c r="D222" i="49"/>
  <c r="U221" i="49"/>
  <c r="T221" i="49"/>
  <c r="D221" i="49"/>
  <c r="Q221" i="49" s="1"/>
  <c r="U220" i="49"/>
  <c r="T220" i="49"/>
  <c r="D220" i="49"/>
  <c r="O220" i="49" s="1"/>
  <c r="U219" i="49"/>
  <c r="T219" i="49"/>
  <c r="D219" i="49"/>
  <c r="U218" i="49"/>
  <c r="T218" i="49"/>
  <c r="D218" i="49"/>
  <c r="P218" i="49" s="1"/>
  <c r="U217" i="49"/>
  <c r="T217" i="49"/>
  <c r="D217" i="49"/>
  <c r="Q217" i="49" s="1"/>
  <c r="U216" i="49"/>
  <c r="T216" i="49"/>
  <c r="D216" i="49"/>
  <c r="O216" i="49" s="1"/>
  <c r="U215" i="49"/>
  <c r="T215" i="49"/>
  <c r="D215" i="49"/>
  <c r="Q215" i="49" s="1"/>
  <c r="U214" i="49"/>
  <c r="T214" i="49"/>
  <c r="D214" i="49"/>
  <c r="U213" i="49"/>
  <c r="T213" i="49"/>
  <c r="D213" i="49"/>
  <c r="Q213" i="49" s="1"/>
  <c r="U212" i="49"/>
  <c r="T212" i="49"/>
  <c r="D212" i="49"/>
  <c r="O212" i="49" s="1"/>
  <c r="U211" i="49"/>
  <c r="T211" i="49"/>
  <c r="D211" i="49"/>
  <c r="P211" i="49" s="1"/>
  <c r="U210" i="49"/>
  <c r="T210" i="49"/>
  <c r="D210" i="49"/>
  <c r="U209" i="49"/>
  <c r="T209" i="49"/>
  <c r="D209" i="49"/>
  <c r="Q209" i="49" s="1"/>
  <c r="U208" i="49"/>
  <c r="T208" i="49"/>
  <c r="D208" i="49"/>
  <c r="O208" i="49" s="1"/>
  <c r="U207" i="49"/>
  <c r="T207" i="49"/>
  <c r="D207" i="49"/>
  <c r="U206" i="49"/>
  <c r="T206" i="49"/>
  <c r="D206" i="49"/>
  <c r="U205" i="49"/>
  <c r="T205" i="49"/>
  <c r="D205" i="49"/>
  <c r="R205" i="49" s="1"/>
  <c r="U204" i="49"/>
  <c r="T204" i="49"/>
  <c r="D204" i="49"/>
  <c r="U203" i="49"/>
  <c r="T203" i="49"/>
  <c r="D203" i="49"/>
  <c r="U202" i="49"/>
  <c r="T202" i="49"/>
  <c r="D202" i="49"/>
  <c r="U201" i="49"/>
  <c r="T201" i="49"/>
  <c r="D201" i="49"/>
  <c r="U200" i="49"/>
  <c r="T200" i="49"/>
  <c r="D200" i="49"/>
  <c r="U199" i="49"/>
  <c r="T199" i="49"/>
  <c r="D199" i="49"/>
  <c r="U198" i="49"/>
  <c r="T198" i="49"/>
  <c r="D198" i="49"/>
  <c r="U197" i="49"/>
  <c r="T197" i="49"/>
  <c r="D197" i="49"/>
  <c r="U196" i="49"/>
  <c r="T196" i="49"/>
  <c r="D196" i="49"/>
  <c r="U195" i="49"/>
  <c r="T195" i="49"/>
  <c r="D195" i="49"/>
  <c r="U194" i="49"/>
  <c r="T194" i="49"/>
  <c r="D194" i="49"/>
  <c r="U193" i="49"/>
  <c r="T193" i="49"/>
  <c r="D193" i="49"/>
  <c r="U192" i="49"/>
  <c r="T192" i="49"/>
  <c r="D192" i="49"/>
  <c r="U191" i="49"/>
  <c r="T191" i="49"/>
  <c r="D191" i="49"/>
  <c r="U190" i="49"/>
  <c r="T190" i="49"/>
  <c r="D190" i="49"/>
  <c r="U189" i="49"/>
  <c r="T189" i="49"/>
  <c r="D189" i="49"/>
  <c r="U188" i="49"/>
  <c r="T188" i="49"/>
  <c r="D188" i="49"/>
  <c r="U187" i="49"/>
  <c r="T187" i="49"/>
  <c r="D187" i="49"/>
  <c r="U186" i="49"/>
  <c r="T186" i="49"/>
  <c r="D186" i="49"/>
  <c r="U185" i="49"/>
  <c r="T185" i="49"/>
  <c r="D185" i="49"/>
  <c r="U184" i="49"/>
  <c r="T184" i="49"/>
  <c r="D184" i="49"/>
  <c r="R184" i="49" s="1"/>
  <c r="U183" i="49"/>
  <c r="T183" i="49"/>
  <c r="D183" i="49"/>
  <c r="U182" i="49"/>
  <c r="T182" i="49"/>
  <c r="D182" i="49"/>
  <c r="U181" i="49"/>
  <c r="T181" i="49"/>
  <c r="D181" i="49"/>
  <c r="U180" i="49"/>
  <c r="T180" i="49"/>
  <c r="D180" i="49"/>
  <c r="U179" i="49"/>
  <c r="T179" i="49"/>
  <c r="D179" i="49"/>
  <c r="U178" i="49"/>
  <c r="T178" i="49"/>
  <c r="D178" i="49"/>
  <c r="U177" i="49"/>
  <c r="T177" i="49"/>
  <c r="D177" i="49"/>
  <c r="U176" i="49"/>
  <c r="T176" i="49"/>
  <c r="D176" i="49"/>
  <c r="U175" i="49"/>
  <c r="T175" i="49"/>
  <c r="D175" i="49"/>
  <c r="U174" i="49"/>
  <c r="T174" i="49"/>
  <c r="D174" i="49"/>
  <c r="U173" i="49"/>
  <c r="T173" i="49"/>
  <c r="D173" i="49"/>
  <c r="U172" i="49"/>
  <c r="T172" i="49"/>
  <c r="D172" i="49"/>
  <c r="U171" i="49"/>
  <c r="T171" i="49"/>
  <c r="D171" i="49"/>
  <c r="U170" i="49"/>
  <c r="T170" i="49"/>
  <c r="D170" i="49"/>
  <c r="U169" i="49"/>
  <c r="T169" i="49"/>
  <c r="D169" i="49"/>
  <c r="U168" i="49"/>
  <c r="T168" i="49"/>
  <c r="D168" i="49"/>
  <c r="U167" i="49"/>
  <c r="T167" i="49"/>
  <c r="D167" i="49"/>
  <c r="U166" i="49"/>
  <c r="T166" i="49"/>
  <c r="D166" i="49"/>
  <c r="U165" i="49"/>
  <c r="T165" i="49"/>
  <c r="D165" i="49"/>
  <c r="U164" i="49"/>
  <c r="T164" i="49"/>
  <c r="D164" i="49"/>
  <c r="U163" i="49"/>
  <c r="T163" i="49"/>
  <c r="D163" i="49"/>
  <c r="U162" i="49"/>
  <c r="T162" i="49"/>
  <c r="D162" i="49"/>
  <c r="U161" i="49"/>
  <c r="T161" i="49"/>
  <c r="D161" i="49"/>
  <c r="U160" i="49"/>
  <c r="T160" i="49"/>
  <c r="D160" i="49"/>
  <c r="U159" i="49"/>
  <c r="T159" i="49"/>
  <c r="D159" i="49"/>
  <c r="U158" i="49"/>
  <c r="T158" i="49"/>
  <c r="D158" i="49"/>
  <c r="U157" i="49"/>
  <c r="T157" i="49"/>
  <c r="D157" i="49"/>
  <c r="U156" i="49"/>
  <c r="T156" i="49"/>
  <c r="D156" i="49"/>
  <c r="U155" i="49"/>
  <c r="T155" i="49"/>
  <c r="D155" i="49"/>
  <c r="U154" i="49"/>
  <c r="T154" i="49"/>
  <c r="D154" i="49"/>
  <c r="U153" i="49"/>
  <c r="T153" i="49"/>
  <c r="D153" i="49"/>
  <c r="U152" i="49"/>
  <c r="T152" i="49"/>
  <c r="D152" i="49"/>
  <c r="U151" i="49"/>
  <c r="T151" i="49"/>
  <c r="D151" i="49"/>
  <c r="U150" i="49"/>
  <c r="T150" i="49"/>
  <c r="D150" i="49"/>
  <c r="R150" i="49" s="1"/>
  <c r="U149" i="49"/>
  <c r="T149" i="49"/>
  <c r="D149" i="49"/>
  <c r="U148" i="49"/>
  <c r="T148" i="49"/>
  <c r="D148" i="49"/>
  <c r="U147" i="49"/>
  <c r="T147" i="49"/>
  <c r="D147" i="49"/>
  <c r="Q147" i="49" s="1"/>
  <c r="U146" i="49"/>
  <c r="T146" i="49"/>
  <c r="D146" i="49"/>
  <c r="U145" i="49"/>
  <c r="T145" i="49"/>
  <c r="D145" i="49"/>
  <c r="U144" i="49"/>
  <c r="T144" i="49"/>
  <c r="D144" i="49"/>
  <c r="U143" i="49"/>
  <c r="T143" i="49"/>
  <c r="D143" i="49"/>
  <c r="U142" i="49"/>
  <c r="T142" i="49"/>
  <c r="D142" i="49"/>
  <c r="U141" i="49"/>
  <c r="T141" i="49"/>
  <c r="D141" i="49"/>
  <c r="U140" i="49"/>
  <c r="T140" i="49"/>
  <c r="D140" i="49"/>
  <c r="U139" i="49"/>
  <c r="T139" i="49"/>
  <c r="D139" i="49"/>
  <c r="Q139" i="49" s="1"/>
  <c r="U138" i="49"/>
  <c r="T138" i="49"/>
  <c r="D138" i="49"/>
  <c r="U137" i="49"/>
  <c r="T137" i="49"/>
  <c r="D137" i="49"/>
  <c r="U136" i="49"/>
  <c r="T136" i="49"/>
  <c r="D136" i="49"/>
  <c r="U135" i="49"/>
  <c r="T135" i="49"/>
  <c r="D135" i="49"/>
  <c r="U134" i="49"/>
  <c r="T134" i="49"/>
  <c r="D134" i="49"/>
  <c r="R134" i="49" s="1"/>
  <c r="U133" i="49"/>
  <c r="T133" i="49"/>
  <c r="D133" i="49"/>
  <c r="U132" i="49"/>
  <c r="T132" i="49"/>
  <c r="D132" i="49"/>
  <c r="U131" i="49"/>
  <c r="T131" i="49"/>
  <c r="D131" i="49"/>
  <c r="U130" i="49"/>
  <c r="T130" i="49"/>
  <c r="D130" i="49"/>
  <c r="U129" i="49"/>
  <c r="T129" i="49"/>
  <c r="D129" i="49"/>
  <c r="U128" i="49"/>
  <c r="T128" i="49"/>
  <c r="D128" i="49"/>
  <c r="U127" i="49"/>
  <c r="T127" i="49"/>
  <c r="D127" i="49"/>
  <c r="U126" i="49"/>
  <c r="T126" i="49"/>
  <c r="D126" i="49"/>
  <c r="U125" i="49"/>
  <c r="T125" i="49"/>
  <c r="D125" i="49"/>
  <c r="U124" i="49"/>
  <c r="T124" i="49"/>
  <c r="D124" i="49"/>
  <c r="U123" i="49"/>
  <c r="T123" i="49"/>
  <c r="D123" i="49"/>
  <c r="U122" i="49"/>
  <c r="T122" i="49"/>
  <c r="D122" i="49"/>
  <c r="U121" i="49"/>
  <c r="T121" i="49"/>
  <c r="D121" i="49"/>
  <c r="P121" i="49" s="1"/>
  <c r="U120" i="49"/>
  <c r="T120" i="49"/>
  <c r="D120" i="49"/>
  <c r="U119" i="49"/>
  <c r="T119" i="49"/>
  <c r="D119" i="49"/>
  <c r="U118" i="49"/>
  <c r="T118" i="49"/>
  <c r="D118" i="49"/>
  <c r="R118" i="49" s="1"/>
  <c r="U117" i="49"/>
  <c r="T117" i="49"/>
  <c r="D117" i="49"/>
  <c r="P117" i="49" s="1"/>
  <c r="U116" i="49"/>
  <c r="T116" i="49"/>
  <c r="D116" i="49"/>
  <c r="U115" i="49"/>
  <c r="T115" i="49"/>
  <c r="D115" i="49"/>
  <c r="R115" i="49" s="1"/>
  <c r="U114" i="49"/>
  <c r="T114" i="49"/>
  <c r="D114" i="49"/>
  <c r="U113" i="49"/>
  <c r="T113" i="49"/>
  <c r="D113" i="49"/>
  <c r="P113" i="49" s="1"/>
  <c r="U112" i="49"/>
  <c r="T112" i="49"/>
  <c r="D112" i="49"/>
  <c r="O112" i="49" s="1"/>
  <c r="U111" i="49"/>
  <c r="T111" i="49"/>
  <c r="D111" i="49"/>
  <c r="U110" i="49"/>
  <c r="T110" i="49"/>
  <c r="D110" i="49"/>
  <c r="U109" i="49"/>
  <c r="T109" i="49"/>
  <c r="D109" i="49"/>
  <c r="U108" i="49"/>
  <c r="T108" i="49"/>
  <c r="D108" i="49"/>
  <c r="U107" i="49"/>
  <c r="T107" i="49"/>
  <c r="D107" i="49"/>
  <c r="U106" i="49"/>
  <c r="T106" i="49"/>
  <c r="D106" i="49"/>
  <c r="U105" i="49"/>
  <c r="T105" i="49"/>
  <c r="D105" i="49"/>
  <c r="P105" i="49" s="1"/>
  <c r="U104" i="49"/>
  <c r="T104" i="49"/>
  <c r="D104" i="49"/>
  <c r="O104" i="49" s="1"/>
  <c r="U103" i="49"/>
  <c r="T103" i="49"/>
  <c r="D103" i="49"/>
  <c r="U102" i="49"/>
  <c r="T102" i="49"/>
  <c r="D102" i="49"/>
  <c r="R102" i="49" s="1"/>
  <c r="U101" i="49"/>
  <c r="T101" i="49"/>
  <c r="D101" i="49"/>
  <c r="U100" i="49"/>
  <c r="T100" i="49"/>
  <c r="D100" i="49"/>
  <c r="U99" i="49"/>
  <c r="T99" i="49"/>
  <c r="D99" i="49"/>
  <c r="R99" i="49" s="1"/>
  <c r="U98" i="49"/>
  <c r="T98" i="49"/>
  <c r="D98" i="49"/>
  <c r="U97" i="49"/>
  <c r="T97" i="49"/>
  <c r="D97" i="49"/>
  <c r="P97" i="49" s="1"/>
  <c r="U96" i="49"/>
  <c r="T96" i="49"/>
  <c r="D96" i="49"/>
  <c r="U95" i="49"/>
  <c r="T95" i="49"/>
  <c r="D95" i="49"/>
  <c r="U94" i="49"/>
  <c r="T94" i="49"/>
  <c r="D94" i="49"/>
  <c r="U93" i="49"/>
  <c r="T93" i="49"/>
  <c r="D93" i="49"/>
  <c r="U92" i="49"/>
  <c r="T92" i="49"/>
  <c r="D92" i="49"/>
  <c r="U91" i="49"/>
  <c r="T91" i="49"/>
  <c r="D91" i="49"/>
  <c r="U90" i="49"/>
  <c r="T90" i="49"/>
  <c r="D90" i="49"/>
  <c r="U89" i="49"/>
  <c r="T89" i="49"/>
  <c r="D89" i="49"/>
  <c r="U88" i="49"/>
  <c r="T88" i="49"/>
  <c r="D88" i="49"/>
  <c r="U87" i="49"/>
  <c r="T87" i="49"/>
  <c r="D87" i="49"/>
  <c r="R87" i="49" s="1"/>
  <c r="U86" i="49"/>
  <c r="T86" i="49"/>
  <c r="D86" i="49"/>
  <c r="R86" i="49" s="1"/>
  <c r="U85" i="49"/>
  <c r="T85" i="49"/>
  <c r="D85" i="49"/>
  <c r="U84" i="49"/>
  <c r="T84" i="49"/>
  <c r="D84" i="49"/>
  <c r="P84" i="49" s="1"/>
  <c r="U83" i="49"/>
  <c r="T83" i="49"/>
  <c r="D83" i="49"/>
  <c r="R83" i="49" s="1"/>
  <c r="U82" i="49"/>
  <c r="T82" i="49"/>
  <c r="D82" i="49"/>
  <c r="U81" i="49"/>
  <c r="T81" i="49"/>
  <c r="D81" i="49"/>
  <c r="U80" i="49"/>
  <c r="T80" i="49"/>
  <c r="D80" i="49"/>
  <c r="U79" i="49"/>
  <c r="T79" i="49"/>
  <c r="D79" i="49"/>
  <c r="U78" i="49"/>
  <c r="T78" i="49"/>
  <c r="D78" i="49"/>
  <c r="U77" i="49"/>
  <c r="T77" i="49"/>
  <c r="D77" i="49"/>
  <c r="U76" i="49"/>
  <c r="T76" i="49"/>
  <c r="D76" i="49"/>
  <c r="U75" i="49"/>
  <c r="T75" i="49"/>
  <c r="D75" i="49"/>
  <c r="U74" i="49"/>
  <c r="T74" i="49"/>
  <c r="D74" i="49"/>
  <c r="U73" i="49"/>
  <c r="T73" i="49"/>
  <c r="D73" i="49"/>
  <c r="P73" i="49" s="1"/>
  <c r="U72" i="49"/>
  <c r="T72" i="49"/>
  <c r="D72" i="49"/>
  <c r="O72" i="49" s="1"/>
  <c r="U71" i="49"/>
  <c r="T71" i="49"/>
  <c r="D71" i="49"/>
  <c r="U70" i="49"/>
  <c r="T70" i="49"/>
  <c r="D70" i="49"/>
  <c r="R70" i="49" s="1"/>
  <c r="U69" i="49"/>
  <c r="T69" i="49"/>
  <c r="D69" i="49"/>
  <c r="P69" i="49" s="1"/>
  <c r="U68" i="49"/>
  <c r="T68" i="49"/>
  <c r="D68" i="49"/>
  <c r="U67" i="49"/>
  <c r="T67" i="49"/>
  <c r="D67" i="49"/>
  <c r="R67" i="49" s="1"/>
  <c r="U66" i="49"/>
  <c r="T66" i="49"/>
  <c r="D66" i="49"/>
  <c r="U65" i="49"/>
  <c r="T65" i="49"/>
  <c r="D65" i="49"/>
  <c r="Q65" i="49" s="1"/>
  <c r="U64" i="49"/>
  <c r="T64" i="49"/>
  <c r="D64" i="49"/>
  <c r="U63" i="49"/>
  <c r="T63" i="49"/>
  <c r="D63" i="49"/>
  <c r="U62" i="49"/>
  <c r="T62" i="49"/>
  <c r="D62" i="49"/>
  <c r="U61" i="49"/>
  <c r="T61" i="49"/>
  <c r="D61" i="49"/>
  <c r="U60" i="49"/>
  <c r="T60" i="49"/>
  <c r="D60" i="49"/>
  <c r="U59" i="49"/>
  <c r="T59" i="49"/>
  <c r="D59" i="49"/>
  <c r="U58" i="49"/>
  <c r="T58" i="49"/>
  <c r="D58" i="49"/>
  <c r="R58" i="49" s="1"/>
  <c r="U57" i="49"/>
  <c r="T57" i="49"/>
  <c r="D57" i="49"/>
  <c r="U56" i="49"/>
  <c r="T56" i="49"/>
  <c r="D56" i="49"/>
  <c r="U55" i="49"/>
  <c r="T55" i="49"/>
  <c r="D55" i="49"/>
  <c r="U54" i="49"/>
  <c r="T54" i="49"/>
  <c r="D54" i="49"/>
  <c r="R54" i="49" s="1"/>
  <c r="U53" i="49"/>
  <c r="T53" i="49"/>
  <c r="D53" i="49"/>
  <c r="U52" i="49"/>
  <c r="T52" i="49"/>
  <c r="D52" i="49"/>
  <c r="U51" i="49"/>
  <c r="T51" i="49"/>
  <c r="D51" i="49"/>
  <c r="R51" i="49" s="1"/>
  <c r="U50" i="49"/>
  <c r="T50" i="49"/>
  <c r="D50" i="49"/>
  <c r="R50" i="49" s="1"/>
  <c r="U49" i="49"/>
  <c r="T49" i="49"/>
  <c r="D49" i="49"/>
  <c r="U48" i="49"/>
  <c r="T48" i="49"/>
  <c r="D48" i="49"/>
  <c r="P48" i="49" s="1"/>
  <c r="U47" i="49"/>
  <c r="T47" i="49"/>
  <c r="D47" i="49"/>
  <c r="R47" i="49" s="1"/>
  <c r="U46" i="49"/>
  <c r="T46" i="49"/>
  <c r="D46" i="49"/>
  <c r="R46" i="49" s="1"/>
  <c r="U45" i="49"/>
  <c r="T45" i="49"/>
  <c r="D45" i="49"/>
  <c r="U44" i="49"/>
  <c r="T44" i="49"/>
  <c r="D44" i="49"/>
  <c r="U43" i="49"/>
  <c r="T43" i="49"/>
  <c r="D43" i="49"/>
  <c r="U42" i="49"/>
  <c r="T42" i="49"/>
  <c r="D42" i="49"/>
  <c r="R42" i="49" s="1"/>
  <c r="U41" i="49"/>
  <c r="T41" i="49"/>
  <c r="D41" i="49"/>
  <c r="U40" i="49"/>
  <c r="T40" i="49"/>
  <c r="D40" i="49"/>
  <c r="U39" i="49"/>
  <c r="T39" i="49"/>
  <c r="D39" i="49"/>
  <c r="U38" i="49"/>
  <c r="T38" i="49"/>
  <c r="D38" i="49"/>
  <c r="R38" i="49" s="1"/>
  <c r="U37" i="49"/>
  <c r="T37" i="49"/>
  <c r="D37" i="49"/>
  <c r="U36" i="49"/>
  <c r="T36" i="49"/>
  <c r="D36" i="49"/>
  <c r="U35" i="49"/>
  <c r="T35" i="49"/>
  <c r="D35" i="49"/>
  <c r="R35" i="49" s="1"/>
  <c r="U34" i="49"/>
  <c r="T34" i="49"/>
  <c r="D34" i="49"/>
  <c r="R34" i="49" s="1"/>
  <c r="U33" i="49"/>
  <c r="T33" i="49"/>
  <c r="D33" i="49"/>
  <c r="R33" i="49" s="1"/>
  <c r="U32" i="49"/>
  <c r="T32" i="49"/>
  <c r="D32" i="49"/>
  <c r="U31" i="49"/>
  <c r="T31" i="49"/>
  <c r="D31" i="49"/>
  <c r="U30" i="49"/>
  <c r="T30" i="49"/>
  <c r="D30" i="49"/>
  <c r="U29" i="49"/>
  <c r="T29" i="49"/>
  <c r="D29" i="49"/>
  <c r="U28" i="49"/>
  <c r="T28" i="49"/>
  <c r="D28" i="49"/>
  <c r="U27" i="49"/>
  <c r="T27" i="49"/>
  <c r="D27" i="49"/>
  <c r="R27" i="49" s="1"/>
  <c r="U26" i="49"/>
  <c r="T26" i="49"/>
  <c r="D26" i="49"/>
  <c r="U25" i="49"/>
  <c r="T25" i="49"/>
  <c r="D25" i="49"/>
  <c r="R25" i="49" s="1"/>
  <c r="U24" i="49"/>
  <c r="T24" i="49"/>
  <c r="D24" i="49"/>
  <c r="U23" i="49"/>
  <c r="T23" i="49"/>
  <c r="D23" i="49"/>
  <c r="R23" i="49" s="1"/>
  <c r="U22" i="49"/>
  <c r="T22" i="49"/>
  <c r="D22" i="49"/>
  <c r="U21" i="49"/>
  <c r="T21" i="49"/>
  <c r="D21" i="49"/>
  <c r="R21" i="49" s="1"/>
  <c r="U20" i="49"/>
  <c r="T20" i="49"/>
  <c r="D20" i="49"/>
  <c r="P20" i="49" s="1"/>
  <c r="U19" i="49"/>
  <c r="T19" i="49"/>
  <c r="D19" i="49"/>
  <c r="R19" i="49" s="1"/>
  <c r="U18" i="49"/>
  <c r="T18" i="49"/>
  <c r="D18" i="49"/>
  <c r="U17" i="49"/>
  <c r="T17" i="49"/>
  <c r="D17" i="49"/>
  <c r="R17" i="49" s="1"/>
  <c r="U16" i="49"/>
  <c r="T16" i="49"/>
  <c r="D16" i="49"/>
  <c r="U15" i="49"/>
  <c r="T15" i="49"/>
  <c r="D15" i="49"/>
  <c r="R15" i="49" s="1"/>
  <c r="U14" i="49"/>
  <c r="T14" i="49"/>
  <c r="D14" i="49"/>
  <c r="R14" i="49" s="1"/>
  <c r="U13" i="49"/>
  <c r="T13" i="49"/>
  <c r="D13" i="49"/>
  <c r="O13" i="49" s="1"/>
  <c r="U12" i="49"/>
  <c r="T12" i="49"/>
  <c r="D12" i="49"/>
  <c r="Q12" i="49" s="1"/>
  <c r="U11" i="49"/>
  <c r="T11" i="49"/>
  <c r="D11" i="49"/>
  <c r="Q11" i="49" s="1"/>
  <c r="U10" i="49"/>
  <c r="T10" i="49"/>
  <c r="D10" i="49"/>
  <c r="U9" i="49"/>
  <c r="T9" i="49"/>
  <c r="D9" i="49"/>
  <c r="Q9" i="49" s="1"/>
  <c r="U8" i="49"/>
  <c r="T8" i="49"/>
  <c r="D8" i="49"/>
  <c r="Q8" i="49" s="1"/>
  <c r="U7" i="49"/>
  <c r="T7" i="49"/>
  <c r="D7" i="49"/>
  <c r="U6" i="49"/>
  <c r="T6" i="49"/>
  <c r="D6" i="49"/>
  <c r="U5" i="49"/>
  <c r="T5" i="49"/>
  <c r="D5" i="49"/>
  <c r="Q5" i="49" s="1"/>
  <c r="U4" i="49"/>
  <c r="T4" i="49"/>
  <c r="D4" i="49"/>
  <c r="Q4" i="49" s="1"/>
  <c r="U3" i="49"/>
  <c r="T3" i="49"/>
  <c r="D3" i="49"/>
  <c r="Q3" i="49" s="1"/>
  <c r="U663" i="39"/>
  <c r="T663" i="39"/>
  <c r="R663" i="39"/>
  <c r="Q663" i="39"/>
  <c r="P663" i="39"/>
  <c r="O663" i="39"/>
  <c r="N663" i="39"/>
  <c r="Q420" i="39" l="1"/>
  <c r="Q406" i="39"/>
  <c r="Q408" i="39"/>
  <c r="R420" i="39"/>
  <c r="Q403" i="39"/>
  <c r="Q405" i="39"/>
  <c r="Q410" i="39"/>
  <c r="Q412" i="39"/>
  <c r="Q415" i="39"/>
  <c r="Q417" i="39"/>
  <c r="Q418" i="39"/>
  <c r="Q440" i="39"/>
  <c r="R402" i="39"/>
  <c r="R403" i="39"/>
  <c r="R404" i="39"/>
  <c r="R405" i="39"/>
  <c r="R406" i="39"/>
  <c r="R407" i="39"/>
  <c r="R408" i="39"/>
  <c r="R409" i="39"/>
  <c r="N410" i="39"/>
  <c r="R411" i="39"/>
  <c r="R412" i="39"/>
  <c r="R413" i="39"/>
  <c r="R414" i="39"/>
  <c r="R415" i="39"/>
  <c r="R416" i="39"/>
  <c r="R417" i="39"/>
  <c r="R418" i="39"/>
  <c r="N420" i="39"/>
  <c r="O402" i="39"/>
  <c r="O403" i="39"/>
  <c r="O404" i="39"/>
  <c r="O405" i="39"/>
  <c r="O406" i="39"/>
  <c r="O407" i="39"/>
  <c r="O408" i="39"/>
  <c r="O409" i="39"/>
  <c r="O410" i="39"/>
  <c r="O411" i="39"/>
  <c r="O412" i="39"/>
  <c r="O413" i="39"/>
  <c r="O414" i="39"/>
  <c r="O415" i="39"/>
  <c r="O416" i="39"/>
  <c r="O417" i="39"/>
  <c r="O418" i="39"/>
  <c r="O419" i="39"/>
  <c r="O420" i="39"/>
  <c r="Q402" i="39"/>
  <c r="Q404" i="39"/>
  <c r="Q407" i="39"/>
  <c r="Q409" i="39"/>
  <c r="Q411" i="39"/>
  <c r="Q413" i="39"/>
  <c r="Q414" i="39"/>
  <c r="Q416" i="39"/>
  <c r="Q419" i="39"/>
  <c r="N402" i="39"/>
  <c r="N403" i="39"/>
  <c r="N404" i="39"/>
  <c r="N405" i="39"/>
  <c r="N406" i="39"/>
  <c r="N407" i="39"/>
  <c r="N408" i="39"/>
  <c r="N409" i="39"/>
  <c r="R410" i="39"/>
  <c r="N411" i="39"/>
  <c r="N412" i="39"/>
  <c r="N413" i="39"/>
  <c r="N414" i="39"/>
  <c r="N415" i="39"/>
  <c r="N416" i="39"/>
  <c r="N417" i="39"/>
  <c r="N418" i="39"/>
  <c r="N419" i="39"/>
  <c r="R419" i="39"/>
  <c r="Q421" i="39"/>
  <c r="Q424" i="39"/>
  <c r="Q427" i="39"/>
  <c r="Q430" i="39"/>
  <c r="Q433" i="39"/>
  <c r="Q439" i="39"/>
  <c r="Q460" i="39"/>
  <c r="N421" i="39"/>
  <c r="R421" i="39"/>
  <c r="N422" i="39"/>
  <c r="R422" i="39"/>
  <c r="N423" i="39"/>
  <c r="R423" i="39"/>
  <c r="N424" i="39"/>
  <c r="R424" i="39"/>
  <c r="N425" i="39"/>
  <c r="R425" i="39"/>
  <c r="N426" i="39"/>
  <c r="R426" i="39"/>
  <c r="N427" i="39"/>
  <c r="R427" i="39"/>
  <c r="N428" i="39"/>
  <c r="R428" i="39"/>
  <c r="N429" i="39"/>
  <c r="R429" i="39"/>
  <c r="N430" i="39"/>
  <c r="R430" i="39"/>
  <c r="N431" i="39"/>
  <c r="R431" i="39"/>
  <c r="N432" i="39"/>
  <c r="R432" i="39"/>
  <c r="N433" i="39"/>
  <c r="R433" i="39"/>
  <c r="N434" i="39"/>
  <c r="R434" i="39"/>
  <c r="N435" i="39"/>
  <c r="R435" i="39"/>
  <c r="N436" i="39"/>
  <c r="R436" i="39"/>
  <c r="N437" i="39"/>
  <c r="R437" i="39"/>
  <c r="N438" i="39"/>
  <c r="R438" i="39"/>
  <c r="N439" i="39"/>
  <c r="R439" i="39"/>
  <c r="N440" i="39"/>
  <c r="R440" i="39"/>
  <c r="Q426" i="39"/>
  <c r="Q429" i="39"/>
  <c r="Q431" i="39"/>
  <c r="O421" i="39"/>
  <c r="O422" i="39"/>
  <c r="O423" i="39"/>
  <c r="O424" i="39"/>
  <c r="O425" i="39"/>
  <c r="O426" i="39"/>
  <c r="O427" i="39"/>
  <c r="O428" i="39"/>
  <c r="O429" i="39"/>
  <c r="O430" i="39"/>
  <c r="O431" i="39"/>
  <c r="O432" i="39"/>
  <c r="O433" i="39"/>
  <c r="O434" i="39"/>
  <c r="O435" i="39"/>
  <c r="O436" i="39"/>
  <c r="O437" i="39"/>
  <c r="O438" i="39"/>
  <c r="O439" i="39"/>
  <c r="O440" i="39"/>
  <c r="Q422" i="39"/>
  <c r="Q423" i="39"/>
  <c r="Q425" i="39"/>
  <c r="Q428" i="39"/>
  <c r="Q432" i="39"/>
  <c r="Q434" i="39"/>
  <c r="Q435" i="39"/>
  <c r="Q436" i="39"/>
  <c r="Q437" i="39"/>
  <c r="Q438" i="39"/>
  <c r="Q480" i="39"/>
  <c r="N441" i="39"/>
  <c r="R441" i="39"/>
  <c r="N442" i="39"/>
  <c r="R442" i="39"/>
  <c r="N443" i="39"/>
  <c r="R443" i="39"/>
  <c r="N444" i="39"/>
  <c r="R444" i="39"/>
  <c r="N445" i="39"/>
  <c r="R445" i="39"/>
  <c r="N446" i="39"/>
  <c r="R446" i="39"/>
  <c r="N447" i="39"/>
  <c r="R447" i="39"/>
  <c r="N448" i="39"/>
  <c r="R448" i="39"/>
  <c r="N449" i="39"/>
  <c r="R449" i="39"/>
  <c r="N450" i="39"/>
  <c r="R450" i="39"/>
  <c r="N451" i="39"/>
  <c r="R451" i="39"/>
  <c r="N452" i="39"/>
  <c r="R452" i="39"/>
  <c r="N453" i="39"/>
  <c r="R453" i="39"/>
  <c r="N454" i="39"/>
  <c r="R454" i="39"/>
  <c r="N455" i="39"/>
  <c r="R455" i="39"/>
  <c r="N456" i="39"/>
  <c r="R456" i="39"/>
  <c r="N457" i="39"/>
  <c r="R457" i="39"/>
  <c r="N458" i="39"/>
  <c r="R458" i="39"/>
  <c r="N459" i="39"/>
  <c r="R459" i="39"/>
  <c r="N460" i="39"/>
  <c r="R460" i="39"/>
  <c r="Q441" i="39"/>
  <c r="Q443" i="39"/>
  <c r="Q445" i="39"/>
  <c r="Q447" i="39"/>
  <c r="Q449" i="39"/>
  <c r="Q451" i="39"/>
  <c r="Q453" i="39"/>
  <c r="Q455" i="39"/>
  <c r="Q456" i="39"/>
  <c r="Q459" i="39"/>
  <c r="O441" i="39"/>
  <c r="O442" i="39"/>
  <c r="O443" i="39"/>
  <c r="O444" i="39"/>
  <c r="O445" i="39"/>
  <c r="O446" i="39"/>
  <c r="O447" i="39"/>
  <c r="O448" i="39"/>
  <c r="O449" i="39"/>
  <c r="O450" i="39"/>
  <c r="O451" i="39"/>
  <c r="O452" i="39"/>
  <c r="O453" i="39"/>
  <c r="O454" i="39"/>
  <c r="O455" i="39"/>
  <c r="O456" i="39"/>
  <c r="O457" i="39"/>
  <c r="O458" i="39"/>
  <c r="O459" i="39"/>
  <c r="O460" i="39"/>
  <c r="Q442" i="39"/>
  <c r="Q444" i="39"/>
  <c r="Q446" i="39"/>
  <c r="Q448" i="39"/>
  <c r="Q450" i="39"/>
  <c r="Q452" i="39"/>
  <c r="Q454" i="39"/>
  <c r="Q457" i="39"/>
  <c r="Q458" i="39"/>
  <c r="Q539" i="39"/>
  <c r="Q500" i="39"/>
  <c r="N461" i="39"/>
  <c r="R461" i="39"/>
  <c r="N462" i="39"/>
  <c r="R462" i="39"/>
  <c r="N463" i="39"/>
  <c r="R463" i="39"/>
  <c r="N464" i="39"/>
  <c r="R464" i="39"/>
  <c r="N465" i="39"/>
  <c r="R465" i="39"/>
  <c r="N466" i="39"/>
  <c r="R466" i="39"/>
  <c r="N467" i="39"/>
  <c r="R467" i="39"/>
  <c r="N468" i="39"/>
  <c r="R468" i="39"/>
  <c r="N469" i="39"/>
  <c r="R469" i="39"/>
  <c r="N470" i="39"/>
  <c r="R470" i="39"/>
  <c r="N471" i="39"/>
  <c r="R471" i="39"/>
  <c r="N472" i="39"/>
  <c r="R472" i="39"/>
  <c r="N473" i="39"/>
  <c r="R473" i="39"/>
  <c r="N474" i="39"/>
  <c r="R474" i="39"/>
  <c r="N475" i="39"/>
  <c r="R475" i="39"/>
  <c r="N476" i="39"/>
  <c r="R476" i="39"/>
  <c r="N477" i="39"/>
  <c r="R477" i="39"/>
  <c r="N478" i="39"/>
  <c r="R478" i="39"/>
  <c r="N479" i="39"/>
  <c r="R479" i="39"/>
  <c r="N480" i="39"/>
  <c r="R480" i="39"/>
  <c r="Q461" i="39"/>
  <c r="Q463" i="39"/>
  <c r="Q465" i="39"/>
  <c r="Q467" i="39"/>
  <c r="Q469" i="39"/>
  <c r="Q471" i="39"/>
  <c r="Q473" i="39"/>
  <c r="Q475" i="39"/>
  <c r="Q478" i="39"/>
  <c r="Q479" i="39"/>
  <c r="O461" i="39"/>
  <c r="O462" i="39"/>
  <c r="O463" i="39"/>
  <c r="O464" i="39"/>
  <c r="O465" i="39"/>
  <c r="O466" i="39"/>
  <c r="O467" i="39"/>
  <c r="O468" i="39"/>
  <c r="O469" i="39"/>
  <c r="O470" i="39"/>
  <c r="O471" i="39"/>
  <c r="O472" i="39"/>
  <c r="O473" i="39"/>
  <c r="O474" i="39"/>
  <c r="O475" i="39"/>
  <c r="O476" i="39"/>
  <c r="O477" i="39"/>
  <c r="O478" i="39"/>
  <c r="O479" i="39"/>
  <c r="O480" i="39"/>
  <c r="Q462" i="39"/>
  <c r="Q464" i="39"/>
  <c r="Q466" i="39"/>
  <c r="Q468" i="39"/>
  <c r="Q470" i="39"/>
  <c r="Q472" i="39"/>
  <c r="Q474" i="39"/>
  <c r="Q476" i="39"/>
  <c r="Q477" i="39"/>
  <c r="Q482" i="39"/>
  <c r="Q485" i="39"/>
  <c r="Q486" i="39"/>
  <c r="Q489" i="39"/>
  <c r="Q492" i="39"/>
  <c r="Q493" i="39"/>
  <c r="N481" i="39"/>
  <c r="R481" i="39"/>
  <c r="N482" i="39"/>
  <c r="R482" i="39"/>
  <c r="N483" i="39"/>
  <c r="R483" i="39"/>
  <c r="N484" i="39"/>
  <c r="R484" i="39"/>
  <c r="N485" i="39"/>
  <c r="R485" i="39"/>
  <c r="N486" i="39"/>
  <c r="R486" i="39"/>
  <c r="N487" i="39"/>
  <c r="R487" i="39"/>
  <c r="N488" i="39"/>
  <c r="R488" i="39"/>
  <c r="N489" i="39"/>
  <c r="R489" i="39"/>
  <c r="N490" i="39"/>
  <c r="R490" i="39"/>
  <c r="N491" i="39"/>
  <c r="R491" i="39"/>
  <c r="N492" i="39"/>
  <c r="R492" i="39"/>
  <c r="N493" i="39"/>
  <c r="R493" i="39"/>
  <c r="N494" i="39"/>
  <c r="R494" i="39"/>
  <c r="N495" i="39"/>
  <c r="R495" i="39"/>
  <c r="N496" i="39"/>
  <c r="R496" i="39"/>
  <c r="N497" i="39"/>
  <c r="R497" i="39"/>
  <c r="N498" i="39"/>
  <c r="R498" i="39"/>
  <c r="N499" i="39"/>
  <c r="R499" i="39"/>
  <c r="N500" i="39"/>
  <c r="R500" i="39"/>
  <c r="Q483" i="39"/>
  <c r="Q490" i="39"/>
  <c r="Q495" i="39"/>
  <c r="Q496" i="39"/>
  <c r="Q497" i="39"/>
  <c r="O481" i="39"/>
  <c r="O482" i="39"/>
  <c r="O483" i="39"/>
  <c r="O484" i="39"/>
  <c r="O485" i="39"/>
  <c r="O486" i="39"/>
  <c r="O487" i="39"/>
  <c r="O488" i="39"/>
  <c r="O489" i="39"/>
  <c r="O490" i="39"/>
  <c r="O491" i="39"/>
  <c r="O492" i="39"/>
  <c r="O493" i="39"/>
  <c r="O494" i="39"/>
  <c r="O495" i="39"/>
  <c r="O496" i="39"/>
  <c r="O497" i="39"/>
  <c r="O498" i="39"/>
  <c r="O499" i="39"/>
  <c r="O500" i="39"/>
  <c r="Q481" i="39"/>
  <c r="Q484" i="39"/>
  <c r="Q487" i="39"/>
  <c r="Q488" i="39"/>
  <c r="Q491" i="39"/>
  <c r="Q494" i="39"/>
  <c r="Q498" i="39"/>
  <c r="Q499" i="39"/>
  <c r="Q501" i="39"/>
  <c r="Q502" i="39"/>
  <c r="Q503" i="39"/>
  <c r="Q504" i="39"/>
  <c r="Q505" i="39"/>
  <c r="Q506" i="39"/>
  <c r="Q507" i="39"/>
  <c r="Q508" i="39"/>
  <c r="Q509" i="39"/>
  <c r="Q510" i="39"/>
  <c r="Q511" i="39"/>
  <c r="Q512" i="39"/>
  <c r="Q513" i="39"/>
  <c r="Q514" i="39"/>
  <c r="Q515" i="39"/>
  <c r="Q516" i="39"/>
  <c r="Q517" i="39"/>
  <c r="Q518" i="39"/>
  <c r="Q519" i="39"/>
  <c r="Q520" i="39"/>
  <c r="Q559" i="39"/>
  <c r="N501" i="39"/>
  <c r="R501" i="39"/>
  <c r="N502" i="39"/>
  <c r="R502" i="39"/>
  <c r="N503" i="39"/>
  <c r="R503" i="39"/>
  <c r="N504" i="39"/>
  <c r="R504" i="39"/>
  <c r="N505" i="39"/>
  <c r="R505" i="39"/>
  <c r="N506" i="39"/>
  <c r="R506" i="39"/>
  <c r="N507" i="39"/>
  <c r="R507" i="39"/>
  <c r="N508" i="39"/>
  <c r="R508" i="39"/>
  <c r="N509" i="39"/>
  <c r="R509" i="39"/>
  <c r="N510" i="39"/>
  <c r="R510" i="39"/>
  <c r="N511" i="39"/>
  <c r="R511" i="39"/>
  <c r="N512" i="39"/>
  <c r="R512" i="39"/>
  <c r="N513" i="39"/>
  <c r="R513" i="39"/>
  <c r="N514" i="39"/>
  <c r="R514" i="39"/>
  <c r="N515" i="39"/>
  <c r="R515" i="39"/>
  <c r="N516" i="39"/>
  <c r="R516" i="39"/>
  <c r="N517" i="39"/>
  <c r="R517" i="39"/>
  <c r="N518" i="39"/>
  <c r="R518" i="39"/>
  <c r="N519" i="39"/>
  <c r="R519" i="39"/>
  <c r="N520" i="39"/>
  <c r="R520" i="39"/>
  <c r="O501" i="39"/>
  <c r="O502" i="39"/>
  <c r="O503" i="39"/>
  <c r="O504" i="39"/>
  <c r="O505" i="39"/>
  <c r="O506" i="39"/>
  <c r="O507" i="39"/>
  <c r="O508" i="39"/>
  <c r="O509" i="39"/>
  <c r="O510" i="39"/>
  <c r="O511" i="39"/>
  <c r="O512" i="39"/>
  <c r="O513" i="39"/>
  <c r="O514" i="39"/>
  <c r="O515" i="39"/>
  <c r="O516" i="39"/>
  <c r="O517" i="39"/>
  <c r="O518" i="39"/>
  <c r="O519" i="39"/>
  <c r="O520" i="39"/>
  <c r="R580" i="39"/>
  <c r="Q522" i="39"/>
  <c r="Q525" i="39"/>
  <c r="Q528" i="39"/>
  <c r="Q529" i="39"/>
  <c r="Q534" i="39"/>
  <c r="Q535" i="39"/>
  <c r="Q537" i="39"/>
  <c r="Q538" i="39"/>
  <c r="Q540" i="39"/>
  <c r="N521" i="39"/>
  <c r="R521" i="39"/>
  <c r="N522" i="39"/>
  <c r="R522" i="39"/>
  <c r="N523" i="39"/>
  <c r="R523" i="39"/>
  <c r="N524" i="39"/>
  <c r="R524" i="39"/>
  <c r="N525" i="39"/>
  <c r="R525" i="39"/>
  <c r="N526" i="39"/>
  <c r="R526" i="39"/>
  <c r="N527" i="39"/>
  <c r="R527" i="39"/>
  <c r="N528" i="39"/>
  <c r="R528" i="39"/>
  <c r="N529" i="39"/>
  <c r="R529" i="39"/>
  <c r="N530" i="39"/>
  <c r="R530" i="39"/>
  <c r="N531" i="39"/>
  <c r="R531" i="39"/>
  <c r="N532" i="39"/>
  <c r="R532" i="39"/>
  <c r="N533" i="39"/>
  <c r="R533" i="39"/>
  <c r="N534" i="39"/>
  <c r="R534" i="39"/>
  <c r="N535" i="39"/>
  <c r="R535" i="39"/>
  <c r="N536" i="39"/>
  <c r="R536" i="39"/>
  <c r="N537" i="39"/>
  <c r="R537" i="39"/>
  <c r="N538" i="39"/>
  <c r="R538" i="39"/>
  <c r="N539" i="39"/>
  <c r="R539" i="39"/>
  <c r="N540" i="39"/>
  <c r="R540" i="39"/>
  <c r="Q521" i="39"/>
  <c r="Q524" i="39"/>
  <c r="Q526" i="39"/>
  <c r="Q527" i="39"/>
  <c r="Q531" i="39"/>
  <c r="Q532" i="39"/>
  <c r="Q536" i="39"/>
  <c r="O521" i="39"/>
  <c r="O522" i="39"/>
  <c r="O523" i="39"/>
  <c r="O524" i="39"/>
  <c r="O525" i="39"/>
  <c r="O526" i="39"/>
  <c r="O527" i="39"/>
  <c r="O528" i="39"/>
  <c r="O529" i="39"/>
  <c r="O530" i="39"/>
  <c r="O531" i="39"/>
  <c r="O532" i="39"/>
  <c r="O533" i="39"/>
  <c r="O534" i="39"/>
  <c r="O535" i="39"/>
  <c r="O536" i="39"/>
  <c r="O537" i="39"/>
  <c r="O538" i="39"/>
  <c r="O539" i="39"/>
  <c r="O540" i="39"/>
  <c r="Q523" i="39"/>
  <c r="Q530" i="39"/>
  <c r="Q533" i="39"/>
  <c r="Q580" i="39"/>
  <c r="Q541" i="39"/>
  <c r="Q546" i="39"/>
  <c r="Q548" i="39"/>
  <c r="Q549" i="39"/>
  <c r="Q553" i="39"/>
  <c r="Q554" i="39"/>
  <c r="Q556" i="39"/>
  <c r="Q558" i="39"/>
  <c r="N541" i="39"/>
  <c r="R541" i="39"/>
  <c r="N542" i="39"/>
  <c r="R542" i="39"/>
  <c r="N543" i="39"/>
  <c r="R543" i="39"/>
  <c r="N544" i="39"/>
  <c r="R544" i="39"/>
  <c r="N545" i="39"/>
  <c r="R545" i="39"/>
  <c r="N546" i="39"/>
  <c r="R546" i="39"/>
  <c r="N547" i="39"/>
  <c r="R547" i="39"/>
  <c r="N548" i="39"/>
  <c r="R548" i="39"/>
  <c r="N549" i="39"/>
  <c r="R549" i="39"/>
  <c r="N550" i="39"/>
  <c r="R550" i="39"/>
  <c r="N551" i="39"/>
  <c r="R551" i="39"/>
  <c r="N552" i="39"/>
  <c r="R552" i="39"/>
  <c r="N553" i="39"/>
  <c r="R553" i="39"/>
  <c r="N554" i="39"/>
  <c r="R554" i="39"/>
  <c r="N555" i="39"/>
  <c r="R555" i="39"/>
  <c r="N556" i="39"/>
  <c r="R556" i="39"/>
  <c r="N557" i="39"/>
  <c r="R557" i="39"/>
  <c r="N558" i="39"/>
  <c r="R558" i="39"/>
  <c r="N559" i="39"/>
  <c r="R559" i="39"/>
  <c r="N560" i="39"/>
  <c r="R560" i="39"/>
  <c r="Q543" i="39"/>
  <c r="Q544" i="39"/>
  <c r="Q547" i="39"/>
  <c r="Q551" i="39"/>
  <c r="Q552" i="39"/>
  <c r="Q555" i="39"/>
  <c r="Q557" i="39"/>
  <c r="Q560" i="39"/>
  <c r="O541" i="39"/>
  <c r="O542" i="39"/>
  <c r="O543" i="39"/>
  <c r="O544" i="39"/>
  <c r="O545" i="39"/>
  <c r="O546" i="39"/>
  <c r="O547" i="39"/>
  <c r="O548" i="39"/>
  <c r="O549" i="39"/>
  <c r="O550" i="39"/>
  <c r="O551" i="39"/>
  <c r="O552" i="39"/>
  <c r="O553" i="39"/>
  <c r="O554" i="39"/>
  <c r="O555" i="39"/>
  <c r="O556" i="39"/>
  <c r="O557" i="39"/>
  <c r="O558" i="39"/>
  <c r="O559" i="39"/>
  <c r="O560" i="39"/>
  <c r="Q542" i="39"/>
  <c r="Q545" i="39"/>
  <c r="Q550" i="39"/>
  <c r="R561" i="39"/>
  <c r="R562" i="39"/>
  <c r="R563" i="39"/>
  <c r="R564" i="39"/>
  <c r="R565" i="39"/>
  <c r="R566" i="39"/>
  <c r="R567" i="39"/>
  <c r="R568" i="39"/>
  <c r="R569" i="39"/>
  <c r="R570" i="39"/>
  <c r="R571" i="39"/>
  <c r="R572" i="39"/>
  <c r="R573" i="39"/>
  <c r="R574" i="39"/>
  <c r="R575" i="39"/>
  <c r="R576" i="39"/>
  <c r="R577" i="39"/>
  <c r="R578" i="39"/>
  <c r="N580" i="39"/>
  <c r="O561" i="39"/>
  <c r="O562" i="39"/>
  <c r="Q561" i="39"/>
  <c r="Q562" i="39"/>
  <c r="Q563" i="39"/>
  <c r="Q564" i="39"/>
  <c r="Q565" i="39"/>
  <c r="Q566" i="39"/>
  <c r="Q567" i="39"/>
  <c r="Q568" i="39"/>
  <c r="Q569" i="39"/>
  <c r="Q570" i="39"/>
  <c r="Q571" i="39"/>
  <c r="Q572" i="39"/>
  <c r="Q573" i="39"/>
  <c r="Q574" i="39"/>
  <c r="Q575" i="39"/>
  <c r="Q576" i="39"/>
  <c r="Q577" i="39"/>
  <c r="Q578" i="39"/>
  <c r="Q579" i="39"/>
  <c r="N561" i="39"/>
  <c r="N562" i="39"/>
  <c r="N563" i="39"/>
  <c r="N564" i="39"/>
  <c r="N565" i="39"/>
  <c r="N566" i="39"/>
  <c r="N567" i="39"/>
  <c r="N568" i="39"/>
  <c r="N569" i="39"/>
  <c r="N570" i="39"/>
  <c r="N571" i="39"/>
  <c r="N572" i="39"/>
  <c r="N573" i="39"/>
  <c r="N574" i="39"/>
  <c r="N575" i="39"/>
  <c r="N576" i="39"/>
  <c r="N577" i="39"/>
  <c r="N578" i="39"/>
  <c r="N579" i="39"/>
  <c r="R579" i="39"/>
  <c r="Q599" i="39"/>
  <c r="O563" i="39"/>
  <c r="O564" i="39"/>
  <c r="O565" i="39"/>
  <c r="O566" i="39"/>
  <c r="O567" i="39"/>
  <c r="O568" i="39"/>
  <c r="O569" i="39"/>
  <c r="O570" i="39"/>
  <c r="O571" i="39"/>
  <c r="O572" i="39"/>
  <c r="O573" i="39"/>
  <c r="O574" i="39"/>
  <c r="O575" i="39"/>
  <c r="O576" i="39"/>
  <c r="O577" i="39"/>
  <c r="O578" i="39"/>
  <c r="O579" i="39"/>
  <c r="O580" i="39"/>
  <c r="Q581" i="39"/>
  <c r="Q583" i="39"/>
  <c r="Q585" i="39"/>
  <c r="Q587" i="39"/>
  <c r="Q589" i="39"/>
  <c r="Q591" i="39"/>
  <c r="Q593" i="39"/>
  <c r="Q595" i="39"/>
  <c r="Q597" i="39"/>
  <c r="Q598" i="39"/>
  <c r="N581" i="39"/>
  <c r="R581" i="39"/>
  <c r="N582" i="39"/>
  <c r="R582" i="39"/>
  <c r="N583" i="39"/>
  <c r="R583" i="39"/>
  <c r="N584" i="39"/>
  <c r="R584" i="39"/>
  <c r="N585" i="39"/>
  <c r="R585" i="39"/>
  <c r="N586" i="39"/>
  <c r="R586" i="39"/>
  <c r="N587" i="39"/>
  <c r="R587" i="39"/>
  <c r="N588" i="39"/>
  <c r="R588" i="39"/>
  <c r="N589" i="39"/>
  <c r="R589" i="39"/>
  <c r="N590" i="39"/>
  <c r="R590" i="39"/>
  <c r="N591" i="39"/>
  <c r="R591" i="39"/>
  <c r="N592" i="39"/>
  <c r="R592" i="39"/>
  <c r="N593" i="39"/>
  <c r="R593" i="39"/>
  <c r="N594" i="39"/>
  <c r="R594" i="39"/>
  <c r="N595" i="39"/>
  <c r="R595" i="39"/>
  <c r="N596" i="39"/>
  <c r="R596" i="39"/>
  <c r="N597" i="39"/>
  <c r="R597" i="39"/>
  <c r="N598" i="39"/>
  <c r="R598" i="39"/>
  <c r="N599" i="39"/>
  <c r="R599" i="39"/>
  <c r="N600" i="39"/>
  <c r="R600" i="39"/>
  <c r="O601" i="39"/>
  <c r="O602" i="39"/>
  <c r="O603" i="39"/>
  <c r="O604" i="39"/>
  <c r="O605" i="39"/>
  <c r="O606" i="39"/>
  <c r="O607" i="39"/>
  <c r="O608" i="39"/>
  <c r="O609" i="39"/>
  <c r="O610" i="39"/>
  <c r="O611" i="39"/>
  <c r="O612" i="39"/>
  <c r="O613" i="39"/>
  <c r="O614" i="39"/>
  <c r="O615" i="39"/>
  <c r="O616" i="39"/>
  <c r="O617" i="39"/>
  <c r="O618" i="39"/>
  <c r="O619" i="39"/>
  <c r="O581" i="39"/>
  <c r="O582" i="39"/>
  <c r="O583" i="39"/>
  <c r="O584" i="39"/>
  <c r="O585" i="39"/>
  <c r="O586" i="39"/>
  <c r="O587" i="39"/>
  <c r="O588" i="39"/>
  <c r="O589" i="39"/>
  <c r="O590" i="39"/>
  <c r="O591" i="39"/>
  <c r="O592" i="39"/>
  <c r="O593" i="39"/>
  <c r="O594" i="39"/>
  <c r="O595" i="39"/>
  <c r="O596" i="39"/>
  <c r="O597" i="39"/>
  <c r="O598" i="39"/>
  <c r="O599" i="39"/>
  <c r="O600" i="39"/>
  <c r="Q582" i="39"/>
  <c r="Q584" i="39"/>
  <c r="Q586" i="39"/>
  <c r="Q588" i="39"/>
  <c r="Q590" i="39"/>
  <c r="Q592" i="39"/>
  <c r="Q594" i="39"/>
  <c r="Q596" i="39"/>
  <c r="Q600" i="39"/>
  <c r="Q601" i="39"/>
  <c r="Q602" i="39"/>
  <c r="Q603" i="39"/>
  <c r="Q604" i="39"/>
  <c r="Q605" i="39"/>
  <c r="Q606" i="39"/>
  <c r="Q607" i="39"/>
  <c r="Q608" i="39"/>
  <c r="Q609" i="39"/>
  <c r="Q610" i="39"/>
  <c r="Q611" i="39"/>
  <c r="Q612" i="39"/>
  <c r="Q613" i="39"/>
  <c r="Q614" i="39"/>
  <c r="Q615" i="39"/>
  <c r="Q616" i="39"/>
  <c r="Q617" i="39"/>
  <c r="Q618" i="39"/>
  <c r="Q619" i="39"/>
  <c r="Q620" i="39"/>
  <c r="Q640" i="39"/>
  <c r="N601" i="39"/>
  <c r="R601" i="39"/>
  <c r="N602" i="39"/>
  <c r="R602" i="39"/>
  <c r="N603" i="39"/>
  <c r="R603" i="39"/>
  <c r="N604" i="39"/>
  <c r="R604" i="39"/>
  <c r="N605" i="39"/>
  <c r="R605" i="39"/>
  <c r="N606" i="39"/>
  <c r="R606" i="39"/>
  <c r="N607" i="39"/>
  <c r="R607" i="39"/>
  <c r="N608" i="39"/>
  <c r="R608" i="39"/>
  <c r="N609" i="39"/>
  <c r="R609" i="39"/>
  <c r="N610" i="39"/>
  <c r="R610" i="39"/>
  <c r="N611" i="39"/>
  <c r="R611" i="39"/>
  <c r="N612" i="39"/>
  <c r="R612" i="39"/>
  <c r="N613" i="39"/>
  <c r="R613" i="39"/>
  <c r="N614" i="39"/>
  <c r="R614" i="39"/>
  <c r="N615" i="39"/>
  <c r="R615" i="39"/>
  <c r="N616" i="39"/>
  <c r="R616" i="39"/>
  <c r="N617" i="39"/>
  <c r="R617" i="39"/>
  <c r="N618" i="39"/>
  <c r="R618" i="39"/>
  <c r="N619" i="39"/>
  <c r="R619" i="39"/>
  <c r="N620" i="39"/>
  <c r="R620" i="39"/>
  <c r="O620" i="39"/>
  <c r="N621" i="39"/>
  <c r="N622" i="39"/>
  <c r="N623" i="39"/>
  <c r="N624" i="39"/>
  <c r="N625" i="39"/>
  <c r="N626" i="39"/>
  <c r="R627" i="39"/>
  <c r="R630" i="39"/>
  <c r="N640" i="39"/>
  <c r="O621" i="39"/>
  <c r="O622" i="39"/>
  <c r="O623" i="39"/>
  <c r="O624" i="39"/>
  <c r="O625" i="39"/>
  <c r="O626" i="39"/>
  <c r="O627" i="39"/>
  <c r="O628" i="39"/>
  <c r="O629" i="39"/>
  <c r="O630" i="39"/>
  <c r="O631" i="39"/>
  <c r="O632" i="39"/>
  <c r="O633" i="39"/>
  <c r="O634" i="39"/>
  <c r="O635" i="39"/>
  <c r="O636" i="39"/>
  <c r="O637" i="39"/>
  <c r="O638" i="39"/>
  <c r="O639" i="39"/>
  <c r="O640" i="39"/>
  <c r="Q621" i="39"/>
  <c r="Q622" i="39"/>
  <c r="Q623" i="39"/>
  <c r="Q624" i="39"/>
  <c r="Q625" i="39"/>
  <c r="Q626" i="39"/>
  <c r="Q627" i="39"/>
  <c r="Q628" i="39"/>
  <c r="Q629" i="39"/>
  <c r="Q630" i="39"/>
  <c r="Q631" i="39"/>
  <c r="Q632" i="39"/>
  <c r="Q633" i="39"/>
  <c r="Q634" i="39"/>
  <c r="Q635" i="39"/>
  <c r="Q636" i="39"/>
  <c r="Q637" i="39"/>
  <c r="Q638" i="39"/>
  <c r="Q639" i="39"/>
  <c r="R621" i="39"/>
  <c r="R622" i="39"/>
  <c r="R623" i="39"/>
  <c r="R624" i="39"/>
  <c r="R625" i="39"/>
  <c r="R626" i="39"/>
  <c r="N627" i="39"/>
  <c r="N628" i="39"/>
  <c r="R628" i="39"/>
  <c r="N629" i="39"/>
  <c r="R629" i="39"/>
  <c r="N630" i="39"/>
  <c r="N631" i="39"/>
  <c r="R631" i="39"/>
  <c r="N632" i="39"/>
  <c r="R632" i="39"/>
  <c r="N633" i="39"/>
  <c r="R633" i="39"/>
  <c r="N634" i="39"/>
  <c r="R634" i="39"/>
  <c r="N635" i="39"/>
  <c r="R635" i="39"/>
  <c r="N636" i="39"/>
  <c r="R636" i="39"/>
  <c r="N637" i="39"/>
  <c r="R637" i="39"/>
  <c r="N638" i="39"/>
  <c r="R638" i="39"/>
  <c r="N639" i="39"/>
  <c r="R639" i="39"/>
  <c r="R640" i="39"/>
  <c r="Q641" i="39"/>
  <c r="Q644" i="39"/>
  <c r="Q645" i="39"/>
  <c r="Q646" i="39"/>
  <c r="Q647" i="39"/>
  <c r="O648" i="39"/>
  <c r="O649" i="39"/>
  <c r="O650" i="39"/>
  <c r="O651" i="39"/>
  <c r="O652" i="39"/>
  <c r="O653" i="39"/>
  <c r="O654" i="39"/>
  <c r="N641" i="39"/>
  <c r="R641" i="39"/>
  <c r="N642" i="39"/>
  <c r="R642" i="39"/>
  <c r="N643" i="39"/>
  <c r="R643" i="39"/>
  <c r="N644" i="39"/>
  <c r="R644" i="39"/>
  <c r="N645" i="39"/>
  <c r="R645" i="39"/>
  <c r="N646" i="39"/>
  <c r="R646" i="39"/>
  <c r="N647" i="39"/>
  <c r="R647" i="39"/>
  <c r="Q642" i="39"/>
  <c r="Q643" i="39"/>
  <c r="O641" i="39"/>
  <c r="O642" i="39"/>
  <c r="O643" i="39"/>
  <c r="O644" i="39"/>
  <c r="O645" i="39"/>
  <c r="O646" i="39"/>
  <c r="O647" i="39"/>
  <c r="Q648" i="39"/>
  <c r="Q649" i="39"/>
  <c r="Q650" i="39"/>
  <c r="Q651" i="39"/>
  <c r="Q652" i="39"/>
  <c r="Q653" i="39"/>
  <c r="Q654" i="39"/>
  <c r="N648" i="39"/>
  <c r="R648" i="39"/>
  <c r="N649" i="39"/>
  <c r="R649" i="39"/>
  <c r="N650" i="39"/>
  <c r="R650" i="39"/>
  <c r="N651" i="39"/>
  <c r="R651" i="39"/>
  <c r="N652" i="39"/>
  <c r="R652" i="39"/>
  <c r="N653" i="39"/>
  <c r="R653" i="39"/>
  <c r="N654" i="39"/>
  <c r="R654" i="39"/>
  <c r="Q261" i="39"/>
  <c r="O262" i="39"/>
  <c r="P263" i="39"/>
  <c r="Q269" i="39"/>
  <c r="O270" i="39"/>
  <c r="O271" i="39"/>
  <c r="O248" i="39"/>
  <c r="Q293" i="39"/>
  <c r="O276" i="39"/>
  <c r="O264" i="39"/>
  <c r="P265" i="39"/>
  <c r="O272" i="39"/>
  <c r="O244" i="39"/>
  <c r="Q347" i="39"/>
  <c r="Q289" i="39"/>
  <c r="O266" i="39"/>
  <c r="P267" i="39"/>
  <c r="O284" i="39"/>
  <c r="O256" i="39"/>
  <c r="Q291" i="39"/>
  <c r="Q287" i="39"/>
  <c r="Q295" i="39"/>
  <c r="O260" i="39"/>
  <c r="O268" i="39"/>
  <c r="O280" i="39"/>
  <c r="O252" i="39"/>
  <c r="Q258" i="39"/>
  <c r="Q259" i="39"/>
  <c r="P245" i="39"/>
  <c r="R245" i="39"/>
  <c r="N245" i="39"/>
  <c r="P249" i="39"/>
  <c r="R249" i="39"/>
  <c r="N249" i="39"/>
  <c r="P253" i="39"/>
  <c r="R253" i="39"/>
  <c r="N253" i="39"/>
  <c r="P257" i="39"/>
  <c r="O257" i="39"/>
  <c r="R257" i="39"/>
  <c r="N257" i="39"/>
  <c r="N240" i="39"/>
  <c r="R240" i="39"/>
  <c r="N241" i="39"/>
  <c r="R241" i="39"/>
  <c r="N258" i="39"/>
  <c r="R258" i="39"/>
  <c r="N259" i="39"/>
  <c r="P260" i="39"/>
  <c r="R261" i="39"/>
  <c r="N261" i="39"/>
  <c r="P262" i="39"/>
  <c r="R263" i="39"/>
  <c r="N263" i="39"/>
  <c r="P264" i="39"/>
  <c r="R265" i="39"/>
  <c r="N265" i="39"/>
  <c r="P266" i="39"/>
  <c r="R267" i="39"/>
  <c r="N267" i="39"/>
  <c r="P268" i="39"/>
  <c r="R269" i="39"/>
  <c r="N269" i="39"/>
  <c r="P270" i="39"/>
  <c r="R271" i="39"/>
  <c r="N271" i="39"/>
  <c r="P274" i="39"/>
  <c r="R274" i="39"/>
  <c r="N274" i="39"/>
  <c r="P278" i="39"/>
  <c r="R278" i="39"/>
  <c r="N278" i="39"/>
  <c r="P282" i="39"/>
  <c r="R282" i="39"/>
  <c r="N282" i="39"/>
  <c r="P242" i="39"/>
  <c r="R242" i="39"/>
  <c r="N242" i="39"/>
  <c r="O245" i="39"/>
  <c r="P246" i="39"/>
  <c r="R246" i="39"/>
  <c r="N246" i="39"/>
  <c r="O249" i="39"/>
  <c r="P250" i="39"/>
  <c r="R250" i="39"/>
  <c r="N250" i="39"/>
  <c r="O253" i="39"/>
  <c r="P254" i="39"/>
  <c r="R254" i="39"/>
  <c r="N254" i="39"/>
  <c r="Q257" i="39"/>
  <c r="Q240" i="39"/>
  <c r="Q241" i="39"/>
  <c r="P273" i="39"/>
  <c r="R273" i="39"/>
  <c r="N273" i="39"/>
  <c r="P277" i="39"/>
  <c r="R277" i="39"/>
  <c r="N277" i="39"/>
  <c r="P281" i="39"/>
  <c r="R281" i="39"/>
  <c r="N281" i="39"/>
  <c r="P285" i="39"/>
  <c r="R285" i="39"/>
  <c r="N285" i="39"/>
  <c r="O240" i="39"/>
  <c r="O241" i="39"/>
  <c r="O258" i="39"/>
  <c r="O259" i="39"/>
  <c r="O261" i="39"/>
  <c r="O263" i="39"/>
  <c r="O265" i="39"/>
  <c r="O267" i="39"/>
  <c r="Q273" i="39"/>
  <c r="P275" i="39"/>
  <c r="R275" i="39"/>
  <c r="N275" i="39"/>
  <c r="Q277" i="39"/>
  <c r="P279" i="39"/>
  <c r="R279" i="39"/>
  <c r="N279" i="39"/>
  <c r="Q281" i="39"/>
  <c r="P283" i="39"/>
  <c r="R283" i="39"/>
  <c r="N283" i="39"/>
  <c r="Q285" i="39"/>
  <c r="P243" i="39"/>
  <c r="R243" i="39"/>
  <c r="N243" i="39"/>
  <c r="Q245" i="39"/>
  <c r="P247" i="39"/>
  <c r="R247" i="39"/>
  <c r="N247" i="39"/>
  <c r="Q249" i="39"/>
  <c r="P251" i="39"/>
  <c r="R251" i="39"/>
  <c r="N251" i="39"/>
  <c r="Q253" i="39"/>
  <c r="P255" i="39"/>
  <c r="R255" i="39"/>
  <c r="N255" i="39"/>
  <c r="P259" i="39"/>
  <c r="R260" i="39"/>
  <c r="N260" i="39"/>
  <c r="R262" i="39"/>
  <c r="N262" i="39"/>
  <c r="R264" i="39"/>
  <c r="N264" i="39"/>
  <c r="R266" i="39"/>
  <c r="N266" i="39"/>
  <c r="R268" i="39"/>
  <c r="N268" i="39"/>
  <c r="P269" i="39"/>
  <c r="R270" i="39"/>
  <c r="N270" i="39"/>
  <c r="P271" i="39"/>
  <c r="P272" i="39"/>
  <c r="R272" i="39"/>
  <c r="N272" i="39"/>
  <c r="Q274" i="39"/>
  <c r="O275" i="39"/>
  <c r="P276" i="39"/>
  <c r="R276" i="39"/>
  <c r="N276" i="39"/>
  <c r="Q278" i="39"/>
  <c r="O279" i="39"/>
  <c r="P280" i="39"/>
  <c r="R280" i="39"/>
  <c r="N280" i="39"/>
  <c r="Q282" i="39"/>
  <c r="O283" i="39"/>
  <c r="P284" i="39"/>
  <c r="R284" i="39"/>
  <c r="N284" i="39"/>
  <c r="Q242" i="39"/>
  <c r="O243" i="39"/>
  <c r="P244" i="39"/>
  <c r="R244" i="39"/>
  <c r="N244" i="39"/>
  <c r="Q246" i="39"/>
  <c r="O247" i="39"/>
  <c r="P248" i="39"/>
  <c r="R248" i="39"/>
  <c r="N248" i="39"/>
  <c r="Q250" i="39"/>
  <c r="O251" i="39"/>
  <c r="P252" i="39"/>
  <c r="R252" i="39"/>
  <c r="N252" i="39"/>
  <c r="Q254" i="39"/>
  <c r="O255" i="39"/>
  <c r="P256" i="39"/>
  <c r="R256" i="39"/>
  <c r="N256" i="39"/>
  <c r="P358" i="39"/>
  <c r="O358" i="39"/>
  <c r="O350" i="39"/>
  <c r="Q350" i="39"/>
  <c r="P362" i="39"/>
  <c r="O362" i="39"/>
  <c r="P288" i="39"/>
  <c r="O288" i="39"/>
  <c r="P294" i="39"/>
  <c r="O294" i="39"/>
  <c r="P296" i="39"/>
  <c r="O296" i="39"/>
  <c r="R296" i="39"/>
  <c r="N296" i="39"/>
  <c r="P298" i="39"/>
  <c r="O298" i="39"/>
  <c r="R298" i="39"/>
  <c r="N298" i="39"/>
  <c r="P300" i="39"/>
  <c r="O300" i="39"/>
  <c r="R300" i="39"/>
  <c r="N300" i="39"/>
  <c r="P302" i="39"/>
  <c r="O302" i="39"/>
  <c r="R302" i="39"/>
  <c r="N302" i="39"/>
  <c r="P305" i="39"/>
  <c r="O305" i="39"/>
  <c r="R305" i="39"/>
  <c r="N305" i="39"/>
  <c r="P306" i="39"/>
  <c r="O306" i="39"/>
  <c r="R306" i="39"/>
  <c r="N306" i="39"/>
  <c r="P309" i="39"/>
  <c r="O309" i="39"/>
  <c r="R309" i="39"/>
  <c r="N309" i="39"/>
  <c r="P311" i="39"/>
  <c r="O311" i="39"/>
  <c r="R311" i="39"/>
  <c r="N311" i="39"/>
  <c r="P314" i="39"/>
  <c r="O314" i="39"/>
  <c r="R314" i="39"/>
  <c r="N314" i="39"/>
  <c r="P357" i="39"/>
  <c r="O357" i="39"/>
  <c r="Q300" i="39"/>
  <c r="Q302" i="39"/>
  <c r="Q305" i="39"/>
  <c r="Q309" i="39"/>
  <c r="Q311" i="39"/>
  <c r="P352" i="39"/>
  <c r="O352" i="39"/>
  <c r="P356" i="39"/>
  <c r="O356" i="39"/>
  <c r="P360" i="39"/>
  <c r="O360" i="39"/>
  <c r="P364" i="39"/>
  <c r="O364" i="39"/>
  <c r="P287" i="39"/>
  <c r="O287" i="39"/>
  <c r="Q288" i="39"/>
  <c r="P289" i="39"/>
  <c r="O289" i="39"/>
  <c r="P291" i="39"/>
  <c r="O291" i="39"/>
  <c r="P293" i="39"/>
  <c r="O293" i="39"/>
  <c r="Q294" i="39"/>
  <c r="P295" i="39"/>
  <c r="O295" i="39"/>
  <c r="P354" i="39"/>
  <c r="O354" i="39"/>
  <c r="P286" i="39"/>
  <c r="O286" i="39"/>
  <c r="P290" i="39"/>
  <c r="O290" i="39"/>
  <c r="P292" i="39"/>
  <c r="O292" i="39"/>
  <c r="P297" i="39"/>
  <c r="O297" i="39"/>
  <c r="R297" i="39"/>
  <c r="N297" i="39"/>
  <c r="P299" i="39"/>
  <c r="O299" i="39"/>
  <c r="R299" i="39"/>
  <c r="N299" i="39"/>
  <c r="P301" i="39"/>
  <c r="O301" i="39"/>
  <c r="R301" i="39"/>
  <c r="N301" i="39"/>
  <c r="P303" i="39"/>
  <c r="O303" i="39"/>
  <c r="R303" i="39"/>
  <c r="N303" i="39"/>
  <c r="P304" i="39"/>
  <c r="O304" i="39"/>
  <c r="R304" i="39"/>
  <c r="N304" i="39"/>
  <c r="P307" i="39"/>
  <c r="O307" i="39"/>
  <c r="R307" i="39"/>
  <c r="N307" i="39"/>
  <c r="P308" i="39"/>
  <c r="O308" i="39"/>
  <c r="R308" i="39"/>
  <c r="N308" i="39"/>
  <c r="P310" i="39"/>
  <c r="O310" i="39"/>
  <c r="R310" i="39"/>
  <c r="N310" i="39"/>
  <c r="P312" i="39"/>
  <c r="O312" i="39"/>
  <c r="R312" i="39"/>
  <c r="N312" i="39"/>
  <c r="P313" i="39"/>
  <c r="O313" i="39"/>
  <c r="R313" i="39"/>
  <c r="N313" i="39"/>
  <c r="P315" i="39"/>
  <c r="O315" i="39"/>
  <c r="R315" i="39"/>
  <c r="N315" i="39"/>
  <c r="P353" i="39"/>
  <c r="O353" i="39"/>
  <c r="P361" i="39"/>
  <c r="O361" i="39"/>
  <c r="N286" i="39"/>
  <c r="N288" i="39"/>
  <c r="N290" i="39"/>
  <c r="N292" i="39"/>
  <c r="N294" i="39"/>
  <c r="Q296" i="39"/>
  <c r="Q298" i="39"/>
  <c r="Q299" i="39"/>
  <c r="Q301" i="39"/>
  <c r="Q303" i="39"/>
  <c r="Q304" i="39"/>
  <c r="Q306" i="39"/>
  <c r="Q308" i="39"/>
  <c r="Q310" i="39"/>
  <c r="Q312" i="39"/>
  <c r="Q314" i="39"/>
  <c r="P355" i="39"/>
  <c r="O355" i="39"/>
  <c r="P359" i="39"/>
  <c r="O359" i="39"/>
  <c r="P363" i="39"/>
  <c r="O363" i="39"/>
  <c r="R286" i="39"/>
  <c r="N287" i="39"/>
  <c r="R288" i="39"/>
  <c r="N289" i="39"/>
  <c r="R290" i="39"/>
  <c r="N291" i="39"/>
  <c r="R292" i="39"/>
  <c r="N293" i="39"/>
  <c r="R294" i="39"/>
  <c r="N295" i="39"/>
  <c r="Q346" i="39"/>
  <c r="P316" i="39"/>
  <c r="N316" i="39"/>
  <c r="O316" i="39"/>
  <c r="R316" i="39"/>
  <c r="P319" i="39"/>
  <c r="N319" i="39"/>
  <c r="O319" i="39"/>
  <c r="R319" i="39"/>
  <c r="P321" i="39"/>
  <c r="N321" i="39"/>
  <c r="O321" i="39"/>
  <c r="R321" i="39"/>
  <c r="P323" i="39"/>
  <c r="N323" i="39"/>
  <c r="O323" i="39"/>
  <c r="R323" i="39"/>
  <c r="P325" i="39"/>
  <c r="R325" i="39"/>
  <c r="N325" i="39"/>
  <c r="O325" i="39"/>
  <c r="P317" i="39"/>
  <c r="N317" i="39"/>
  <c r="O317" i="39"/>
  <c r="R317" i="39"/>
  <c r="P318" i="39"/>
  <c r="N318" i="39"/>
  <c r="O318" i="39"/>
  <c r="R318" i="39"/>
  <c r="P320" i="39"/>
  <c r="N320" i="39"/>
  <c r="O320" i="39"/>
  <c r="R320" i="39"/>
  <c r="P322" i="39"/>
  <c r="N322" i="39"/>
  <c r="O322" i="39"/>
  <c r="R322" i="39"/>
  <c r="P324" i="39"/>
  <c r="N324" i="39"/>
  <c r="O324" i="39"/>
  <c r="R324" i="39"/>
  <c r="P326" i="39"/>
  <c r="R326" i="39"/>
  <c r="N326" i="39"/>
  <c r="Q326" i="39"/>
  <c r="O326" i="39"/>
  <c r="Q316" i="39"/>
  <c r="Q317" i="39"/>
  <c r="Q318" i="39"/>
  <c r="Q319" i="39"/>
  <c r="Q320" i="39"/>
  <c r="Q321" i="39"/>
  <c r="Q322" i="39"/>
  <c r="Q323" i="39"/>
  <c r="Q324" i="39"/>
  <c r="Q325" i="39"/>
  <c r="Q327" i="39"/>
  <c r="Q329" i="39"/>
  <c r="Q332" i="39"/>
  <c r="Q333" i="39"/>
  <c r="Q334" i="39"/>
  <c r="Q335" i="39"/>
  <c r="Q336" i="39"/>
  <c r="Q337" i="39"/>
  <c r="Q338" i="39"/>
  <c r="Q339" i="39"/>
  <c r="Q340" i="39"/>
  <c r="Q341" i="39"/>
  <c r="Q342" i="39"/>
  <c r="Q343" i="39"/>
  <c r="Q344" i="39"/>
  <c r="Q345" i="39"/>
  <c r="N327" i="39"/>
  <c r="N345" i="39"/>
  <c r="O327" i="39"/>
  <c r="O328" i="39"/>
  <c r="O329" i="39"/>
  <c r="O330" i="39"/>
  <c r="O331" i="39"/>
  <c r="O332" i="39"/>
  <c r="O333" i="39"/>
  <c r="O334" i="39"/>
  <c r="O335" i="39"/>
  <c r="O336" i="39"/>
  <c r="O337" i="39"/>
  <c r="O338" i="39"/>
  <c r="O339" i="39"/>
  <c r="O340" i="39"/>
  <c r="O341" i="39"/>
  <c r="O342" i="39"/>
  <c r="O343" i="39"/>
  <c r="O344" i="39"/>
  <c r="O345" i="39"/>
  <c r="Q328" i="39"/>
  <c r="Q330" i="39"/>
  <c r="Q331" i="39"/>
  <c r="R327" i="39"/>
  <c r="N328" i="39"/>
  <c r="R328" i="39"/>
  <c r="N329" i="39"/>
  <c r="R329" i="39"/>
  <c r="N330" i="39"/>
  <c r="R330" i="39"/>
  <c r="N331" i="39"/>
  <c r="R331" i="39"/>
  <c r="N332" i="39"/>
  <c r="R332" i="39"/>
  <c r="N333" i="39"/>
  <c r="R333" i="39"/>
  <c r="N334" i="39"/>
  <c r="R334" i="39"/>
  <c r="N335" i="39"/>
  <c r="R335" i="39"/>
  <c r="N336" i="39"/>
  <c r="R336" i="39"/>
  <c r="N337" i="39"/>
  <c r="R337" i="39"/>
  <c r="N338" i="39"/>
  <c r="R338" i="39"/>
  <c r="N339" i="39"/>
  <c r="R339" i="39"/>
  <c r="N340" i="39"/>
  <c r="R340" i="39"/>
  <c r="N341" i="39"/>
  <c r="R341" i="39"/>
  <c r="N342" i="39"/>
  <c r="R342" i="39"/>
  <c r="N343" i="39"/>
  <c r="R343" i="39"/>
  <c r="N344" i="39"/>
  <c r="R344" i="39"/>
  <c r="R345" i="39"/>
  <c r="P348" i="39"/>
  <c r="R348" i="39"/>
  <c r="N348" i="39"/>
  <c r="O348" i="39"/>
  <c r="P349" i="39"/>
  <c r="R349" i="39"/>
  <c r="N349" i="39"/>
  <c r="P346" i="39"/>
  <c r="R346" i="39"/>
  <c r="N346" i="39"/>
  <c r="Q348" i="39"/>
  <c r="O349" i="39"/>
  <c r="P350" i="39"/>
  <c r="R350" i="39"/>
  <c r="N350" i="39"/>
  <c r="P347" i="39"/>
  <c r="R347" i="39"/>
  <c r="N347" i="39"/>
  <c r="Q349" i="39"/>
  <c r="P351" i="39"/>
  <c r="R351" i="39"/>
  <c r="N351" i="39"/>
  <c r="Q351" i="39"/>
  <c r="Q352" i="39"/>
  <c r="Q353" i="39"/>
  <c r="Q354" i="39"/>
  <c r="Q355" i="39"/>
  <c r="Q356" i="39"/>
  <c r="Q357" i="39"/>
  <c r="Q358" i="39"/>
  <c r="Q359" i="39"/>
  <c r="Q360" i="39"/>
  <c r="Q361" i="39"/>
  <c r="Q362" i="39"/>
  <c r="Q363" i="39"/>
  <c r="Q364" i="39"/>
  <c r="Q365" i="39"/>
  <c r="Q366" i="39"/>
  <c r="Q367" i="39"/>
  <c r="Q368" i="39"/>
  <c r="Q369" i="39"/>
  <c r="Q370" i="39"/>
  <c r="Q371" i="39"/>
  <c r="Q372" i="39"/>
  <c r="Q373" i="39"/>
  <c r="Q374" i="39"/>
  <c r="Q375" i="39"/>
  <c r="N352" i="39"/>
  <c r="R352" i="39"/>
  <c r="N353" i="39"/>
  <c r="R353" i="39"/>
  <c r="N354" i="39"/>
  <c r="R354" i="39"/>
  <c r="N355" i="39"/>
  <c r="R355" i="39"/>
  <c r="N356" i="39"/>
  <c r="R356" i="39"/>
  <c r="N357" i="39"/>
  <c r="R357" i="39"/>
  <c r="N358" i="39"/>
  <c r="R358" i="39"/>
  <c r="N359" i="39"/>
  <c r="R359" i="39"/>
  <c r="N360" i="39"/>
  <c r="R360" i="39"/>
  <c r="N361" i="39"/>
  <c r="R361" i="39"/>
  <c r="N362" i="39"/>
  <c r="R362" i="39"/>
  <c r="N363" i="39"/>
  <c r="R363" i="39"/>
  <c r="N364" i="39"/>
  <c r="R364" i="39"/>
  <c r="N365" i="39"/>
  <c r="R365" i="39"/>
  <c r="N366" i="39"/>
  <c r="R366" i="39"/>
  <c r="N367" i="39"/>
  <c r="R367" i="39"/>
  <c r="N368" i="39"/>
  <c r="R368" i="39"/>
  <c r="N369" i="39"/>
  <c r="R369" i="39"/>
  <c r="N370" i="39"/>
  <c r="R370" i="39"/>
  <c r="N371" i="39"/>
  <c r="R371" i="39"/>
  <c r="N372" i="39"/>
  <c r="R372" i="39"/>
  <c r="N373" i="39"/>
  <c r="R373" i="39"/>
  <c r="N374" i="39"/>
  <c r="R374" i="39"/>
  <c r="N375" i="39"/>
  <c r="R375" i="39"/>
  <c r="O365" i="39"/>
  <c r="O366" i="39"/>
  <c r="O367" i="39"/>
  <c r="O368" i="39"/>
  <c r="O369" i="39"/>
  <c r="O370" i="39"/>
  <c r="O371" i="39"/>
  <c r="O372" i="39"/>
  <c r="O373" i="39"/>
  <c r="O374" i="39"/>
  <c r="O375" i="39"/>
  <c r="Q376" i="39"/>
  <c r="Q377" i="39"/>
  <c r="Q379" i="39"/>
  <c r="Q381" i="39"/>
  <c r="Q383" i="39"/>
  <c r="Q385" i="39"/>
  <c r="Q387" i="39"/>
  <c r="R376" i="39"/>
  <c r="R377" i="39"/>
  <c r="R378" i="39"/>
  <c r="R379" i="39"/>
  <c r="R380" i="39"/>
  <c r="N381" i="39"/>
  <c r="N382" i="39"/>
  <c r="R383" i="39"/>
  <c r="R384" i="39"/>
  <c r="R385" i="39"/>
  <c r="R386" i="39"/>
  <c r="R387" i="39"/>
  <c r="R388" i="39"/>
  <c r="R389" i="39"/>
  <c r="N390" i="39"/>
  <c r="O376" i="39"/>
  <c r="O377" i="39"/>
  <c r="O378" i="39"/>
  <c r="O379" i="39"/>
  <c r="O380" i="39"/>
  <c r="O381" i="39"/>
  <c r="O382" i="39"/>
  <c r="O383" i="39"/>
  <c r="O384" i="39"/>
  <c r="O385" i="39"/>
  <c r="O386" i="39"/>
  <c r="O387" i="39"/>
  <c r="O388" i="39"/>
  <c r="O389" i="39"/>
  <c r="O390" i="39"/>
  <c r="Q378" i="39"/>
  <c r="Q380" i="39"/>
  <c r="Q382" i="39"/>
  <c r="Q384" i="39"/>
  <c r="Q386" i="39"/>
  <c r="Q388" i="39"/>
  <c r="Q389" i="39"/>
  <c r="Q390" i="39"/>
  <c r="N376" i="39"/>
  <c r="N377" i="39"/>
  <c r="N378" i="39"/>
  <c r="N379" i="39"/>
  <c r="N380" i="39"/>
  <c r="R381" i="39"/>
  <c r="R382" i="39"/>
  <c r="N383" i="39"/>
  <c r="N384" i="39"/>
  <c r="N385" i="39"/>
  <c r="N386" i="39"/>
  <c r="N387" i="39"/>
  <c r="N388" i="39"/>
  <c r="N389" i="39"/>
  <c r="R390" i="39"/>
  <c r="Q391" i="39"/>
  <c r="Q392" i="39"/>
  <c r="Q393" i="39"/>
  <c r="Q394" i="39"/>
  <c r="Q395" i="39"/>
  <c r="Q396" i="39"/>
  <c r="Q397" i="39"/>
  <c r="Q398" i="39"/>
  <c r="Q399" i="39"/>
  <c r="N391" i="39"/>
  <c r="R391" i="39"/>
  <c r="N392" i="39"/>
  <c r="R392" i="39"/>
  <c r="N393" i="39"/>
  <c r="R393" i="39"/>
  <c r="N394" i="39"/>
  <c r="R394" i="39"/>
  <c r="N395" i="39"/>
  <c r="R395" i="39"/>
  <c r="N396" i="39"/>
  <c r="R396" i="39"/>
  <c r="N397" i="39"/>
  <c r="R397" i="39"/>
  <c r="N398" i="39"/>
  <c r="R398" i="39"/>
  <c r="N399" i="39"/>
  <c r="R399" i="39"/>
  <c r="O391" i="39"/>
  <c r="O392" i="39"/>
  <c r="O393" i="39"/>
  <c r="O394" i="39"/>
  <c r="O395" i="39"/>
  <c r="O396" i="39"/>
  <c r="O397" i="39"/>
  <c r="O398" i="39"/>
  <c r="O399" i="39"/>
  <c r="Q169" i="39"/>
  <c r="Q157" i="39"/>
  <c r="Q159" i="39"/>
  <c r="Q161" i="39"/>
  <c r="Q163" i="39"/>
  <c r="Q166" i="39"/>
  <c r="Q168" i="39"/>
  <c r="Q179" i="39"/>
  <c r="Q180" i="39"/>
  <c r="N155" i="39"/>
  <c r="R155" i="39"/>
  <c r="N156" i="39"/>
  <c r="R156" i="39"/>
  <c r="N157" i="39"/>
  <c r="R157" i="39"/>
  <c r="N158" i="39"/>
  <c r="R158" i="39"/>
  <c r="N159" i="39"/>
  <c r="R159" i="39"/>
  <c r="N160" i="39"/>
  <c r="R160" i="39"/>
  <c r="N161" i="39"/>
  <c r="R161" i="39"/>
  <c r="N162" i="39"/>
  <c r="R162" i="39"/>
  <c r="N163" i="39"/>
  <c r="R163" i="39"/>
  <c r="N164" i="39"/>
  <c r="R164" i="39"/>
  <c r="N165" i="39"/>
  <c r="R165" i="39"/>
  <c r="N166" i="39"/>
  <c r="R166" i="39"/>
  <c r="N167" i="39"/>
  <c r="R167" i="39"/>
  <c r="N168" i="39"/>
  <c r="R168" i="39"/>
  <c r="N169" i="39"/>
  <c r="R169" i="39"/>
  <c r="Q155" i="39"/>
  <c r="Q156" i="39"/>
  <c r="Q158" i="39"/>
  <c r="Q160" i="39"/>
  <c r="Q162" i="39"/>
  <c r="Q164" i="39"/>
  <c r="Q165" i="39"/>
  <c r="Q167" i="39"/>
  <c r="O155" i="39"/>
  <c r="O156" i="39"/>
  <c r="O157" i="39"/>
  <c r="O158" i="39"/>
  <c r="O159" i="39"/>
  <c r="O160" i="39"/>
  <c r="O161" i="39"/>
  <c r="O162" i="39"/>
  <c r="O163" i="39"/>
  <c r="O164" i="39"/>
  <c r="O165" i="39"/>
  <c r="O166" i="39"/>
  <c r="O167" i="39"/>
  <c r="O168" i="39"/>
  <c r="O169" i="39"/>
  <c r="Q172" i="39"/>
  <c r="Q174" i="39"/>
  <c r="Q175" i="39"/>
  <c r="Q176" i="39"/>
  <c r="Q177" i="39"/>
  <c r="Q178" i="39"/>
  <c r="Q181" i="39"/>
  <c r="Q182" i="39"/>
  <c r="Q183" i="39"/>
  <c r="Q184" i="39"/>
  <c r="N170" i="39"/>
  <c r="R170" i="39"/>
  <c r="N171" i="39"/>
  <c r="R171" i="39"/>
  <c r="N172" i="39"/>
  <c r="R172" i="39"/>
  <c r="N173" i="39"/>
  <c r="R173" i="39"/>
  <c r="N174" i="39"/>
  <c r="R174" i="39"/>
  <c r="N175" i="39"/>
  <c r="R175" i="39"/>
  <c r="N176" i="39"/>
  <c r="R176" i="39"/>
  <c r="N177" i="39"/>
  <c r="R177" i="39"/>
  <c r="N178" i="39"/>
  <c r="R178" i="39"/>
  <c r="N179" i="39"/>
  <c r="R179" i="39"/>
  <c r="N180" i="39"/>
  <c r="R180" i="39"/>
  <c r="N181" i="39"/>
  <c r="R181" i="39"/>
  <c r="N182" i="39"/>
  <c r="R182" i="39"/>
  <c r="N183" i="39"/>
  <c r="R183" i="39"/>
  <c r="N184" i="39"/>
  <c r="R184" i="39"/>
  <c r="Q170" i="39"/>
  <c r="O170" i="39"/>
  <c r="O171" i="39"/>
  <c r="O172" i="39"/>
  <c r="O173" i="39"/>
  <c r="O174" i="39"/>
  <c r="O175" i="39"/>
  <c r="O176" i="39"/>
  <c r="O177" i="39"/>
  <c r="O178" i="39"/>
  <c r="O179" i="39"/>
  <c r="O180" i="39"/>
  <c r="O181" i="39"/>
  <c r="O182" i="39"/>
  <c r="O183" i="39"/>
  <c r="O184" i="39"/>
  <c r="Q171" i="39"/>
  <c r="Q173" i="39"/>
  <c r="Q186" i="39"/>
  <c r="Q188" i="39"/>
  <c r="Q190" i="39"/>
  <c r="Q194" i="39"/>
  <c r="Q195" i="39"/>
  <c r="N185" i="39"/>
  <c r="N186" i="39"/>
  <c r="N187" i="39"/>
  <c r="N188" i="39"/>
  <c r="N189" i="39"/>
  <c r="R189" i="39"/>
  <c r="N190" i="39"/>
  <c r="N191" i="39"/>
  <c r="R191" i="39"/>
  <c r="N192" i="39"/>
  <c r="R192" i="39"/>
  <c r="N193" i="39"/>
  <c r="R193" i="39"/>
  <c r="N194" i="39"/>
  <c r="R194" i="39"/>
  <c r="N195" i="39"/>
  <c r="R195" i="39"/>
  <c r="N196" i="39"/>
  <c r="R196" i="39"/>
  <c r="N197" i="39"/>
  <c r="R197" i="39"/>
  <c r="N198" i="39"/>
  <c r="R198" i="39"/>
  <c r="R199" i="39"/>
  <c r="O185" i="39"/>
  <c r="O186" i="39"/>
  <c r="O187" i="39"/>
  <c r="O188" i="39"/>
  <c r="O189" i="39"/>
  <c r="O190" i="39"/>
  <c r="O191" i="39"/>
  <c r="O192" i="39"/>
  <c r="O193" i="39"/>
  <c r="O194" i="39"/>
  <c r="O195" i="39"/>
  <c r="O196" i="39"/>
  <c r="O197" i="39"/>
  <c r="O198" i="39"/>
  <c r="O199" i="39"/>
  <c r="Q185" i="39"/>
  <c r="Q187" i="39"/>
  <c r="Q189" i="39"/>
  <c r="Q191" i="39"/>
  <c r="Q192" i="39"/>
  <c r="Q193" i="39"/>
  <c r="Q196" i="39"/>
  <c r="Q197" i="39"/>
  <c r="Q198" i="39"/>
  <c r="Q199" i="39"/>
  <c r="R185" i="39"/>
  <c r="R186" i="39"/>
  <c r="R187" i="39"/>
  <c r="R188" i="39"/>
  <c r="R190" i="39"/>
  <c r="N199" i="39"/>
  <c r="Q200" i="39"/>
  <c r="Q202" i="39"/>
  <c r="Q204" i="39"/>
  <c r="Q207" i="39"/>
  <c r="Q208" i="39"/>
  <c r="Q209" i="39"/>
  <c r="Q210" i="39"/>
  <c r="Q211" i="39"/>
  <c r="Q212" i="39"/>
  <c r="Q213" i="39"/>
  <c r="Q214" i="39"/>
  <c r="O215" i="39"/>
  <c r="O217" i="39"/>
  <c r="O218" i="39"/>
  <c r="O220" i="39"/>
  <c r="O222" i="39"/>
  <c r="O224" i="39"/>
  <c r="O226" i="39"/>
  <c r="O229" i="39"/>
  <c r="R200" i="39"/>
  <c r="R201" i="39"/>
  <c r="R202" i="39"/>
  <c r="R203" i="39"/>
  <c r="R204" i="39"/>
  <c r="R205" i="39"/>
  <c r="R206" i="39"/>
  <c r="R208" i="39"/>
  <c r="N214" i="39"/>
  <c r="O200" i="39"/>
  <c r="O201" i="39"/>
  <c r="O202" i="39"/>
  <c r="O203" i="39"/>
  <c r="O204" i="39"/>
  <c r="O205" i="39"/>
  <c r="O206" i="39"/>
  <c r="O207" i="39"/>
  <c r="O208" i="39"/>
  <c r="O209" i="39"/>
  <c r="O210" i="39"/>
  <c r="O211" i="39"/>
  <c r="O212" i="39"/>
  <c r="O213" i="39"/>
  <c r="O214" i="39"/>
  <c r="Q201" i="39"/>
  <c r="Q203" i="39"/>
  <c r="Q205" i="39"/>
  <c r="Q206" i="39"/>
  <c r="O216" i="39"/>
  <c r="O219" i="39"/>
  <c r="O221" i="39"/>
  <c r="O223" i="39"/>
  <c r="O225" i="39"/>
  <c r="O227" i="39"/>
  <c r="O228" i="39"/>
  <c r="N200" i="39"/>
  <c r="N201" i="39"/>
  <c r="N202" i="39"/>
  <c r="N203" i="39"/>
  <c r="N204" i="39"/>
  <c r="N205" i="39"/>
  <c r="N206" i="39"/>
  <c r="N207" i="39"/>
  <c r="R207" i="39"/>
  <c r="N208" i="39"/>
  <c r="N209" i="39"/>
  <c r="R209" i="39"/>
  <c r="N210" i="39"/>
  <c r="R210" i="39"/>
  <c r="N211" i="39"/>
  <c r="R211" i="39"/>
  <c r="N212" i="39"/>
  <c r="R212" i="39"/>
  <c r="N213" i="39"/>
  <c r="R213" i="39"/>
  <c r="R214" i="39"/>
  <c r="Q215" i="39"/>
  <c r="Q216" i="39"/>
  <c r="Q217" i="39"/>
  <c r="Q218" i="39"/>
  <c r="Q219" i="39"/>
  <c r="Q220" i="39"/>
  <c r="Q221" i="39"/>
  <c r="Q222" i="39"/>
  <c r="Q223" i="39"/>
  <c r="Q224" i="39"/>
  <c r="Q225" i="39"/>
  <c r="Q226" i="39"/>
  <c r="Q227" i="39"/>
  <c r="Q228" i="39"/>
  <c r="Q229" i="39"/>
  <c r="N215" i="39"/>
  <c r="R215" i="39"/>
  <c r="N216" i="39"/>
  <c r="R216" i="39"/>
  <c r="N217" i="39"/>
  <c r="R217" i="39"/>
  <c r="N218" i="39"/>
  <c r="R218" i="39"/>
  <c r="N219" i="39"/>
  <c r="R219" i="39"/>
  <c r="N220" i="39"/>
  <c r="R220" i="39"/>
  <c r="N221" i="39"/>
  <c r="R221" i="39"/>
  <c r="N222" i="39"/>
  <c r="R222" i="39"/>
  <c r="N223" i="39"/>
  <c r="R223" i="39"/>
  <c r="N224" i="39"/>
  <c r="R224" i="39"/>
  <c r="N225" i="39"/>
  <c r="R225" i="39"/>
  <c r="N226" i="39"/>
  <c r="R226" i="39"/>
  <c r="N227" i="39"/>
  <c r="R227" i="39"/>
  <c r="N228" i="39"/>
  <c r="R228" i="39"/>
  <c r="N229" i="39"/>
  <c r="R229" i="39"/>
  <c r="R48" i="39"/>
  <c r="N51" i="39"/>
  <c r="Q44" i="39"/>
  <c r="L6" i="39"/>
  <c r="L7" i="39" s="1"/>
  <c r="L8" i="39" s="1"/>
  <c r="L9" i="39" s="1"/>
  <c r="L10" i="39" s="1"/>
  <c r="L11" i="39" s="1"/>
  <c r="L12" i="39" s="1"/>
  <c r="L13" i="39" s="1"/>
  <c r="L14" i="39" s="1"/>
  <c r="L15" i="39" s="1"/>
  <c r="L16" i="39" s="1"/>
  <c r="L17" i="39" s="1"/>
  <c r="L18" i="39" s="1"/>
  <c r="L19" i="39" s="1"/>
  <c r="L20" i="39" s="1"/>
  <c r="L21" i="39" s="1"/>
  <c r="L22" i="39" s="1"/>
  <c r="L23" i="39" s="1"/>
  <c r="L24" i="39" s="1"/>
  <c r="L25" i="39" s="1"/>
  <c r="L26" i="39" s="1"/>
  <c r="L27" i="39" s="1"/>
  <c r="L28" i="39" s="1"/>
  <c r="L29" i="39" s="1"/>
  <c r="L30" i="39" s="1"/>
  <c r="L31" i="39" s="1"/>
  <c r="L32" i="39" s="1"/>
  <c r="L33" i="39" s="1"/>
  <c r="L34" i="39" s="1"/>
  <c r="L35" i="39" s="1"/>
  <c r="L36" i="39" s="1"/>
  <c r="L37" i="39" s="1"/>
  <c r="L38" i="39" s="1"/>
  <c r="L39" i="39" s="1"/>
  <c r="L40" i="39" s="1"/>
  <c r="L41" i="39" s="1"/>
  <c r="L42" i="39" s="1"/>
  <c r="L43" i="39" s="1"/>
  <c r="L44" i="39" s="1"/>
  <c r="L45" i="39" s="1"/>
  <c r="L46" i="39" s="1"/>
  <c r="L47" i="39" s="1"/>
  <c r="L48" i="39" s="1"/>
  <c r="L49" i="39" s="1"/>
  <c r="L50" i="39" s="1"/>
  <c r="L51" i="39" s="1"/>
  <c r="L52" i="39" s="1"/>
  <c r="L53" i="39" s="1"/>
  <c r="L54" i="39" s="1"/>
  <c r="L55" i="39" s="1"/>
  <c r="L56" i="39" s="1"/>
  <c r="L57" i="39" s="1"/>
  <c r="L58" i="39" s="1"/>
  <c r="L59" i="39" s="1"/>
  <c r="L60" i="39" s="1"/>
  <c r="L61" i="39" s="1"/>
  <c r="L62" i="39" s="1"/>
  <c r="L63" i="39" s="1"/>
  <c r="L64" i="39" s="1"/>
  <c r="L65" i="39" s="1"/>
  <c r="L66" i="39" s="1"/>
  <c r="L67" i="39" s="1"/>
  <c r="L68" i="39" s="1"/>
  <c r="L69" i="39" s="1"/>
  <c r="L70" i="39" s="1"/>
  <c r="L71" i="39" s="1"/>
  <c r="L72" i="39" s="1"/>
  <c r="L73" i="39" s="1"/>
  <c r="L74" i="39" s="1"/>
  <c r="L75" i="39" s="1"/>
  <c r="L76" i="39" s="1"/>
  <c r="L77" i="39" s="1"/>
  <c r="L78" i="39" s="1"/>
  <c r="L79" i="39" s="1"/>
  <c r="L80" i="39" s="1"/>
  <c r="L81" i="39" s="1"/>
  <c r="L82" i="39" s="1"/>
  <c r="L83" i="39" s="1"/>
  <c r="L84" i="39" s="1"/>
  <c r="L85" i="39" s="1"/>
  <c r="L86" i="39" s="1"/>
  <c r="L87" i="39" s="1"/>
  <c r="L88" i="39" s="1"/>
  <c r="L89" i="39" s="1"/>
  <c r="L90" i="39" s="1"/>
  <c r="L91" i="39" s="1"/>
  <c r="L92" i="39" s="1"/>
  <c r="L93" i="39" s="1"/>
  <c r="L94" i="39" s="1"/>
  <c r="L95" i="39" s="1"/>
  <c r="L96" i="39" s="1"/>
  <c r="L97" i="39" s="1"/>
  <c r="L98" i="39" s="1"/>
  <c r="L99" i="39" s="1"/>
  <c r="L100" i="39" s="1"/>
  <c r="L101" i="39" s="1"/>
  <c r="L102" i="39" s="1"/>
  <c r="L103" i="39" s="1"/>
  <c r="L104" i="39" s="1"/>
  <c r="L105" i="39" s="1"/>
  <c r="L106" i="39" s="1"/>
  <c r="L107" i="39" s="1"/>
  <c r="L108" i="39" s="1"/>
  <c r="L109" i="39" s="1"/>
  <c r="L110" i="39" s="1"/>
  <c r="L111" i="39" s="1"/>
  <c r="L112" i="39" s="1"/>
  <c r="L113" i="39" s="1"/>
  <c r="L114" i="39" s="1"/>
  <c r="L115" i="39" s="1"/>
  <c r="L116" i="39" s="1"/>
  <c r="L117" i="39" s="1"/>
  <c r="L118" i="39" s="1"/>
  <c r="L119" i="39" s="1"/>
  <c r="L120" i="39" s="1"/>
  <c r="L121" i="39" s="1"/>
  <c r="L122" i="39" s="1"/>
  <c r="L123" i="39" s="1"/>
  <c r="L124" i="39" s="1"/>
  <c r="L125" i="39" s="1"/>
  <c r="L126" i="39" s="1"/>
  <c r="L127" i="39" s="1"/>
  <c r="L128" i="39" s="1"/>
  <c r="L129" i="39" s="1"/>
  <c r="L130" i="39" s="1"/>
  <c r="L131" i="39" s="1"/>
  <c r="L132" i="39" s="1"/>
  <c r="L133" i="39" s="1"/>
  <c r="L134" i="39" s="1"/>
  <c r="L135" i="39" s="1"/>
  <c r="L136" i="39" s="1"/>
  <c r="L137" i="39" s="1"/>
  <c r="L138" i="39" s="1"/>
  <c r="L139" i="39" s="1"/>
  <c r="L140" i="39" s="1"/>
  <c r="L141" i="39" s="1"/>
  <c r="L142" i="39" s="1"/>
  <c r="L143" i="39" s="1"/>
  <c r="L144" i="39" s="1"/>
  <c r="L145" i="39" s="1"/>
  <c r="L146" i="39" s="1"/>
  <c r="L147" i="39" s="1"/>
  <c r="L148" i="39" s="1"/>
  <c r="L149" i="39" s="1"/>
  <c r="L150" i="39" s="1"/>
  <c r="L151" i="39" s="1"/>
  <c r="L152" i="39" s="1"/>
  <c r="L153" i="39" s="1"/>
  <c r="L154" i="39" s="1"/>
  <c r="L155" i="39" s="1"/>
  <c r="L156" i="39" s="1"/>
  <c r="L157" i="39" s="1"/>
  <c r="L158" i="39" s="1"/>
  <c r="L159" i="39" s="1"/>
  <c r="L160" i="39" s="1"/>
  <c r="L161" i="39" s="1"/>
  <c r="L162" i="39" s="1"/>
  <c r="L163" i="39" s="1"/>
  <c r="L164" i="39" s="1"/>
  <c r="L165" i="39" s="1"/>
  <c r="L166" i="39" s="1"/>
  <c r="L167" i="39" s="1"/>
  <c r="L168" i="39" s="1"/>
  <c r="L169" i="39" s="1"/>
  <c r="L170" i="39" s="1"/>
  <c r="L171" i="39" s="1"/>
  <c r="L172" i="39" s="1"/>
  <c r="L173" i="39" s="1"/>
  <c r="L174" i="39" s="1"/>
  <c r="L175" i="39" s="1"/>
  <c r="L176" i="39" s="1"/>
  <c r="L177" i="39" s="1"/>
  <c r="L178" i="39" s="1"/>
  <c r="L179" i="39" s="1"/>
  <c r="L180" i="39" s="1"/>
  <c r="L181" i="39" s="1"/>
  <c r="L182" i="39" s="1"/>
  <c r="L183" i="39" s="1"/>
  <c r="L184" i="39" s="1"/>
  <c r="L185" i="39" s="1"/>
  <c r="L186" i="39" s="1"/>
  <c r="L187" i="39" s="1"/>
  <c r="L188" i="39" s="1"/>
  <c r="L189" i="39" s="1"/>
  <c r="L190" i="39" s="1"/>
  <c r="L191" i="39" s="1"/>
  <c r="L192" i="39" s="1"/>
  <c r="L193" i="39" s="1"/>
  <c r="L194" i="39" s="1"/>
  <c r="L195" i="39" s="1"/>
  <c r="L196" i="39" s="1"/>
  <c r="L197" i="39" s="1"/>
  <c r="L198" i="39" s="1"/>
  <c r="L199" i="39" s="1"/>
  <c r="L200" i="39" s="1"/>
  <c r="L201" i="39" s="1"/>
  <c r="L202" i="39" s="1"/>
  <c r="L203" i="39" s="1"/>
  <c r="L204" i="39" s="1"/>
  <c r="L205" i="39" s="1"/>
  <c r="L206" i="39" s="1"/>
  <c r="L207" i="39" s="1"/>
  <c r="L208" i="39" s="1"/>
  <c r="L209" i="39" s="1"/>
  <c r="L210" i="39" s="1"/>
  <c r="L211" i="39" s="1"/>
  <c r="L212" i="39" s="1"/>
  <c r="L213" i="39" s="1"/>
  <c r="L214" i="39" s="1"/>
  <c r="L215" i="39" s="1"/>
  <c r="L216" i="39" s="1"/>
  <c r="L217" i="39" s="1"/>
  <c r="L218" i="39" s="1"/>
  <c r="L219" i="39" s="1"/>
  <c r="L220" i="39" s="1"/>
  <c r="L221" i="39" s="1"/>
  <c r="L222" i="39" s="1"/>
  <c r="L223" i="39" s="1"/>
  <c r="L224" i="39" s="1"/>
  <c r="L225" i="39" s="1"/>
  <c r="L226" i="39" s="1"/>
  <c r="L227" i="39" s="1"/>
  <c r="L228" i="39" s="1"/>
  <c r="L229" i="39" s="1"/>
  <c r="L230" i="39" s="1"/>
  <c r="L231" i="39" s="1"/>
  <c r="L232" i="39" s="1"/>
  <c r="L233" i="39" s="1"/>
  <c r="L234" i="39" s="1"/>
  <c r="L235" i="39" s="1"/>
  <c r="L236" i="39" s="1"/>
  <c r="L237" i="39" s="1"/>
  <c r="L238" i="39" s="1"/>
  <c r="L239" i="39" s="1"/>
  <c r="L240" i="39" s="1"/>
  <c r="L241" i="39" s="1"/>
  <c r="L242" i="39" s="1"/>
  <c r="L243" i="39" s="1"/>
  <c r="L244" i="39" s="1"/>
  <c r="L245" i="39" s="1"/>
  <c r="L246" i="39" s="1"/>
  <c r="L247" i="39" s="1"/>
  <c r="L248" i="39" s="1"/>
  <c r="L249" i="39" s="1"/>
  <c r="L250" i="39" s="1"/>
  <c r="L251" i="39" s="1"/>
  <c r="L252" i="39" s="1"/>
  <c r="L253" i="39" s="1"/>
  <c r="L254" i="39" s="1"/>
  <c r="L255" i="39" s="1"/>
  <c r="L256" i="39" s="1"/>
  <c r="L257" i="39" s="1"/>
  <c r="L258" i="39" s="1"/>
  <c r="L259" i="39" s="1"/>
  <c r="L260" i="39" s="1"/>
  <c r="L261" i="39" s="1"/>
  <c r="L262" i="39" s="1"/>
  <c r="L263" i="39" s="1"/>
  <c r="L264" i="39" s="1"/>
  <c r="L265" i="39" s="1"/>
  <c r="L266" i="39" s="1"/>
  <c r="L267" i="39" s="1"/>
  <c r="L268" i="39" s="1"/>
  <c r="L269" i="39" s="1"/>
  <c r="L270" i="39" s="1"/>
  <c r="L271" i="39" s="1"/>
  <c r="L272" i="39" s="1"/>
  <c r="L273" i="39" s="1"/>
  <c r="L274" i="39" s="1"/>
  <c r="L275" i="39" s="1"/>
  <c r="L276" i="39" s="1"/>
  <c r="L277" i="39" s="1"/>
  <c r="L278" i="39" s="1"/>
  <c r="L279" i="39" s="1"/>
  <c r="L280" i="39" s="1"/>
  <c r="L281" i="39" s="1"/>
  <c r="L282" i="39" s="1"/>
  <c r="L283" i="39" s="1"/>
  <c r="L284" i="39" s="1"/>
  <c r="L285" i="39" s="1"/>
  <c r="L286" i="39" s="1"/>
  <c r="L287" i="39" s="1"/>
  <c r="L288" i="39" s="1"/>
  <c r="L289" i="39" s="1"/>
  <c r="L290" i="39" s="1"/>
  <c r="L291" i="39" s="1"/>
  <c r="L292" i="39" s="1"/>
  <c r="L293" i="39" s="1"/>
  <c r="L294" i="39" s="1"/>
  <c r="L295" i="39" s="1"/>
  <c r="L296" i="39" s="1"/>
  <c r="L297" i="39" s="1"/>
  <c r="L298" i="39" s="1"/>
  <c r="L299" i="39" s="1"/>
  <c r="L300" i="39" s="1"/>
  <c r="L301" i="39" s="1"/>
  <c r="L302" i="39" s="1"/>
  <c r="L303" i="39" s="1"/>
  <c r="L304" i="39" s="1"/>
  <c r="L305" i="39" s="1"/>
  <c r="L306" i="39" s="1"/>
  <c r="L307" i="39" s="1"/>
  <c r="L308" i="39" s="1"/>
  <c r="L309" i="39" s="1"/>
  <c r="L310" i="39" s="1"/>
  <c r="L311" i="39" s="1"/>
  <c r="L312" i="39" s="1"/>
  <c r="L313" i="39" s="1"/>
  <c r="L314" i="39" s="1"/>
  <c r="L315" i="39" s="1"/>
  <c r="L316" i="39" s="1"/>
  <c r="L317" i="39" s="1"/>
  <c r="L318" i="39" s="1"/>
  <c r="L319" i="39" s="1"/>
  <c r="L320" i="39" s="1"/>
  <c r="L321" i="39" s="1"/>
  <c r="L322" i="39" s="1"/>
  <c r="L323" i="39" s="1"/>
  <c r="L324" i="39" s="1"/>
  <c r="L325" i="39" s="1"/>
  <c r="L326" i="39" s="1"/>
  <c r="L327" i="39" s="1"/>
  <c r="L328" i="39" s="1"/>
  <c r="L329" i="39" s="1"/>
  <c r="L330" i="39" s="1"/>
  <c r="L331" i="39" s="1"/>
  <c r="L332" i="39" s="1"/>
  <c r="L333" i="39" s="1"/>
  <c r="L334" i="39" s="1"/>
  <c r="L335" i="39" s="1"/>
  <c r="L336" i="39" s="1"/>
  <c r="L337" i="39" s="1"/>
  <c r="L338" i="39" s="1"/>
  <c r="L339" i="39" s="1"/>
  <c r="L340" i="39" s="1"/>
  <c r="L341" i="39" s="1"/>
  <c r="L342" i="39" s="1"/>
  <c r="L343" i="39" s="1"/>
  <c r="L344" i="39" s="1"/>
  <c r="L345" i="39" s="1"/>
  <c r="L346" i="39" s="1"/>
  <c r="L347" i="39" s="1"/>
  <c r="L348" i="39" s="1"/>
  <c r="L349" i="39" s="1"/>
  <c r="L350" i="39" s="1"/>
  <c r="L351" i="39" s="1"/>
  <c r="L352" i="39" s="1"/>
  <c r="L353" i="39" s="1"/>
  <c r="L354" i="39" s="1"/>
  <c r="L355" i="39" s="1"/>
  <c r="L356" i="39" s="1"/>
  <c r="L357" i="39" s="1"/>
  <c r="L358" i="39" s="1"/>
  <c r="L359" i="39" s="1"/>
  <c r="L360" i="39" s="1"/>
  <c r="L361" i="39" s="1"/>
  <c r="L362" i="39" s="1"/>
  <c r="L363" i="39" s="1"/>
  <c r="L364" i="39" s="1"/>
  <c r="L365" i="39" s="1"/>
  <c r="L366" i="39" s="1"/>
  <c r="L367" i="39" s="1"/>
  <c r="L368" i="39" s="1"/>
  <c r="L369" i="39" s="1"/>
  <c r="L370" i="39" s="1"/>
  <c r="L371" i="39" s="1"/>
  <c r="L372" i="39" s="1"/>
  <c r="L373" i="39" s="1"/>
  <c r="L374" i="39" s="1"/>
  <c r="L375" i="39" s="1"/>
  <c r="L376" i="39" s="1"/>
  <c r="L377" i="39" s="1"/>
  <c r="L378" i="39" s="1"/>
  <c r="L379" i="39" s="1"/>
  <c r="L380" i="39" s="1"/>
  <c r="L381" i="39" s="1"/>
  <c r="L382" i="39" s="1"/>
  <c r="L383" i="39" s="1"/>
  <c r="L384" i="39" s="1"/>
  <c r="L385" i="39" s="1"/>
  <c r="L386" i="39" s="1"/>
  <c r="L387" i="39" s="1"/>
  <c r="L388" i="39" s="1"/>
  <c r="L389" i="39" s="1"/>
  <c r="L390" i="39" s="1"/>
  <c r="L391" i="39" s="1"/>
  <c r="L392" i="39" s="1"/>
  <c r="L393" i="39" s="1"/>
  <c r="L394" i="39" s="1"/>
  <c r="L395" i="39" s="1"/>
  <c r="L396" i="39" s="1"/>
  <c r="L397" i="39" s="1"/>
  <c r="L398" i="39" s="1"/>
  <c r="L399" i="39" s="1"/>
  <c r="L400" i="39" s="1"/>
  <c r="L401" i="39" s="1"/>
  <c r="R47" i="39"/>
  <c r="Q47" i="39"/>
  <c r="N47" i="39"/>
  <c r="P6" i="39"/>
  <c r="O6" i="39"/>
  <c r="R6" i="39"/>
  <c r="N6" i="39"/>
  <c r="P8" i="39"/>
  <c r="O8" i="39"/>
  <c r="R8" i="39"/>
  <c r="N8" i="39"/>
  <c r="P10" i="39"/>
  <c r="O10" i="39"/>
  <c r="R10" i="39"/>
  <c r="N10" i="39"/>
  <c r="P12" i="39"/>
  <c r="O12" i="39"/>
  <c r="R12" i="39"/>
  <c r="N12" i="39"/>
  <c r="P13" i="39"/>
  <c r="O13" i="39"/>
  <c r="R13" i="39"/>
  <c r="N13" i="39"/>
  <c r="P14" i="39"/>
  <c r="O14" i="39"/>
  <c r="R14" i="39"/>
  <c r="N14" i="39"/>
  <c r="P15" i="39"/>
  <c r="O15" i="39"/>
  <c r="R15" i="39"/>
  <c r="N15" i="39"/>
  <c r="P16" i="39"/>
  <c r="O16" i="39"/>
  <c r="R16" i="39"/>
  <c r="N16" i="39"/>
  <c r="P17" i="39"/>
  <c r="O17" i="39"/>
  <c r="R17" i="39"/>
  <c r="N17" i="39"/>
  <c r="P18" i="39"/>
  <c r="O18" i="39"/>
  <c r="R18" i="39"/>
  <c r="N18" i="39"/>
  <c r="P19" i="39"/>
  <c r="O19" i="39"/>
  <c r="R19" i="39"/>
  <c r="N19" i="39"/>
  <c r="P20" i="39"/>
  <c r="O20" i="39"/>
  <c r="R20" i="39"/>
  <c r="N20" i="39"/>
  <c r="P22" i="39"/>
  <c r="O22" i="39"/>
  <c r="R22" i="39"/>
  <c r="N22" i="39"/>
  <c r="P23" i="39"/>
  <c r="O23" i="39"/>
  <c r="R23" i="39"/>
  <c r="N23" i="39"/>
  <c r="P24" i="39"/>
  <c r="O24" i="39"/>
  <c r="R24" i="39"/>
  <c r="N24" i="39"/>
  <c r="P25" i="39"/>
  <c r="O25" i="39"/>
  <c r="R25" i="39"/>
  <c r="N25" i="39"/>
  <c r="P26" i="39"/>
  <c r="O26" i="39"/>
  <c r="R26" i="39"/>
  <c r="N26" i="39"/>
  <c r="P27" i="39"/>
  <c r="O27" i="39"/>
  <c r="R27" i="39"/>
  <c r="N27" i="39"/>
  <c r="P28" i="39"/>
  <c r="O28" i="39"/>
  <c r="R28" i="39"/>
  <c r="N28" i="39"/>
  <c r="P29" i="39"/>
  <c r="O29" i="39"/>
  <c r="R29" i="39"/>
  <c r="N29" i="39"/>
  <c r="P30" i="39"/>
  <c r="O30" i="39"/>
  <c r="R30" i="39"/>
  <c r="N30" i="39"/>
  <c r="P31" i="39"/>
  <c r="O31" i="39"/>
  <c r="R31" i="39"/>
  <c r="N31" i="39"/>
  <c r="P32" i="39"/>
  <c r="O32" i="39"/>
  <c r="R32" i="39"/>
  <c r="N32" i="39"/>
  <c r="P33" i="39"/>
  <c r="O33" i="39"/>
  <c r="R33" i="39"/>
  <c r="N33" i="39"/>
  <c r="P34" i="39"/>
  <c r="O34" i="39"/>
  <c r="R34" i="39"/>
  <c r="N34" i="39"/>
  <c r="P35" i="39"/>
  <c r="O35" i="39"/>
  <c r="R35" i="39"/>
  <c r="N35" i="39"/>
  <c r="P36" i="39"/>
  <c r="O36" i="39"/>
  <c r="R36" i="39"/>
  <c r="N36" i="39"/>
  <c r="P37" i="39"/>
  <c r="O37" i="39"/>
  <c r="R37" i="39"/>
  <c r="N37" i="39"/>
  <c r="P38" i="39"/>
  <c r="O38" i="39"/>
  <c r="R38" i="39"/>
  <c r="N38" i="39"/>
  <c r="P39" i="39"/>
  <c r="O39" i="39"/>
  <c r="R39" i="39"/>
  <c r="N39" i="39"/>
  <c r="Q39" i="39"/>
  <c r="P7" i="39"/>
  <c r="O7" i="39"/>
  <c r="R7" i="39"/>
  <c r="N7" i="39"/>
  <c r="P9" i="39"/>
  <c r="O9" i="39"/>
  <c r="R9" i="39"/>
  <c r="N9" i="39"/>
  <c r="P11" i="39"/>
  <c r="O11" i="39"/>
  <c r="R11" i="39"/>
  <c r="N11" i="39"/>
  <c r="P21" i="39"/>
  <c r="O21" i="39"/>
  <c r="R21" i="39"/>
  <c r="N21" i="39"/>
  <c r="Q6" i="39"/>
  <c r="Q7" i="39"/>
  <c r="Q8" i="39"/>
  <c r="Q9" i="39"/>
  <c r="Q10" i="39"/>
  <c r="Q11" i="39"/>
  <c r="Q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38" i="39"/>
  <c r="Q41" i="39"/>
  <c r="Q45" i="39"/>
  <c r="N40" i="39"/>
  <c r="R40" i="39"/>
  <c r="N41" i="39"/>
  <c r="R41" i="39"/>
  <c r="N42" i="39"/>
  <c r="R42" i="39"/>
  <c r="N43" i="39"/>
  <c r="R43" i="39"/>
  <c r="N44" i="39"/>
  <c r="R44" i="39"/>
  <c r="N45" i="39"/>
  <c r="R45" i="39"/>
  <c r="Q40" i="39"/>
  <c r="Q42" i="39"/>
  <c r="Q43" i="39"/>
  <c r="O40" i="39"/>
  <c r="O41" i="39"/>
  <c r="O42" i="39"/>
  <c r="O43" i="39"/>
  <c r="O44" i="39"/>
  <c r="O45" i="39"/>
  <c r="P52" i="39"/>
  <c r="N52" i="39"/>
  <c r="O52" i="39"/>
  <c r="R52" i="39"/>
  <c r="P54" i="39"/>
  <c r="N54" i="39"/>
  <c r="O54" i="39"/>
  <c r="R54" i="39"/>
  <c r="P56" i="39"/>
  <c r="R56" i="39"/>
  <c r="O56" i="39"/>
  <c r="N56" i="39"/>
  <c r="P58" i="39"/>
  <c r="R58" i="39"/>
  <c r="O58" i="39"/>
  <c r="N58" i="39"/>
  <c r="P60" i="39"/>
  <c r="R60" i="39"/>
  <c r="O60" i="39"/>
  <c r="N60" i="39"/>
  <c r="P62" i="39"/>
  <c r="R62" i="39"/>
  <c r="O62" i="39"/>
  <c r="N62" i="39"/>
  <c r="P63" i="39"/>
  <c r="R63" i="39"/>
  <c r="O63" i="39"/>
  <c r="N63" i="39"/>
  <c r="P65" i="39"/>
  <c r="R65" i="39"/>
  <c r="O65" i="39"/>
  <c r="N65" i="39"/>
  <c r="P67" i="39"/>
  <c r="R67" i="39"/>
  <c r="O67" i="39"/>
  <c r="N67" i="39"/>
  <c r="P69" i="39"/>
  <c r="R69" i="39"/>
  <c r="O69" i="39"/>
  <c r="N69" i="39"/>
  <c r="P71" i="39"/>
  <c r="R71" i="39"/>
  <c r="O71" i="39"/>
  <c r="N71" i="39"/>
  <c r="P73" i="39"/>
  <c r="R73" i="39"/>
  <c r="N73" i="39"/>
  <c r="O73" i="39"/>
  <c r="P75" i="39"/>
  <c r="R75" i="39"/>
  <c r="N75" i="39"/>
  <c r="O75" i="39"/>
  <c r="P77" i="39"/>
  <c r="R77" i="39"/>
  <c r="N77" i="39"/>
  <c r="O77" i="39"/>
  <c r="P79" i="39"/>
  <c r="R79" i="39"/>
  <c r="N79" i="39"/>
  <c r="O79" i="39"/>
  <c r="P81" i="39"/>
  <c r="R81" i="39"/>
  <c r="N81" i="39"/>
  <c r="O81" i="39"/>
  <c r="P82" i="39"/>
  <c r="R82" i="39"/>
  <c r="N82" i="39"/>
  <c r="O82" i="39"/>
  <c r="P85" i="39"/>
  <c r="R85" i="39"/>
  <c r="O85" i="39"/>
  <c r="N85" i="39"/>
  <c r="P46" i="39"/>
  <c r="O46" i="39"/>
  <c r="Q85" i="39"/>
  <c r="N46" i="39"/>
  <c r="P53" i="39"/>
  <c r="N53" i="39"/>
  <c r="O53" i="39"/>
  <c r="R53" i="39"/>
  <c r="P55" i="39"/>
  <c r="N55" i="39"/>
  <c r="O55" i="39"/>
  <c r="R55" i="39"/>
  <c r="P57" i="39"/>
  <c r="R57" i="39"/>
  <c r="O57" i="39"/>
  <c r="N57" i="39"/>
  <c r="P59" i="39"/>
  <c r="R59" i="39"/>
  <c r="O59" i="39"/>
  <c r="N59" i="39"/>
  <c r="P61" i="39"/>
  <c r="R61" i="39"/>
  <c r="O61" i="39"/>
  <c r="N61" i="39"/>
  <c r="P64" i="39"/>
  <c r="R64" i="39"/>
  <c r="O64" i="39"/>
  <c r="N64" i="39"/>
  <c r="P66" i="39"/>
  <c r="R66" i="39"/>
  <c r="O66" i="39"/>
  <c r="N66" i="39"/>
  <c r="P68" i="39"/>
  <c r="R68" i="39"/>
  <c r="O68" i="39"/>
  <c r="N68" i="39"/>
  <c r="P70" i="39"/>
  <c r="R70" i="39"/>
  <c r="O70" i="39"/>
  <c r="N70" i="39"/>
  <c r="P72" i="39"/>
  <c r="R72" i="39"/>
  <c r="O72" i="39"/>
  <c r="N72" i="39"/>
  <c r="P74" i="39"/>
  <c r="R74" i="39"/>
  <c r="O74" i="39"/>
  <c r="N74" i="39"/>
  <c r="P76" i="39"/>
  <c r="R76" i="39"/>
  <c r="N76" i="39"/>
  <c r="O76" i="39"/>
  <c r="P78" i="39"/>
  <c r="R78" i="39"/>
  <c r="N78" i="39"/>
  <c r="O78" i="39"/>
  <c r="P80" i="39"/>
  <c r="R80" i="39"/>
  <c r="N80" i="39"/>
  <c r="O80" i="39"/>
  <c r="P83" i="39"/>
  <c r="R83" i="39"/>
  <c r="N83" i="39"/>
  <c r="O83" i="39"/>
  <c r="P84" i="39"/>
  <c r="R84" i="39"/>
  <c r="N84" i="39"/>
  <c r="O84" i="39"/>
  <c r="P48" i="39"/>
  <c r="O48" i="39"/>
  <c r="Q52" i="39"/>
  <c r="Q54" i="39"/>
  <c r="Q56" i="39"/>
  <c r="Q57" i="39"/>
  <c r="Q58" i="39"/>
  <c r="Q60" i="39"/>
  <c r="Q61" i="39"/>
  <c r="Q62" i="39"/>
  <c r="Q63" i="39"/>
  <c r="Q64" i="39"/>
  <c r="Q65" i="39"/>
  <c r="Q66" i="39"/>
  <c r="Q67" i="39"/>
  <c r="Q68" i="39"/>
  <c r="Q69" i="39"/>
  <c r="Q70" i="39"/>
  <c r="Q71" i="39"/>
  <c r="Q72" i="39"/>
  <c r="Q73" i="39"/>
  <c r="Q74" i="39"/>
  <c r="Q75" i="39"/>
  <c r="Q76" i="39"/>
  <c r="Q77" i="39"/>
  <c r="Q78" i="39"/>
  <c r="Q79" i="39"/>
  <c r="Q80" i="39"/>
  <c r="Q81" i="39"/>
  <c r="Q82" i="39"/>
  <c r="Q83" i="39"/>
  <c r="Q84" i="39"/>
  <c r="P124" i="39"/>
  <c r="Q124" i="39"/>
  <c r="Q46" i="39"/>
  <c r="P47" i="39"/>
  <c r="O47" i="39"/>
  <c r="Q48" i="39"/>
  <c r="P49" i="39"/>
  <c r="O49" i="39"/>
  <c r="R49" i="39"/>
  <c r="N49" i="39"/>
  <c r="P50" i="39"/>
  <c r="O50" i="39"/>
  <c r="R50" i="39"/>
  <c r="N50" i="39"/>
  <c r="P51" i="39"/>
  <c r="O51" i="39"/>
  <c r="R51" i="39"/>
  <c r="P113" i="39"/>
  <c r="O113" i="39"/>
  <c r="R113" i="39"/>
  <c r="N113" i="39"/>
  <c r="Q113" i="39"/>
  <c r="P87" i="39"/>
  <c r="O87" i="39"/>
  <c r="R87" i="39"/>
  <c r="N87" i="39"/>
  <c r="P88" i="39"/>
  <c r="O88" i="39"/>
  <c r="R88" i="39"/>
  <c r="N88" i="39"/>
  <c r="P89" i="39"/>
  <c r="O89" i="39"/>
  <c r="R89" i="39"/>
  <c r="N89" i="39"/>
  <c r="P90" i="39"/>
  <c r="O90" i="39"/>
  <c r="R90" i="39"/>
  <c r="N90" i="39"/>
  <c r="P91" i="39"/>
  <c r="O91" i="39"/>
  <c r="R91" i="39"/>
  <c r="N91" i="39"/>
  <c r="P92" i="39"/>
  <c r="O92" i="39"/>
  <c r="R92" i="39"/>
  <c r="N92" i="39"/>
  <c r="P93" i="39"/>
  <c r="O93" i="39"/>
  <c r="R93" i="39"/>
  <c r="N93" i="39"/>
  <c r="P94" i="39"/>
  <c r="O94" i="39"/>
  <c r="R94" i="39"/>
  <c r="N94" i="39"/>
  <c r="P97" i="39"/>
  <c r="O97" i="39"/>
  <c r="R97" i="39"/>
  <c r="N97" i="39"/>
  <c r="P98" i="39"/>
  <c r="O98" i="39"/>
  <c r="R98" i="39"/>
  <c r="N98" i="39"/>
  <c r="P99" i="39"/>
  <c r="O99" i="39"/>
  <c r="R99" i="39"/>
  <c r="N99" i="39"/>
  <c r="P100" i="39"/>
  <c r="O100" i="39"/>
  <c r="R100" i="39"/>
  <c r="N100" i="39"/>
  <c r="P101" i="39"/>
  <c r="O101" i="39"/>
  <c r="R101" i="39"/>
  <c r="N101" i="39"/>
  <c r="P102" i="39"/>
  <c r="O102" i="39"/>
  <c r="R102" i="39"/>
  <c r="N102" i="39"/>
  <c r="P103" i="39"/>
  <c r="O103" i="39"/>
  <c r="R103" i="39"/>
  <c r="N103" i="39"/>
  <c r="P104" i="39"/>
  <c r="O104" i="39"/>
  <c r="R104" i="39"/>
  <c r="N104" i="39"/>
  <c r="P105" i="39"/>
  <c r="O105" i="39"/>
  <c r="R105" i="39"/>
  <c r="N105" i="39"/>
  <c r="P106" i="39"/>
  <c r="O106" i="39"/>
  <c r="R106" i="39"/>
  <c r="N106" i="39"/>
  <c r="P107" i="39"/>
  <c r="O107" i="39"/>
  <c r="R107" i="39"/>
  <c r="N107" i="39"/>
  <c r="P108" i="39"/>
  <c r="O108" i="39"/>
  <c r="R108" i="39"/>
  <c r="N108" i="39"/>
  <c r="P109" i="39"/>
  <c r="O109" i="39"/>
  <c r="R109" i="39"/>
  <c r="N109" i="39"/>
  <c r="P110" i="39"/>
  <c r="O110" i="39"/>
  <c r="R110" i="39"/>
  <c r="N110" i="39"/>
  <c r="P111" i="39"/>
  <c r="O111" i="39"/>
  <c r="R111" i="39"/>
  <c r="N111" i="39"/>
  <c r="P112" i="39"/>
  <c r="Q112" i="39"/>
  <c r="O112" i="39"/>
  <c r="R112" i="39"/>
  <c r="N112" i="39"/>
  <c r="P86" i="39"/>
  <c r="O86" i="39"/>
  <c r="R86" i="39"/>
  <c r="N86" i="39"/>
  <c r="P96" i="39"/>
  <c r="O96" i="39"/>
  <c r="R96" i="39"/>
  <c r="N96" i="39"/>
  <c r="Q86" i="39"/>
  <c r="Q87" i="39"/>
  <c r="Q88" i="39"/>
  <c r="Q89" i="39"/>
  <c r="Q90" i="39"/>
  <c r="Q91" i="39"/>
  <c r="Q92" i="39"/>
  <c r="Q93" i="39"/>
  <c r="Q94" i="39"/>
  <c r="Q96" i="39"/>
  <c r="Q97" i="39"/>
  <c r="Q98" i="39"/>
  <c r="Q99" i="39"/>
  <c r="Q100" i="39"/>
  <c r="Q101" i="39"/>
  <c r="Q102" i="39"/>
  <c r="Q103" i="39"/>
  <c r="Q104" i="39"/>
  <c r="Q105" i="39"/>
  <c r="Q106" i="39"/>
  <c r="Q107" i="39"/>
  <c r="Q108" i="39"/>
  <c r="Q109" i="39"/>
  <c r="Q110" i="39"/>
  <c r="Q111" i="39"/>
  <c r="P95" i="39"/>
  <c r="O95" i="39"/>
  <c r="R95" i="39"/>
  <c r="N95" i="39"/>
  <c r="Q114" i="39"/>
  <c r="Q121" i="39"/>
  <c r="Q123" i="39"/>
  <c r="Q125" i="39"/>
  <c r="N114" i="39"/>
  <c r="R114" i="39"/>
  <c r="N115" i="39"/>
  <c r="R115" i="39"/>
  <c r="N116" i="39"/>
  <c r="R116" i="39"/>
  <c r="N117" i="39"/>
  <c r="R117" i="39"/>
  <c r="N118" i="39"/>
  <c r="R118" i="39"/>
  <c r="N119" i="39"/>
  <c r="R119" i="39"/>
  <c r="N120" i="39"/>
  <c r="R120" i="39"/>
  <c r="N121" i="39"/>
  <c r="R121" i="39"/>
  <c r="N122" i="39"/>
  <c r="R122" i="39"/>
  <c r="N123" i="39"/>
  <c r="R123" i="39"/>
  <c r="N124" i="39"/>
  <c r="R124" i="39"/>
  <c r="N125" i="39"/>
  <c r="R125" i="39"/>
  <c r="Q116" i="39"/>
  <c r="Q117" i="39"/>
  <c r="Q122" i="39"/>
  <c r="O114" i="39"/>
  <c r="O115" i="39"/>
  <c r="O116" i="39"/>
  <c r="O117" i="39"/>
  <c r="O118" i="39"/>
  <c r="O119" i="39"/>
  <c r="O120" i="39"/>
  <c r="O121" i="39"/>
  <c r="O122" i="39"/>
  <c r="O123" i="39"/>
  <c r="O124" i="39"/>
  <c r="O125" i="39"/>
  <c r="Q115" i="39"/>
  <c r="Q118" i="39"/>
  <c r="Q119" i="39"/>
  <c r="Q120" i="39"/>
  <c r="Q127" i="39"/>
  <c r="Q129" i="39"/>
  <c r="Q132" i="39"/>
  <c r="Q133" i="39"/>
  <c r="R126" i="39"/>
  <c r="R127" i="39"/>
  <c r="R128" i="39"/>
  <c r="N129" i="39"/>
  <c r="R129" i="39"/>
  <c r="N130" i="39"/>
  <c r="R130" i="39"/>
  <c r="N131" i="39"/>
  <c r="R131" i="39"/>
  <c r="N132" i="39"/>
  <c r="R132" i="39"/>
  <c r="R133" i="39"/>
  <c r="O126" i="39"/>
  <c r="O127" i="39"/>
  <c r="O128" i="39"/>
  <c r="O129" i="39"/>
  <c r="O130" i="39"/>
  <c r="O131" i="39"/>
  <c r="O132" i="39"/>
  <c r="O133" i="39"/>
  <c r="Q126" i="39"/>
  <c r="Q128" i="39"/>
  <c r="Q130" i="39"/>
  <c r="Q131" i="39"/>
  <c r="N126" i="39"/>
  <c r="N127" i="39"/>
  <c r="N128" i="39"/>
  <c r="N133" i="39"/>
  <c r="Q139" i="39"/>
  <c r="Q141" i="39"/>
  <c r="N134" i="39"/>
  <c r="R134" i="39"/>
  <c r="N135" i="39"/>
  <c r="R135" i="39"/>
  <c r="N136" i="39"/>
  <c r="R136" i="39"/>
  <c r="N137" i="39"/>
  <c r="R137" i="39"/>
  <c r="N138" i="39"/>
  <c r="R138" i="39"/>
  <c r="N139" i="39"/>
  <c r="R139" i="39"/>
  <c r="N140" i="39"/>
  <c r="R140" i="39"/>
  <c r="N141" i="39"/>
  <c r="R141" i="39"/>
  <c r="Q134" i="39"/>
  <c r="Q137" i="39"/>
  <c r="Q138" i="39"/>
  <c r="O134" i="39"/>
  <c r="O135" i="39"/>
  <c r="O136" i="39"/>
  <c r="O137" i="39"/>
  <c r="O138" i="39"/>
  <c r="O139" i="39"/>
  <c r="O140" i="39"/>
  <c r="O141" i="39"/>
  <c r="Q135" i="39"/>
  <c r="Q136" i="39"/>
  <c r="Q140" i="39"/>
  <c r="Q142" i="39"/>
  <c r="Q143" i="39"/>
  <c r="Q144" i="39"/>
  <c r="Q145" i="39"/>
  <c r="Q146" i="39"/>
  <c r="Q147" i="39"/>
  <c r="Q148" i="39"/>
  <c r="Q149" i="39"/>
  <c r="N142" i="39"/>
  <c r="R142" i="39"/>
  <c r="N143" i="39"/>
  <c r="R143" i="39"/>
  <c r="N144" i="39"/>
  <c r="R144" i="39"/>
  <c r="N145" i="39"/>
  <c r="R145" i="39"/>
  <c r="N146" i="39"/>
  <c r="R146" i="39"/>
  <c r="N147" i="39"/>
  <c r="R147" i="39"/>
  <c r="N148" i="39"/>
  <c r="R148" i="39"/>
  <c r="N149" i="39"/>
  <c r="R149" i="39"/>
  <c r="O142" i="39"/>
  <c r="O143" i="39"/>
  <c r="O144" i="39"/>
  <c r="O145" i="39"/>
  <c r="O146" i="39"/>
  <c r="O147" i="39"/>
  <c r="O148" i="39"/>
  <c r="O149" i="39"/>
  <c r="Q151" i="39"/>
  <c r="Q154" i="39"/>
  <c r="Q230" i="39"/>
  <c r="Q231" i="39"/>
  <c r="Q232" i="39"/>
  <c r="O233" i="39"/>
  <c r="O236" i="39"/>
  <c r="O237" i="39"/>
  <c r="O400" i="39"/>
  <c r="R150" i="39"/>
  <c r="R151" i="39"/>
  <c r="R152" i="39"/>
  <c r="R153" i="39"/>
  <c r="R154" i="39"/>
  <c r="R232" i="39"/>
  <c r="Q150" i="39"/>
  <c r="Q152" i="39"/>
  <c r="Q153" i="39"/>
  <c r="O234" i="39"/>
  <c r="O235" i="39"/>
  <c r="O238" i="39"/>
  <c r="O239" i="39"/>
  <c r="N150" i="39"/>
  <c r="N151" i="39"/>
  <c r="N152" i="39"/>
  <c r="N153" i="39"/>
  <c r="N154" i="39"/>
  <c r="N230" i="39"/>
  <c r="R230" i="39"/>
  <c r="N231" i="39"/>
  <c r="R231" i="39"/>
  <c r="N232" i="39"/>
  <c r="O150" i="39"/>
  <c r="O151" i="39"/>
  <c r="O152" i="39"/>
  <c r="O153" i="39"/>
  <c r="O154" i="39"/>
  <c r="O230" i="39"/>
  <c r="O231" i="39"/>
  <c r="O232" i="39"/>
  <c r="Q233" i="39"/>
  <c r="Q234" i="39"/>
  <c r="Q235" i="39"/>
  <c r="Q236" i="39"/>
  <c r="Q237" i="39"/>
  <c r="Q238" i="39"/>
  <c r="Q239" i="39"/>
  <c r="Q400" i="39"/>
  <c r="N233" i="39"/>
  <c r="R233" i="39"/>
  <c r="N234" i="39"/>
  <c r="R234" i="39"/>
  <c r="N235" i="39"/>
  <c r="R235" i="39"/>
  <c r="N236" i="39"/>
  <c r="R236" i="39"/>
  <c r="N237" i="39"/>
  <c r="R237" i="39"/>
  <c r="N238" i="39"/>
  <c r="R238" i="39"/>
  <c r="N239" i="39"/>
  <c r="R239" i="39"/>
  <c r="N400" i="39"/>
  <c r="R400" i="39"/>
  <c r="N660" i="49"/>
  <c r="Q660" i="49"/>
  <c r="R660" i="49"/>
  <c r="O660" i="49"/>
  <c r="L664" i="49"/>
  <c r="L665" i="49" s="1"/>
  <c r="L666" i="49" s="1"/>
  <c r="L667" i="49" s="1"/>
  <c r="L668" i="49" s="1"/>
  <c r="L669" i="49" s="1"/>
  <c r="L670" i="49" s="1"/>
  <c r="L671" i="49" s="1"/>
  <c r="L672" i="49" s="1"/>
  <c r="L673" i="49" s="1"/>
  <c r="L674" i="49" s="1"/>
  <c r="L675" i="49" s="1"/>
  <c r="L676" i="49" s="1"/>
  <c r="L677" i="49" s="1"/>
  <c r="L678" i="49" s="1"/>
  <c r="L679" i="49" s="1"/>
  <c r="L680" i="49" s="1"/>
  <c r="L681" i="49" s="1"/>
  <c r="L682" i="49" s="1"/>
  <c r="L683" i="49" s="1"/>
  <c r="L684" i="49" s="1"/>
  <c r="L685" i="49" s="1"/>
  <c r="L686" i="49" s="1"/>
  <c r="L687" i="49" s="1"/>
  <c r="L688" i="49" s="1"/>
  <c r="L689" i="49" s="1"/>
  <c r="L690" i="49" s="1"/>
  <c r="L691" i="49" s="1"/>
  <c r="L692" i="49" s="1"/>
  <c r="L693" i="49" s="1"/>
  <c r="L694" i="49" s="1"/>
  <c r="L695" i="49" s="1"/>
  <c r="L696" i="49" s="1"/>
  <c r="L697" i="49" s="1"/>
  <c r="L698" i="49" s="1"/>
  <c r="L699" i="49" s="1"/>
  <c r="L700" i="49" s="1"/>
  <c r="L701" i="49" s="1"/>
  <c r="L702" i="49" s="1"/>
  <c r="L703" i="49" s="1"/>
  <c r="L704" i="49" s="1"/>
  <c r="L705" i="49" s="1"/>
  <c r="L706" i="49" s="1"/>
  <c r="L707" i="49" s="1"/>
  <c r="L708" i="49" s="1"/>
  <c r="L709" i="49" s="1"/>
  <c r="L710" i="49" s="1"/>
  <c r="L711" i="49" s="1"/>
  <c r="L712" i="49" s="1"/>
  <c r="L713" i="49" s="1"/>
  <c r="L714" i="49" s="1"/>
  <c r="L715" i="49" s="1"/>
  <c r="L716" i="49" s="1"/>
  <c r="L717" i="49" s="1"/>
  <c r="L718" i="49" s="1"/>
  <c r="L719" i="49" s="1"/>
  <c r="L720" i="49" s="1"/>
  <c r="L721" i="49" s="1"/>
  <c r="L722" i="49" s="1"/>
  <c r="L723" i="49" s="1"/>
  <c r="L724" i="49" s="1"/>
  <c r="L725" i="49" s="1"/>
  <c r="L726" i="49" s="1"/>
  <c r="L727" i="49" s="1"/>
  <c r="L728" i="49" s="1"/>
  <c r="L729" i="49" s="1"/>
  <c r="L730" i="49" s="1"/>
  <c r="L731" i="49" s="1"/>
  <c r="L732" i="49" s="1"/>
  <c r="L733" i="49" s="1"/>
  <c r="L734" i="49" s="1"/>
  <c r="L735" i="49" s="1"/>
  <c r="L736" i="49" s="1"/>
  <c r="L737" i="49" s="1"/>
  <c r="L738" i="49" s="1"/>
  <c r="L739" i="49" s="1"/>
  <c r="L740" i="49" s="1"/>
  <c r="L741" i="49" s="1"/>
  <c r="L742" i="49" s="1"/>
  <c r="L743" i="49" s="1"/>
  <c r="L744" i="49" s="1"/>
  <c r="L745" i="49" s="1"/>
  <c r="L746" i="49" s="1"/>
  <c r="L747" i="49" s="1"/>
  <c r="L748" i="49" s="1"/>
  <c r="L749" i="49" s="1"/>
  <c r="L750" i="49" s="1"/>
  <c r="L751" i="49" s="1"/>
  <c r="L752" i="49" s="1"/>
  <c r="L753" i="49" s="1"/>
  <c r="L754" i="49" s="1"/>
  <c r="L755" i="49" s="1"/>
  <c r="L756" i="49" s="1"/>
  <c r="L757" i="49" s="1"/>
  <c r="L758" i="49" s="1"/>
  <c r="L759" i="49" s="1"/>
  <c r="L760" i="49" s="1"/>
  <c r="L761" i="49" s="1"/>
  <c r="L762" i="49" s="1"/>
  <c r="L763" i="49" s="1"/>
  <c r="L764" i="49" s="1"/>
  <c r="L765" i="49" s="1"/>
  <c r="L766" i="49" s="1"/>
  <c r="L767" i="49" s="1"/>
  <c r="L768" i="49" s="1"/>
  <c r="L769" i="49" s="1"/>
  <c r="L770" i="49" s="1"/>
  <c r="L771" i="49" s="1"/>
  <c r="L772" i="49" s="1"/>
  <c r="L773" i="49" s="1"/>
  <c r="L774" i="49" s="1"/>
  <c r="L775" i="49" s="1"/>
  <c r="L776" i="49" s="1"/>
  <c r="L777" i="49" s="1"/>
  <c r="L778" i="49" s="1"/>
  <c r="L779" i="49" s="1"/>
  <c r="L780" i="49" s="1"/>
  <c r="L781" i="49" s="1"/>
  <c r="L782" i="49" s="1"/>
  <c r="L783" i="49" s="1"/>
  <c r="L784" i="49" s="1"/>
  <c r="L785" i="49" s="1"/>
  <c r="L786" i="49" s="1"/>
  <c r="L787" i="49" s="1"/>
  <c r="L788" i="49" s="1"/>
  <c r="L789" i="49" s="1"/>
  <c r="L790" i="49" s="1"/>
  <c r="L791" i="49" s="1"/>
  <c r="L792" i="49" s="1"/>
  <c r="L793" i="49" s="1"/>
  <c r="L794" i="49" s="1"/>
  <c r="L795" i="49" s="1"/>
  <c r="L796" i="49" s="1"/>
  <c r="L797" i="49" s="1"/>
  <c r="L798" i="49" s="1"/>
  <c r="L799" i="49" s="1"/>
  <c r="L800" i="49" s="1"/>
  <c r="L801" i="49" s="1"/>
  <c r="L802" i="49" s="1"/>
  <c r="L803" i="49" s="1"/>
  <c r="L804" i="49" s="1"/>
  <c r="L805" i="49" s="1"/>
  <c r="L806" i="49" s="1"/>
  <c r="L807" i="49" s="1"/>
  <c r="L808" i="49" s="1"/>
  <c r="L809" i="49" s="1"/>
  <c r="L810" i="49" s="1"/>
  <c r="L811" i="49" s="1"/>
  <c r="L812" i="49" s="1"/>
  <c r="L813" i="49" s="1"/>
  <c r="L814" i="49" s="1"/>
  <c r="L815" i="49" s="1"/>
  <c r="L816" i="49" s="1"/>
  <c r="L817" i="49" s="1"/>
  <c r="L818" i="49" s="1"/>
  <c r="L819" i="49" s="1"/>
  <c r="L820" i="49" s="1"/>
  <c r="L821" i="49" s="1"/>
  <c r="L822" i="49" s="1"/>
  <c r="L823" i="49" s="1"/>
  <c r="L824" i="49" s="1"/>
  <c r="L825" i="49" s="1"/>
  <c r="L826" i="49" s="1"/>
  <c r="L827" i="49" s="1"/>
  <c r="L828" i="49" s="1"/>
  <c r="L829" i="49" s="1"/>
  <c r="L830" i="49" s="1"/>
  <c r="L831" i="49" s="1"/>
  <c r="L832" i="49" s="1"/>
  <c r="L833" i="49" s="1"/>
  <c r="L834" i="49" s="1"/>
  <c r="L835" i="49" s="1"/>
  <c r="L836" i="49" s="1"/>
  <c r="L837" i="49" s="1"/>
  <c r="L838" i="49" s="1"/>
  <c r="L839" i="49" s="1"/>
  <c r="L840" i="49" s="1"/>
  <c r="L841" i="49" s="1"/>
  <c r="L842" i="49" s="1"/>
  <c r="L843" i="49" s="1"/>
  <c r="L844" i="49" s="1"/>
  <c r="L845" i="49" s="1"/>
  <c r="L846" i="49" s="1"/>
  <c r="L847" i="49" s="1"/>
  <c r="L848" i="49" s="1"/>
  <c r="L849" i="49" s="1"/>
  <c r="L850" i="49" s="1"/>
  <c r="L851" i="49" s="1"/>
  <c r="L852" i="49" s="1"/>
  <c r="L853" i="49" s="1"/>
  <c r="L854" i="49" s="1"/>
  <c r="L855" i="49" s="1"/>
  <c r="L856" i="49" s="1"/>
  <c r="L857" i="49" s="1"/>
  <c r="L858" i="49" s="1"/>
  <c r="L859" i="49" s="1"/>
  <c r="L860" i="49" s="1"/>
  <c r="L861" i="49" s="1"/>
  <c r="L862" i="49" s="1"/>
  <c r="L863" i="49" s="1"/>
  <c r="L864" i="49" s="1"/>
  <c r="L865" i="49" s="1"/>
  <c r="L866" i="49" s="1"/>
  <c r="L867" i="49" s="1"/>
  <c r="L868" i="49" s="1"/>
  <c r="L869" i="49" s="1"/>
  <c r="L870" i="49" s="1"/>
  <c r="L871" i="49" s="1"/>
  <c r="L872" i="49" s="1"/>
  <c r="L873" i="49" s="1"/>
  <c r="L874" i="49" s="1"/>
  <c r="L875" i="49" s="1"/>
  <c r="L876" i="49" s="1"/>
  <c r="L877" i="49" s="1"/>
  <c r="L878" i="49" s="1"/>
  <c r="L879" i="49" s="1"/>
  <c r="L880" i="49" s="1"/>
  <c r="L881" i="49" s="1"/>
  <c r="L882" i="49" s="1"/>
  <c r="L883" i="49" s="1"/>
  <c r="L884" i="49" s="1"/>
  <c r="L885" i="49" s="1"/>
  <c r="L886" i="49" s="1"/>
  <c r="L887" i="49" s="1"/>
  <c r="L888" i="49" s="1"/>
  <c r="L889" i="49" s="1"/>
  <c r="L890" i="49" s="1"/>
  <c r="L891" i="49" s="1"/>
  <c r="L892" i="49" s="1"/>
  <c r="L893" i="49" s="1"/>
  <c r="L894" i="49" s="1"/>
  <c r="L895" i="49" s="1"/>
  <c r="L896" i="49" s="1"/>
  <c r="L897" i="49" s="1"/>
  <c r="L898" i="49" s="1"/>
  <c r="L899" i="49" s="1"/>
  <c r="L900" i="49" s="1"/>
  <c r="L901" i="49" s="1"/>
  <c r="L902" i="49" s="1"/>
  <c r="L903" i="49" s="1"/>
  <c r="L904" i="49" s="1"/>
  <c r="L905" i="49" s="1"/>
  <c r="L906" i="49" s="1"/>
  <c r="L907" i="49" s="1"/>
  <c r="L908" i="49" s="1"/>
  <c r="L909" i="49" s="1"/>
  <c r="L910" i="49" s="1"/>
  <c r="L911" i="49" s="1"/>
  <c r="L912" i="49" s="1"/>
  <c r="L913" i="49" s="1"/>
  <c r="L914" i="49" s="1"/>
  <c r="L915" i="49" s="1"/>
  <c r="L916" i="49" s="1"/>
  <c r="L917" i="49" s="1"/>
  <c r="L918" i="49" s="1"/>
  <c r="L919" i="49" s="1"/>
  <c r="L920" i="49" s="1"/>
  <c r="L921" i="49" s="1"/>
  <c r="L922" i="49" s="1"/>
  <c r="L923" i="49" s="1"/>
  <c r="L924" i="49" s="1"/>
  <c r="L925" i="49" s="1"/>
  <c r="L926" i="49" s="1"/>
  <c r="L927" i="49" s="1"/>
  <c r="L928" i="49" s="1"/>
  <c r="L929" i="49" s="1"/>
  <c r="L930" i="49" s="1"/>
  <c r="L931" i="49" s="1"/>
  <c r="L932" i="49" s="1"/>
  <c r="L933" i="49" s="1"/>
  <c r="L934" i="49" s="1"/>
  <c r="L935" i="49" s="1"/>
  <c r="Q659" i="49"/>
  <c r="N659" i="49"/>
  <c r="R659" i="49"/>
  <c r="O659" i="49"/>
  <c r="Q762" i="49"/>
  <c r="N762" i="49"/>
  <c r="R762" i="49"/>
  <c r="O762" i="49"/>
  <c r="N937" i="49"/>
  <c r="R937" i="49"/>
  <c r="O937" i="49"/>
  <c r="P937" i="49"/>
  <c r="C30" i="50"/>
  <c r="C10" i="50"/>
  <c r="F9" i="50"/>
  <c r="F10" i="50" s="1"/>
  <c r="P934" i="49"/>
  <c r="Q934" i="49"/>
  <c r="P932" i="49"/>
  <c r="Q932" i="49"/>
  <c r="P930" i="49"/>
  <c r="O930" i="49"/>
  <c r="Q930" i="49"/>
  <c r="P918" i="49"/>
  <c r="Q918" i="49"/>
  <c r="P916" i="49"/>
  <c r="Q916" i="49"/>
  <c r="P914" i="49"/>
  <c r="Q914" i="49"/>
  <c r="O914" i="49"/>
  <c r="P902" i="49"/>
  <c r="Q902" i="49"/>
  <c r="P900" i="49"/>
  <c r="Q900" i="49"/>
  <c r="P892" i="49"/>
  <c r="O892" i="49"/>
  <c r="R888" i="49"/>
  <c r="P888" i="49"/>
  <c r="P883" i="49"/>
  <c r="Q883" i="49"/>
  <c r="Q880" i="49"/>
  <c r="O880" i="49"/>
  <c r="P877" i="49"/>
  <c r="Q877" i="49"/>
  <c r="O877" i="49"/>
  <c r="P865" i="49"/>
  <c r="O865" i="49"/>
  <c r="O858" i="49"/>
  <c r="P858" i="49"/>
  <c r="Q856" i="49"/>
  <c r="P856" i="49"/>
  <c r="Q854" i="49"/>
  <c r="R854" i="49"/>
  <c r="P851" i="49"/>
  <c r="Q851" i="49"/>
  <c r="O851" i="49"/>
  <c r="P849" i="49"/>
  <c r="O849" i="49"/>
  <c r="Q846" i="49"/>
  <c r="O846" i="49"/>
  <c r="P843" i="49"/>
  <c r="O843" i="49"/>
  <c r="Q838" i="49"/>
  <c r="O838" i="49"/>
  <c r="O833" i="49"/>
  <c r="P833" i="49"/>
  <c r="P831" i="49"/>
  <c r="O831" i="49"/>
  <c r="P827" i="49"/>
  <c r="N827" i="49"/>
  <c r="Q827" i="49"/>
  <c r="O821" i="49"/>
  <c r="Q821" i="49"/>
  <c r="O814" i="49"/>
  <c r="N814" i="49"/>
  <c r="O813" i="49"/>
  <c r="Q813" i="49"/>
  <c r="P811" i="49"/>
  <c r="N811" i="49"/>
  <c r="Q811" i="49"/>
  <c r="N807" i="49"/>
  <c r="O807" i="49"/>
  <c r="N803" i="49"/>
  <c r="Q803" i="49"/>
  <c r="Q801" i="49"/>
  <c r="P801" i="49"/>
  <c r="Q799" i="49"/>
  <c r="R799" i="49"/>
  <c r="O797" i="49"/>
  <c r="Q797" i="49"/>
  <c r="P795" i="49"/>
  <c r="Q795" i="49"/>
  <c r="P791" i="49"/>
  <c r="O791" i="49"/>
  <c r="Q789" i="49"/>
  <c r="O789" i="49"/>
  <c r="N788" i="49"/>
  <c r="Q788" i="49"/>
  <c r="P787" i="49"/>
  <c r="N787" i="49"/>
  <c r="O787" i="49"/>
  <c r="Q787" i="49"/>
  <c r="O785" i="49"/>
  <c r="Q785" i="49"/>
  <c r="P785" i="49"/>
  <c r="P771" i="49"/>
  <c r="O771" i="49"/>
  <c r="O769" i="49"/>
  <c r="Q769" i="49"/>
  <c r="Q766" i="49"/>
  <c r="O766" i="49"/>
  <c r="P766" i="49"/>
  <c r="Q764" i="49"/>
  <c r="P764" i="49"/>
  <c r="O764" i="49"/>
  <c r="O763" i="49"/>
  <c r="P763" i="49"/>
  <c r="Q755" i="49"/>
  <c r="P755" i="49"/>
  <c r="Q747" i="49"/>
  <c r="O747" i="49"/>
  <c r="O746" i="49"/>
  <c r="P746" i="49"/>
  <c r="Q731" i="49"/>
  <c r="P731" i="49"/>
  <c r="O731" i="49"/>
  <c r="O730" i="49"/>
  <c r="P730" i="49"/>
  <c r="N724" i="49"/>
  <c r="R724" i="49"/>
  <c r="Q723" i="49"/>
  <c r="O723" i="49"/>
  <c r="O722" i="49"/>
  <c r="P722" i="49"/>
  <c r="R716" i="49"/>
  <c r="N716" i="49"/>
  <c r="R708" i="49"/>
  <c r="N708" i="49"/>
  <c r="Q707" i="49"/>
  <c r="P707" i="49"/>
  <c r="N703" i="49"/>
  <c r="R703" i="49"/>
  <c r="Q702" i="49"/>
  <c r="R702" i="49"/>
  <c r="P700" i="49"/>
  <c r="Q700" i="49"/>
  <c r="P699" i="49"/>
  <c r="O699" i="49"/>
  <c r="P695" i="49"/>
  <c r="N695" i="49"/>
  <c r="O695" i="49"/>
  <c r="Q695" i="49"/>
  <c r="P693" i="49"/>
  <c r="O693" i="49"/>
  <c r="Q690" i="49"/>
  <c r="R690" i="49"/>
  <c r="O690" i="49"/>
  <c r="Q686" i="49"/>
  <c r="O686" i="49"/>
  <c r="P679" i="49"/>
  <c r="N679" i="49"/>
  <c r="Q679" i="49"/>
  <c r="P677" i="49"/>
  <c r="O677" i="49"/>
  <c r="Q674" i="49"/>
  <c r="O674" i="49"/>
  <c r="Q670" i="49"/>
  <c r="O670" i="49"/>
  <c r="R670" i="49"/>
  <c r="P667" i="49"/>
  <c r="O667" i="49"/>
  <c r="P661" i="49"/>
  <c r="O661" i="49"/>
  <c r="Q656" i="49"/>
  <c r="R656" i="49"/>
  <c r="Q652" i="49"/>
  <c r="O652" i="49"/>
  <c r="R652" i="49"/>
  <c r="P649" i="49"/>
  <c r="O649" i="49"/>
  <c r="N649" i="49"/>
  <c r="Q646" i="49"/>
  <c r="P646" i="49"/>
  <c r="R645" i="49"/>
  <c r="O645" i="49"/>
  <c r="Q645" i="49"/>
  <c r="O643" i="49"/>
  <c r="P643" i="49"/>
  <c r="P641" i="49"/>
  <c r="O641" i="49"/>
  <c r="N641" i="49"/>
  <c r="Q637" i="49"/>
  <c r="O637" i="49"/>
  <c r="N637" i="49"/>
  <c r="P637" i="49"/>
  <c r="Q633" i="49"/>
  <c r="P633" i="49"/>
  <c r="O633" i="49"/>
  <c r="N633" i="49"/>
  <c r="Q629" i="49"/>
  <c r="O629" i="49"/>
  <c r="N629" i="49"/>
  <c r="P629" i="49"/>
  <c r="Q625" i="49"/>
  <c r="N625" i="49"/>
  <c r="O625" i="49"/>
  <c r="P625" i="49"/>
  <c r="Q621" i="49"/>
  <c r="O621" i="49"/>
  <c r="N621" i="49"/>
  <c r="P621" i="49"/>
  <c r="Q617" i="49"/>
  <c r="P617" i="49"/>
  <c r="O617" i="49"/>
  <c r="N617" i="49"/>
  <c r="Q613" i="49"/>
  <c r="P613" i="49"/>
  <c r="N613" i="49"/>
  <c r="O613" i="49"/>
  <c r="Q609" i="49"/>
  <c r="N609" i="49"/>
  <c r="P609" i="49"/>
  <c r="O609" i="49"/>
  <c r="Q605" i="49"/>
  <c r="N605" i="49"/>
  <c r="O605" i="49"/>
  <c r="P605" i="49"/>
  <c r="Q601" i="49"/>
  <c r="N601" i="49"/>
  <c r="O601" i="49"/>
  <c r="P601" i="49"/>
  <c r="Q597" i="49"/>
  <c r="N597" i="49"/>
  <c r="P597" i="49"/>
  <c r="O597" i="49"/>
  <c r="Q593" i="49"/>
  <c r="N593" i="49"/>
  <c r="O593" i="49"/>
  <c r="P593" i="49"/>
  <c r="Q589" i="49"/>
  <c r="O589" i="49"/>
  <c r="N589" i="49"/>
  <c r="P589" i="49"/>
  <c r="Q585" i="49"/>
  <c r="N585" i="49"/>
  <c r="O585" i="49"/>
  <c r="P585" i="49"/>
  <c r="Q581" i="49"/>
  <c r="N581" i="49"/>
  <c r="P581" i="49"/>
  <c r="Q577" i="49"/>
  <c r="P577" i="49"/>
  <c r="O577" i="49"/>
  <c r="N577" i="49"/>
  <c r="Q573" i="49"/>
  <c r="N573" i="49"/>
  <c r="P573" i="49"/>
  <c r="O568" i="49"/>
  <c r="R568" i="49"/>
  <c r="Q567" i="49"/>
  <c r="P567" i="49"/>
  <c r="N567" i="49"/>
  <c r="Q565" i="49"/>
  <c r="N565" i="49"/>
  <c r="P565" i="49"/>
  <c r="R562" i="49"/>
  <c r="O562" i="49"/>
  <c r="O558" i="49"/>
  <c r="N558" i="49"/>
  <c r="R558" i="49"/>
  <c r="O557" i="49"/>
  <c r="R557" i="49"/>
  <c r="N553" i="49"/>
  <c r="Q553" i="49"/>
  <c r="R549" i="49"/>
  <c r="O549" i="49"/>
  <c r="R548" i="49"/>
  <c r="N548" i="49"/>
  <c r="P545" i="49"/>
  <c r="Q545" i="49"/>
  <c r="N545" i="49"/>
  <c r="P543" i="49"/>
  <c r="O543" i="49"/>
  <c r="O533" i="49"/>
  <c r="R533" i="49"/>
  <c r="R532" i="49"/>
  <c r="N532" i="49"/>
  <c r="P529" i="49"/>
  <c r="O529" i="49"/>
  <c r="Q528" i="49"/>
  <c r="P528" i="49"/>
  <c r="O528" i="49"/>
  <c r="O526" i="49"/>
  <c r="P526" i="49"/>
  <c r="N526" i="49"/>
  <c r="P525" i="49"/>
  <c r="N525" i="49"/>
  <c r="N524" i="49"/>
  <c r="R524" i="49"/>
  <c r="O519" i="49"/>
  <c r="P519" i="49"/>
  <c r="Q517" i="49"/>
  <c r="O517" i="49"/>
  <c r="Q509" i="49"/>
  <c r="P509" i="49"/>
  <c r="P506" i="49"/>
  <c r="O506" i="49"/>
  <c r="P504" i="49"/>
  <c r="N504" i="49"/>
  <c r="O504" i="49"/>
  <c r="Q496" i="49"/>
  <c r="O496" i="49"/>
  <c r="Q495" i="49"/>
  <c r="N495" i="49"/>
  <c r="P490" i="49"/>
  <c r="O490" i="49"/>
  <c r="P488" i="49"/>
  <c r="O488" i="49"/>
  <c r="P480" i="49"/>
  <c r="N480" i="49"/>
  <c r="O480" i="49"/>
  <c r="Q480" i="49"/>
  <c r="Q479" i="49"/>
  <c r="N479" i="49"/>
  <c r="Q475" i="49"/>
  <c r="O475" i="49"/>
  <c r="P474" i="49"/>
  <c r="O474" i="49"/>
  <c r="P468" i="49"/>
  <c r="O468" i="49"/>
  <c r="P464" i="49"/>
  <c r="N464" i="49"/>
  <c r="Q464" i="49"/>
  <c r="P454" i="49"/>
  <c r="O454" i="49"/>
  <c r="O453" i="49"/>
  <c r="P453" i="49"/>
  <c r="P452" i="49"/>
  <c r="N452" i="49"/>
  <c r="O452" i="49"/>
  <c r="P446" i="49"/>
  <c r="O446" i="49"/>
  <c r="O445" i="49"/>
  <c r="P445" i="49"/>
  <c r="Q441" i="49"/>
  <c r="P441" i="49"/>
  <c r="Q437" i="49"/>
  <c r="P437" i="49"/>
  <c r="Q433" i="49"/>
  <c r="P433" i="49"/>
  <c r="Q429" i="49"/>
  <c r="P429" i="49"/>
  <c r="Q425" i="49"/>
  <c r="P425" i="49"/>
  <c r="Q421" i="49"/>
  <c r="P421" i="49"/>
  <c r="Q413" i="49"/>
  <c r="P413" i="49"/>
  <c r="Q405" i="49"/>
  <c r="P405" i="49"/>
  <c r="P286" i="49"/>
  <c r="O286" i="49"/>
  <c r="P274" i="49"/>
  <c r="O274" i="49"/>
  <c r="P266" i="49"/>
  <c r="O266" i="49"/>
  <c r="P254" i="49"/>
  <c r="O254" i="49"/>
  <c r="P242" i="49"/>
  <c r="O242" i="49"/>
  <c r="P234" i="49"/>
  <c r="O234" i="49"/>
  <c r="P222" i="49"/>
  <c r="O222" i="49"/>
  <c r="P210" i="49"/>
  <c r="O210" i="49"/>
  <c r="R206" i="49"/>
  <c r="O206" i="49"/>
  <c r="R204" i="49"/>
  <c r="P204" i="49"/>
  <c r="Q202" i="49"/>
  <c r="O202" i="49"/>
  <c r="R201" i="49"/>
  <c r="N201" i="49"/>
  <c r="Q199" i="49"/>
  <c r="O199" i="49"/>
  <c r="P199" i="49"/>
  <c r="Q198" i="49"/>
  <c r="P198" i="49"/>
  <c r="N198" i="49"/>
  <c r="Q194" i="49"/>
  <c r="O194" i="49"/>
  <c r="R192" i="49"/>
  <c r="P192" i="49"/>
  <c r="Q191" i="49"/>
  <c r="P191" i="49"/>
  <c r="R188" i="49"/>
  <c r="P188" i="49"/>
  <c r="Q187" i="49"/>
  <c r="P187" i="49"/>
  <c r="N185" i="49"/>
  <c r="O185" i="49"/>
  <c r="Q182" i="49"/>
  <c r="O182" i="49"/>
  <c r="R181" i="49"/>
  <c r="O181" i="49"/>
  <c r="R180" i="49"/>
  <c r="N180" i="49"/>
  <c r="Q178" i="49"/>
  <c r="O178" i="49"/>
  <c r="R177" i="49"/>
  <c r="O177" i="49"/>
  <c r="R176" i="49"/>
  <c r="N176" i="49"/>
  <c r="Q174" i="49"/>
  <c r="O174" i="49"/>
  <c r="R173" i="49"/>
  <c r="O173" i="49"/>
  <c r="R172" i="49"/>
  <c r="N172" i="49"/>
  <c r="Q170" i="49"/>
  <c r="O170" i="49"/>
  <c r="R169" i="49"/>
  <c r="O169" i="49"/>
  <c r="R168" i="49"/>
  <c r="N168" i="49"/>
  <c r="Q166" i="49"/>
  <c r="O166" i="49"/>
  <c r="R165" i="49"/>
  <c r="O165" i="49"/>
  <c r="Q164" i="49"/>
  <c r="N164" i="49"/>
  <c r="P164" i="49"/>
  <c r="O164" i="49"/>
  <c r="Q163" i="49"/>
  <c r="N163" i="49"/>
  <c r="Q161" i="49"/>
  <c r="O161" i="49"/>
  <c r="P161" i="49"/>
  <c r="Q160" i="49"/>
  <c r="P160" i="49"/>
  <c r="N160" i="49"/>
  <c r="Q159" i="49"/>
  <c r="N159" i="49"/>
  <c r="Q157" i="49"/>
  <c r="O157" i="49"/>
  <c r="Q156" i="49"/>
  <c r="P156" i="49"/>
  <c r="N156" i="49"/>
  <c r="O156" i="49"/>
  <c r="Q155" i="49"/>
  <c r="N155" i="49"/>
  <c r="Q153" i="49"/>
  <c r="P153" i="49"/>
  <c r="O153" i="49"/>
  <c r="Q152" i="49"/>
  <c r="N152" i="49"/>
  <c r="P152" i="49"/>
  <c r="Q151" i="49"/>
  <c r="N151" i="49"/>
  <c r="Q148" i="49"/>
  <c r="O148" i="49"/>
  <c r="Q145" i="49"/>
  <c r="P145" i="49"/>
  <c r="Q140" i="49"/>
  <c r="O140" i="49"/>
  <c r="Q133" i="49"/>
  <c r="P133" i="49"/>
  <c r="O133" i="49"/>
  <c r="Q132" i="49"/>
  <c r="P132" i="49"/>
  <c r="N132" i="49"/>
  <c r="Q131" i="49"/>
  <c r="N131" i="49"/>
  <c r="Q129" i="49"/>
  <c r="O129" i="49"/>
  <c r="Q128" i="49"/>
  <c r="P128" i="49"/>
  <c r="N128" i="49"/>
  <c r="O128" i="49"/>
  <c r="Q127" i="49"/>
  <c r="N127" i="49"/>
  <c r="Q125" i="49"/>
  <c r="O125" i="49"/>
  <c r="P125" i="49"/>
  <c r="Q124" i="49"/>
  <c r="N124" i="49"/>
  <c r="P124" i="49"/>
  <c r="R122" i="49"/>
  <c r="P122" i="49"/>
  <c r="R119" i="49"/>
  <c r="N119" i="49"/>
  <c r="Q109" i="49"/>
  <c r="O109" i="49"/>
  <c r="Q108" i="49"/>
  <c r="O108" i="49"/>
  <c r="P108" i="49"/>
  <c r="N108" i="49"/>
  <c r="P106" i="49"/>
  <c r="R106" i="49"/>
  <c r="N103" i="49"/>
  <c r="R103" i="49"/>
  <c r="Q93" i="49"/>
  <c r="P93" i="49"/>
  <c r="O93" i="49"/>
  <c r="Q92" i="49"/>
  <c r="N92" i="49"/>
  <c r="P92" i="49"/>
  <c r="R90" i="49"/>
  <c r="P90" i="49"/>
  <c r="Q85" i="49"/>
  <c r="O85" i="49"/>
  <c r="P85" i="49"/>
  <c r="N80" i="49"/>
  <c r="O80" i="49"/>
  <c r="Q76" i="49"/>
  <c r="N76" i="49"/>
  <c r="O76" i="49"/>
  <c r="P76" i="49"/>
  <c r="P74" i="49"/>
  <c r="R74" i="49"/>
  <c r="R71" i="49"/>
  <c r="N71" i="49"/>
  <c r="P64" i="49"/>
  <c r="O64" i="49"/>
  <c r="Q61" i="49"/>
  <c r="P61" i="49"/>
  <c r="O61" i="49"/>
  <c r="P60" i="49"/>
  <c r="N60" i="49"/>
  <c r="R59" i="49"/>
  <c r="O59" i="49"/>
  <c r="R57" i="49"/>
  <c r="O57" i="49"/>
  <c r="P57" i="49"/>
  <c r="R55" i="49"/>
  <c r="O55" i="49"/>
  <c r="N55" i="49"/>
  <c r="R53" i="49"/>
  <c r="P53" i="49"/>
  <c r="O53" i="49"/>
  <c r="R49" i="49"/>
  <c r="O49" i="49"/>
  <c r="P49" i="49"/>
  <c r="R45" i="49"/>
  <c r="O45" i="49"/>
  <c r="P45" i="49"/>
  <c r="P44" i="49"/>
  <c r="N44" i="49"/>
  <c r="R43" i="49"/>
  <c r="O43" i="49"/>
  <c r="R41" i="49"/>
  <c r="O41" i="49"/>
  <c r="P41" i="49"/>
  <c r="R39" i="49"/>
  <c r="N39" i="49"/>
  <c r="O39" i="49"/>
  <c r="R37" i="49"/>
  <c r="P37" i="49"/>
  <c r="O37" i="49"/>
  <c r="Q32" i="49"/>
  <c r="P32" i="49"/>
  <c r="O32" i="49"/>
  <c r="N32" i="49"/>
  <c r="R31" i="49"/>
  <c r="N31" i="49"/>
  <c r="P30" i="49"/>
  <c r="R30" i="49"/>
  <c r="N28" i="49"/>
  <c r="O28" i="49"/>
  <c r="R26" i="49"/>
  <c r="P26" i="49"/>
  <c r="Q24" i="49"/>
  <c r="O24" i="49"/>
  <c r="P24" i="49"/>
  <c r="N24" i="49"/>
  <c r="P22" i="49"/>
  <c r="R22" i="49"/>
  <c r="R18" i="49"/>
  <c r="P18" i="49"/>
  <c r="O16" i="49"/>
  <c r="P16" i="49"/>
  <c r="Q10" i="49"/>
  <c r="N10" i="49"/>
  <c r="P10" i="49"/>
  <c r="O10" i="49"/>
  <c r="Q7" i="49"/>
  <c r="P7" i="49"/>
  <c r="O7" i="49"/>
  <c r="Q6" i="49"/>
  <c r="P6" i="49"/>
  <c r="R29" i="49"/>
  <c r="O29" i="49"/>
  <c r="Q40" i="49"/>
  <c r="O40" i="49"/>
  <c r="Q56" i="49"/>
  <c r="O56" i="49"/>
  <c r="Q68" i="49"/>
  <c r="P68" i="49"/>
  <c r="Q81" i="49"/>
  <c r="O81" i="49"/>
  <c r="Q88" i="49"/>
  <c r="N88" i="49"/>
  <c r="Q96" i="49"/>
  <c r="N96" i="49"/>
  <c r="P96" i="49"/>
  <c r="R175" i="49"/>
  <c r="P175" i="49"/>
  <c r="P14" i="49"/>
  <c r="Q52" i="49"/>
  <c r="O52" i="49"/>
  <c r="N56" i="49"/>
  <c r="O65" i="49"/>
  <c r="N68" i="49"/>
  <c r="Q77" i="49"/>
  <c r="P77" i="49"/>
  <c r="P81" i="49"/>
  <c r="Q89" i="49"/>
  <c r="O89" i="49"/>
  <c r="O96" i="49"/>
  <c r="Q116" i="49"/>
  <c r="N116" i="49"/>
  <c r="P116" i="49"/>
  <c r="Q120" i="49"/>
  <c r="N120" i="49"/>
  <c r="P120" i="49"/>
  <c r="Q144" i="49"/>
  <c r="P144" i="49"/>
  <c r="O144" i="49"/>
  <c r="N144" i="49"/>
  <c r="Q403" i="49"/>
  <c r="P403" i="49"/>
  <c r="Q427" i="49"/>
  <c r="P427" i="49"/>
  <c r="Q493" i="49"/>
  <c r="P493" i="49"/>
  <c r="Q569" i="49"/>
  <c r="P569" i="49"/>
  <c r="N569" i="49"/>
  <c r="R603" i="49"/>
  <c r="P603" i="49"/>
  <c r="Q782" i="49"/>
  <c r="P782" i="49"/>
  <c r="O782" i="49"/>
  <c r="N828" i="49"/>
  <c r="Q828" i="49"/>
  <c r="P847" i="49"/>
  <c r="Q847" i="49"/>
  <c r="P867" i="49"/>
  <c r="O867" i="49"/>
  <c r="P928" i="49"/>
  <c r="Q928" i="49"/>
  <c r="O11" i="49"/>
  <c r="Q20" i="49"/>
  <c r="N20" i="49"/>
  <c r="N47" i="49"/>
  <c r="N52" i="49"/>
  <c r="P56" i="49"/>
  <c r="P65" i="49"/>
  <c r="O68" i="49"/>
  <c r="Q72" i="49"/>
  <c r="P72" i="49"/>
  <c r="O77" i="49"/>
  <c r="Q84" i="49"/>
  <c r="N84" i="49"/>
  <c r="P88" i="49"/>
  <c r="P89" i="49"/>
  <c r="Q100" i="49"/>
  <c r="P100" i="49"/>
  <c r="N100" i="49"/>
  <c r="Q101" i="49"/>
  <c r="O101" i="49"/>
  <c r="O116" i="49"/>
  <c r="O120" i="49"/>
  <c r="Q136" i="49"/>
  <c r="P136" i="49"/>
  <c r="N136" i="49"/>
  <c r="Q137" i="49"/>
  <c r="O137" i="49"/>
  <c r="Q143" i="49"/>
  <c r="N143" i="49"/>
  <c r="Q149" i="49"/>
  <c r="P149" i="49"/>
  <c r="O149" i="49"/>
  <c r="R167" i="49"/>
  <c r="P167" i="49"/>
  <c r="R183" i="49"/>
  <c r="P183" i="49"/>
  <c r="O183" i="49"/>
  <c r="P250" i="49"/>
  <c r="O250" i="49"/>
  <c r="P290" i="49"/>
  <c r="O290" i="49"/>
  <c r="O461" i="49"/>
  <c r="N461" i="49"/>
  <c r="Q507" i="49"/>
  <c r="O507" i="49"/>
  <c r="N507" i="49"/>
  <c r="Q520" i="49"/>
  <c r="O520" i="49"/>
  <c r="R556" i="49"/>
  <c r="N556" i="49"/>
  <c r="O559" i="49"/>
  <c r="P559" i="49"/>
  <c r="Q97" i="49"/>
  <c r="O97" i="49"/>
  <c r="Q141" i="49"/>
  <c r="P141" i="49"/>
  <c r="O141" i="49"/>
  <c r="P8" i="49"/>
  <c r="Q36" i="49"/>
  <c r="O36" i="49"/>
  <c r="N40" i="49"/>
  <c r="N51" i="49"/>
  <c r="Q69" i="49"/>
  <c r="O69" i="49"/>
  <c r="N87" i="49"/>
  <c r="O88" i="49"/>
  <c r="Q117" i="49"/>
  <c r="O117" i="49"/>
  <c r="Q121" i="49"/>
  <c r="O121" i="49"/>
  <c r="R171" i="49"/>
  <c r="P171" i="49"/>
  <c r="Q195" i="49"/>
  <c r="P195" i="49"/>
  <c r="O195" i="49"/>
  <c r="P444" i="49"/>
  <c r="R444" i="49"/>
  <c r="O444" i="49"/>
  <c r="N444" i="49"/>
  <c r="R587" i="49"/>
  <c r="P587" i="49"/>
  <c r="R619" i="49"/>
  <c r="P619" i="49"/>
  <c r="R635" i="49"/>
  <c r="P635" i="49"/>
  <c r="Q739" i="49"/>
  <c r="P739" i="49"/>
  <c r="O739" i="49"/>
  <c r="P912" i="49"/>
  <c r="Q912" i="49"/>
  <c r="O3" i="49"/>
  <c r="N6" i="49"/>
  <c r="P12" i="49"/>
  <c r="O33" i="49"/>
  <c r="N35" i="49"/>
  <c r="N36" i="49"/>
  <c r="P40" i="49"/>
  <c r="Q48" i="49"/>
  <c r="O48" i="49"/>
  <c r="O51" i="49"/>
  <c r="P3" i="49"/>
  <c r="P4" i="49"/>
  <c r="O6" i="49"/>
  <c r="Q16" i="49"/>
  <c r="N16" i="49"/>
  <c r="O20" i="49"/>
  <c r="Q28" i="49"/>
  <c r="P28" i="49"/>
  <c r="P36" i="49"/>
  <c r="N43" i="49"/>
  <c r="Q44" i="49"/>
  <c r="O44" i="49"/>
  <c r="O47" i="49"/>
  <c r="N48" i="49"/>
  <c r="P52" i="49"/>
  <c r="N59" i="49"/>
  <c r="Q60" i="49"/>
  <c r="O60" i="49"/>
  <c r="Q64" i="49"/>
  <c r="N64" i="49"/>
  <c r="N72" i="49"/>
  <c r="Q73" i="49"/>
  <c r="O73" i="49"/>
  <c r="Q80" i="49"/>
  <c r="P80" i="49"/>
  <c r="O84" i="49"/>
  <c r="O100" i="49"/>
  <c r="P101" i="49"/>
  <c r="Q104" i="49"/>
  <c r="P104" i="49"/>
  <c r="N104" i="49"/>
  <c r="Q105" i="49"/>
  <c r="O105" i="49"/>
  <c r="Q112" i="49"/>
  <c r="P112" i="49"/>
  <c r="N112" i="49"/>
  <c r="Q113" i="49"/>
  <c r="O113" i="49"/>
  <c r="Q135" i="49"/>
  <c r="N135" i="49"/>
  <c r="O136" i="49"/>
  <c r="P137" i="49"/>
  <c r="R179" i="49"/>
  <c r="P179" i="49"/>
  <c r="Q190" i="49"/>
  <c r="P190" i="49"/>
  <c r="O190" i="49"/>
  <c r="N190" i="49"/>
  <c r="R197" i="49"/>
  <c r="N197" i="49"/>
  <c r="Q203" i="49"/>
  <c r="P203" i="49"/>
  <c r="O203" i="49"/>
  <c r="Q419" i="49"/>
  <c r="P419" i="49"/>
  <c r="Q435" i="49"/>
  <c r="P435" i="49"/>
  <c r="P448" i="49"/>
  <c r="N448" i="49"/>
  <c r="P456" i="49"/>
  <c r="N456" i="49"/>
  <c r="P472" i="49"/>
  <c r="O472" i="49"/>
  <c r="N472" i="49"/>
  <c r="P484" i="49"/>
  <c r="O484" i="49"/>
  <c r="N484" i="49"/>
  <c r="Q491" i="49"/>
  <c r="O491" i="49"/>
  <c r="N491" i="49"/>
  <c r="Q186" i="49"/>
  <c r="P186" i="49"/>
  <c r="O186" i="49"/>
  <c r="N186" i="49"/>
  <c r="R189" i="49"/>
  <c r="N189" i="49"/>
  <c r="R200" i="49"/>
  <c r="P200" i="49"/>
  <c r="P226" i="49"/>
  <c r="O226" i="49"/>
  <c r="P270" i="49"/>
  <c r="O270" i="49"/>
  <c r="Q447" i="49"/>
  <c r="P447" i="49"/>
  <c r="Q455" i="49"/>
  <c r="P455" i="49"/>
  <c r="Q459" i="49"/>
  <c r="O459" i="49"/>
  <c r="N459" i="49"/>
  <c r="P140" i="49"/>
  <c r="P148" i="49"/>
  <c r="P166" i="49"/>
  <c r="P170" i="49"/>
  <c r="P174" i="49"/>
  <c r="P178" i="49"/>
  <c r="P182" i="49"/>
  <c r="R185" i="49"/>
  <c r="P194" i="49"/>
  <c r="P202" i="49"/>
  <c r="P206" i="49"/>
  <c r="O464" i="49"/>
  <c r="P500" i="49"/>
  <c r="O500" i="49"/>
  <c r="P537" i="49"/>
  <c r="N537" i="49"/>
  <c r="O542" i="49"/>
  <c r="N542" i="49"/>
  <c r="P553" i="49"/>
  <c r="O553" i="49"/>
  <c r="R599" i="49"/>
  <c r="P599" i="49"/>
  <c r="R615" i="49"/>
  <c r="P615" i="49"/>
  <c r="R631" i="49"/>
  <c r="P631" i="49"/>
  <c r="Q715" i="49"/>
  <c r="P715" i="49"/>
  <c r="O715" i="49"/>
  <c r="O738" i="49"/>
  <c r="P738" i="49"/>
  <c r="Q773" i="49"/>
  <c r="O773" i="49"/>
  <c r="O825" i="49"/>
  <c r="P825" i="49"/>
  <c r="Q840" i="49"/>
  <c r="P840" i="49"/>
  <c r="O866" i="49"/>
  <c r="P866" i="49"/>
  <c r="O874" i="49"/>
  <c r="P874" i="49"/>
  <c r="N874" i="49"/>
  <c r="P881" i="49"/>
  <c r="Q881" i="49"/>
  <c r="P939" i="49"/>
  <c r="Q939" i="49"/>
  <c r="P512" i="49"/>
  <c r="Q512" i="49"/>
  <c r="R541" i="49"/>
  <c r="O541" i="49"/>
  <c r="O550" i="49"/>
  <c r="R550" i="49"/>
  <c r="R595" i="49"/>
  <c r="P595" i="49"/>
  <c r="R611" i="49"/>
  <c r="P611" i="49"/>
  <c r="R627" i="49"/>
  <c r="P627" i="49"/>
  <c r="O714" i="49"/>
  <c r="P714" i="49"/>
  <c r="N772" i="49"/>
  <c r="Q772" i="49"/>
  <c r="P819" i="49"/>
  <c r="Q819" i="49"/>
  <c r="O819" i="49"/>
  <c r="N819" i="49"/>
  <c r="Q834" i="49"/>
  <c r="O834" i="49"/>
  <c r="P869" i="49"/>
  <c r="Q869" i="49"/>
  <c r="O869" i="49"/>
  <c r="N869" i="49"/>
  <c r="P896" i="49"/>
  <c r="Q896" i="49"/>
  <c r="O896" i="49"/>
  <c r="N896" i="49"/>
  <c r="P910" i="49"/>
  <c r="Q910" i="49"/>
  <c r="O910" i="49"/>
  <c r="P926" i="49"/>
  <c r="Q926" i="49"/>
  <c r="O926" i="49"/>
  <c r="O92" i="49"/>
  <c r="P109" i="49"/>
  <c r="O124" i="49"/>
  <c r="P129" i="49"/>
  <c r="O132" i="49"/>
  <c r="N139" i="49"/>
  <c r="N140" i="49"/>
  <c r="O145" i="49"/>
  <c r="N147" i="49"/>
  <c r="N148" i="49"/>
  <c r="O152" i="49"/>
  <c r="P157" i="49"/>
  <c r="O160" i="49"/>
  <c r="N166" i="49"/>
  <c r="N170" i="49"/>
  <c r="N174" i="49"/>
  <c r="N178" i="49"/>
  <c r="N182" i="49"/>
  <c r="N184" i="49"/>
  <c r="O187" i="49"/>
  <c r="O191" i="49"/>
  <c r="N194" i="49"/>
  <c r="O198" i="49"/>
  <c r="N202" i="49"/>
  <c r="N205" i="49"/>
  <c r="N206" i="49"/>
  <c r="O218" i="49"/>
  <c r="O238" i="49"/>
  <c r="O258" i="49"/>
  <c r="O282" i="49"/>
  <c r="P411" i="49"/>
  <c r="P423" i="49"/>
  <c r="P431" i="49"/>
  <c r="P439" i="49"/>
  <c r="N445" i="49"/>
  <c r="N453" i="49"/>
  <c r="N468" i="49"/>
  <c r="N475" i="49"/>
  <c r="P477" i="49"/>
  <c r="N488" i="49"/>
  <c r="P496" i="49"/>
  <c r="N496" i="49"/>
  <c r="N511" i="49"/>
  <c r="N512" i="49"/>
  <c r="P517" i="49"/>
  <c r="N517" i="49"/>
  <c r="N529" i="49"/>
  <c r="O534" i="49"/>
  <c r="R534" i="49"/>
  <c r="P535" i="49"/>
  <c r="O535" i="49"/>
  <c r="R540" i="49"/>
  <c r="N540" i="49"/>
  <c r="N550" i="49"/>
  <c r="P551" i="49"/>
  <c r="O551" i="49"/>
  <c r="Q561" i="49"/>
  <c r="N561" i="49"/>
  <c r="Q563" i="49"/>
  <c r="N563" i="49"/>
  <c r="P563" i="49"/>
  <c r="R566" i="49"/>
  <c r="O566" i="49"/>
  <c r="R591" i="49"/>
  <c r="P591" i="49"/>
  <c r="R607" i="49"/>
  <c r="P607" i="49"/>
  <c r="R623" i="49"/>
  <c r="P623" i="49"/>
  <c r="R639" i="49"/>
  <c r="P639" i="49"/>
  <c r="P650" i="49"/>
  <c r="Q650" i="49"/>
  <c r="P663" i="49"/>
  <c r="Q663" i="49"/>
  <c r="O663" i="49"/>
  <c r="P668" i="49"/>
  <c r="Q668" i="49"/>
  <c r="P683" i="49"/>
  <c r="Q683" i="49"/>
  <c r="O683" i="49"/>
  <c r="N683" i="49"/>
  <c r="P775" i="49"/>
  <c r="Q775" i="49"/>
  <c r="O775" i="49"/>
  <c r="Q829" i="49"/>
  <c r="O829" i="49"/>
  <c r="Q872" i="49"/>
  <c r="P872" i="49"/>
  <c r="O872" i="49"/>
  <c r="Q895" i="49"/>
  <c r="R895" i="49"/>
  <c r="Q667" i="49"/>
  <c r="Q771" i="49"/>
  <c r="R803" i="49"/>
  <c r="R807" i="49"/>
  <c r="Q843" i="49"/>
  <c r="R846" i="49"/>
  <c r="Q865" i="49"/>
  <c r="P880" i="49"/>
  <c r="O906" i="49"/>
  <c r="Q908" i="49"/>
  <c r="O922" i="49"/>
  <c r="Q924" i="49"/>
  <c r="O567" i="49"/>
  <c r="O573" i="49"/>
  <c r="O581" i="49"/>
  <c r="R641" i="49"/>
  <c r="O656" i="49"/>
  <c r="N667" i="49"/>
  <c r="R674" i="49"/>
  <c r="O679" i="49"/>
  <c r="Q684" i="49"/>
  <c r="R686" i="49"/>
  <c r="N699" i="49"/>
  <c r="O702" i="49"/>
  <c r="O706" i="49"/>
  <c r="O707" i="49"/>
  <c r="P723" i="49"/>
  <c r="P747" i="49"/>
  <c r="P754" i="49"/>
  <c r="O755" i="49"/>
  <c r="P769" i="49"/>
  <c r="N771" i="49"/>
  <c r="Q779" i="49"/>
  <c r="Q791" i="49"/>
  <c r="O801" i="49"/>
  <c r="O811" i="49"/>
  <c r="Q820" i="49"/>
  <c r="N843" i="49"/>
  <c r="N846" i="49"/>
  <c r="O854" i="49"/>
  <c r="O856" i="49"/>
  <c r="N858" i="49"/>
  <c r="P864" i="49"/>
  <c r="N865" i="49"/>
  <c r="N880" i="49"/>
  <c r="Q892" i="49"/>
  <c r="O902" i="49"/>
  <c r="Q904" i="49"/>
  <c r="Q906" i="49"/>
  <c r="O918" i="49"/>
  <c r="Q920" i="49"/>
  <c r="Q922" i="49"/>
  <c r="O934" i="49"/>
  <c r="Q936" i="49"/>
  <c r="R4" i="49"/>
  <c r="N5" i="49"/>
  <c r="R8" i="49"/>
  <c r="N9" i="49"/>
  <c r="P11" i="49"/>
  <c r="R12" i="49"/>
  <c r="N15" i="49"/>
  <c r="O17" i="49"/>
  <c r="N19" i="49"/>
  <c r="O21" i="49"/>
  <c r="N23" i="49"/>
  <c r="O25" i="49"/>
  <c r="N27" i="49"/>
  <c r="Q62" i="49"/>
  <c r="O62" i="49"/>
  <c r="N62" i="49"/>
  <c r="Q75" i="49"/>
  <c r="P75" i="49"/>
  <c r="O75" i="49"/>
  <c r="Q78" i="49"/>
  <c r="O78" i="49"/>
  <c r="N78" i="49"/>
  <c r="Q91" i="49"/>
  <c r="P91" i="49"/>
  <c r="O91" i="49"/>
  <c r="Q94" i="49"/>
  <c r="O94" i="49"/>
  <c r="N94" i="49"/>
  <c r="Q107" i="49"/>
  <c r="P107" i="49"/>
  <c r="O107" i="49"/>
  <c r="Q110" i="49"/>
  <c r="O110" i="49"/>
  <c r="N110" i="49"/>
  <c r="Q123" i="49"/>
  <c r="P123" i="49"/>
  <c r="O123" i="49"/>
  <c r="Q126" i="49"/>
  <c r="O126" i="49"/>
  <c r="N126" i="49"/>
  <c r="Q130" i="49"/>
  <c r="P130" i="49"/>
  <c r="O130" i="49"/>
  <c r="N130" i="49"/>
  <c r="Q146" i="49"/>
  <c r="P146" i="49"/>
  <c r="O146" i="49"/>
  <c r="N146" i="49"/>
  <c r="Q162" i="49"/>
  <c r="P162" i="49"/>
  <c r="O162" i="49"/>
  <c r="N162" i="49"/>
  <c r="Q193" i="49"/>
  <c r="P193" i="49"/>
  <c r="O193" i="49"/>
  <c r="R193" i="49"/>
  <c r="N193" i="49"/>
  <c r="P262" i="49"/>
  <c r="O262" i="49"/>
  <c r="Q13" i="49"/>
  <c r="N13" i="49"/>
  <c r="O5" i="49"/>
  <c r="O9" i="49"/>
  <c r="P13" i="49"/>
  <c r="O15" i="49"/>
  <c r="Q18" i="49"/>
  <c r="O18" i="49"/>
  <c r="P21" i="49"/>
  <c r="O23" i="49"/>
  <c r="Q26" i="49"/>
  <c r="O26" i="49"/>
  <c r="P29" i="49"/>
  <c r="O31" i="49"/>
  <c r="Q34" i="49"/>
  <c r="O34" i="49"/>
  <c r="Q42" i="49"/>
  <c r="O42" i="49"/>
  <c r="Q46" i="49"/>
  <c r="O46" i="49"/>
  <c r="Q50" i="49"/>
  <c r="O50" i="49"/>
  <c r="Q54" i="49"/>
  <c r="O54" i="49"/>
  <c r="Q58" i="49"/>
  <c r="O58" i="49"/>
  <c r="P62" i="49"/>
  <c r="Q63" i="49"/>
  <c r="P63" i="49"/>
  <c r="O63" i="49"/>
  <c r="Q66" i="49"/>
  <c r="O66" i="49"/>
  <c r="N66" i="49"/>
  <c r="N75" i="49"/>
  <c r="P78" i="49"/>
  <c r="Q79" i="49"/>
  <c r="P79" i="49"/>
  <c r="O79" i="49"/>
  <c r="Q82" i="49"/>
  <c r="O82" i="49"/>
  <c r="N82" i="49"/>
  <c r="N91" i="49"/>
  <c r="P94" i="49"/>
  <c r="Q95" i="49"/>
  <c r="P95" i="49"/>
  <c r="O95" i="49"/>
  <c r="Q98" i="49"/>
  <c r="O98" i="49"/>
  <c r="N98" i="49"/>
  <c r="N107" i="49"/>
  <c r="P110" i="49"/>
  <c r="Q111" i="49"/>
  <c r="P111" i="49"/>
  <c r="O111" i="49"/>
  <c r="Q114" i="49"/>
  <c r="O114" i="49"/>
  <c r="N114" i="49"/>
  <c r="N123" i="49"/>
  <c r="P126" i="49"/>
  <c r="R130" i="49"/>
  <c r="Q142" i="49"/>
  <c r="P142" i="49"/>
  <c r="O142" i="49"/>
  <c r="N142" i="49"/>
  <c r="R146" i="49"/>
  <c r="Q158" i="49"/>
  <c r="P158" i="49"/>
  <c r="O158" i="49"/>
  <c r="N158" i="49"/>
  <c r="R162" i="49"/>
  <c r="P214" i="49"/>
  <c r="O214" i="49"/>
  <c r="P278" i="49"/>
  <c r="O278" i="49"/>
  <c r="R5" i="49"/>
  <c r="R3" i="49"/>
  <c r="N4" i="49"/>
  <c r="R7" i="49"/>
  <c r="N8" i="49"/>
  <c r="R11" i="49"/>
  <c r="N12" i="49"/>
  <c r="Q14" i="49"/>
  <c r="O14" i="49"/>
  <c r="P17" i="49"/>
  <c r="O19" i="49"/>
  <c r="Q22" i="49"/>
  <c r="O22" i="49"/>
  <c r="P25" i="49"/>
  <c r="O27" i="49"/>
  <c r="Q30" i="49"/>
  <c r="O30" i="49"/>
  <c r="P33" i="49"/>
  <c r="O35" i="49"/>
  <c r="Q38" i="49"/>
  <c r="O38" i="49"/>
  <c r="N3" i="49"/>
  <c r="O4" i="49"/>
  <c r="P5" i="49"/>
  <c r="R6" i="49"/>
  <c r="N7" i="49"/>
  <c r="O8" i="49"/>
  <c r="P9" i="49"/>
  <c r="R10" i="49"/>
  <c r="N11" i="49"/>
  <c r="O12" i="49"/>
  <c r="R13" i="49"/>
  <c r="N14" i="49"/>
  <c r="N18" i="49"/>
  <c r="N22" i="49"/>
  <c r="N26" i="49"/>
  <c r="N30" i="49"/>
  <c r="N34" i="49"/>
  <c r="N38" i="49"/>
  <c r="N42" i="49"/>
  <c r="N46" i="49"/>
  <c r="N50" i="49"/>
  <c r="N54" i="49"/>
  <c r="N58" i="49"/>
  <c r="R62" i="49"/>
  <c r="N63" i="49"/>
  <c r="P66" i="49"/>
  <c r="Q67" i="49"/>
  <c r="P67" i="49"/>
  <c r="O67" i="49"/>
  <c r="Q70" i="49"/>
  <c r="O70" i="49"/>
  <c r="N70" i="49"/>
  <c r="R75" i="49"/>
  <c r="R78" i="49"/>
  <c r="N79" i="49"/>
  <c r="P82" i="49"/>
  <c r="Q83" i="49"/>
  <c r="P83" i="49"/>
  <c r="O83" i="49"/>
  <c r="Q86" i="49"/>
  <c r="O86" i="49"/>
  <c r="N86" i="49"/>
  <c r="R91" i="49"/>
  <c r="R94" i="49"/>
  <c r="N95" i="49"/>
  <c r="P98" i="49"/>
  <c r="Q99" i="49"/>
  <c r="P99" i="49"/>
  <c r="O99" i="49"/>
  <c r="Q102" i="49"/>
  <c r="O102" i="49"/>
  <c r="N102" i="49"/>
  <c r="R107" i="49"/>
  <c r="R110" i="49"/>
  <c r="N111" i="49"/>
  <c r="P114" i="49"/>
  <c r="Q115" i="49"/>
  <c r="P115" i="49"/>
  <c r="O115" i="49"/>
  <c r="Q118" i="49"/>
  <c r="O118" i="49"/>
  <c r="N118" i="49"/>
  <c r="R123" i="49"/>
  <c r="R126" i="49"/>
  <c r="Q138" i="49"/>
  <c r="P138" i="49"/>
  <c r="O138" i="49"/>
  <c r="N138" i="49"/>
  <c r="R142" i="49"/>
  <c r="Q154" i="49"/>
  <c r="P154" i="49"/>
  <c r="O154" i="49"/>
  <c r="N154" i="49"/>
  <c r="R158" i="49"/>
  <c r="Q196" i="49"/>
  <c r="O196" i="49"/>
  <c r="N196" i="49"/>
  <c r="R196" i="49"/>
  <c r="P196" i="49"/>
  <c r="P230" i="49"/>
  <c r="O230" i="49"/>
  <c r="R9" i="49"/>
  <c r="Q15" i="49"/>
  <c r="P15" i="49"/>
  <c r="Q17" i="49"/>
  <c r="N17" i="49"/>
  <c r="Q19" i="49"/>
  <c r="P19" i="49"/>
  <c r="Q21" i="49"/>
  <c r="N21" i="49"/>
  <c r="Q23" i="49"/>
  <c r="P23" i="49"/>
  <c r="Q25" i="49"/>
  <c r="N25" i="49"/>
  <c r="Q27" i="49"/>
  <c r="P27" i="49"/>
  <c r="Q29" i="49"/>
  <c r="N29" i="49"/>
  <c r="Q31" i="49"/>
  <c r="P31" i="49"/>
  <c r="Q33" i="49"/>
  <c r="N33" i="49"/>
  <c r="P34" i="49"/>
  <c r="Q35" i="49"/>
  <c r="P35" i="49"/>
  <c r="Q37" i="49"/>
  <c r="N37" i="49"/>
  <c r="P38" i="49"/>
  <c r="Q39" i="49"/>
  <c r="P39" i="49"/>
  <c r="Q41" i="49"/>
  <c r="N41" i="49"/>
  <c r="P42" i="49"/>
  <c r="Q43" i="49"/>
  <c r="P43" i="49"/>
  <c r="Q45" i="49"/>
  <c r="N45" i="49"/>
  <c r="P46" i="49"/>
  <c r="Q47" i="49"/>
  <c r="P47" i="49"/>
  <c r="Q49" i="49"/>
  <c r="N49" i="49"/>
  <c r="P50" i="49"/>
  <c r="Q51" i="49"/>
  <c r="P51" i="49"/>
  <c r="Q53" i="49"/>
  <c r="N53" i="49"/>
  <c r="P54" i="49"/>
  <c r="Q55" i="49"/>
  <c r="P55" i="49"/>
  <c r="Q57" i="49"/>
  <c r="N57" i="49"/>
  <c r="P58" i="49"/>
  <c r="Q59" i="49"/>
  <c r="P59" i="49"/>
  <c r="R63" i="49"/>
  <c r="R66" i="49"/>
  <c r="N67" i="49"/>
  <c r="P70" i="49"/>
  <c r="Q71" i="49"/>
  <c r="P71" i="49"/>
  <c r="O71" i="49"/>
  <c r="Q74" i="49"/>
  <c r="O74" i="49"/>
  <c r="N74" i="49"/>
  <c r="R79" i="49"/>
  <c r="R82" i="49"/>
  <c r="N83" i="49"/>
  <c r="P86" i="49"/>
  <c r="Q87" i="49"/>
  <c r="P87" i="49"/>
  <c r="O87" i="49"/>
  <c r="Q90" i="49"/>
  <c r="O90" i="49"/>
  <c r="N90" i="49"/>
  <c r="R95" i="49"/>
  <c r="R98" i="49"/>
  <c r="N99" i="49"/>
  <c r="P102" i="49"/>
  <c r="Q103" i="49"/>
  <c r="P103" i="49"/>
  <c r="O103" i="49"/>
  <c r="Q106" i="49"/>
  <c r="O106" i="49"/>
  <c r="N106" i="49"/>
  <c r="R111" i="49"/>
  <c r="R114" i="49"/>
  <c r="N115" i="49"/>
  <c r="P118" i="49"/>
  <c r="Q119" i="49"/>
  <c r="P119" i="49"/>
  <c r="O119" i="49"/>
  <c r="Q122" i="49"/>
  <c r="O122" i="49"/>
  <c r="N122" i="49"/>
  <c r="Q134" i="49"/>
  <c r="P134" i="49"/>
  <c r="O134" i="49"/>
  <c r="N134" i="49"/>
  <c r="R138" i="49"/>
  <c r="Q150" i="49"/>
  <c r="P150" i="49"/>
  <c r="O150" i="49"/>
  <c r="N150" i="49"/>
  <c r="R154" i="49"/>
  <c r="P246" i="49"/>
  <c r="O246" i="49"/>
  <c r="R61" i="49"/>
  <c r="R65" i="49"/>
  <c r="R69" i="49"/>
  <c r="R73" i="49"/>
  <c r="R77" i="49"/>
  <c r="R81" i="49"/>
  <c r="R85" i="49"/>
  <c r="R89" i="49"/>
  <c r="R93" i="49"/>
  <c r="R97" i="49"/>
  <c r="R101" i="49"/>
  <c r="R105" i="49"/>
  <c r="R109" i="49"/>
  <c r="R113" i="49"/>
  <c r="R117" i="49"/>
  <c r="R121" i="49"/>
  <c r="R125" i="49"/>
  <c r="O127" i="49"/>
  <c r="R129" i="49"/>
  <c r="O131" i="49"/>
  <c r="R133" i="49"/>
  <c r="O135" i="49"/>
  <c r="R137" i="49"/>
  <c r="O139" i="49"/>
  <c r="R141" i="49"/>
  <c r="O143" i="49"/>
  <c r="R145" i="49"/>
  <c r="O147" i="49"/>
  <c r="R149" i="49"/>
  <c r="O151" i="49"/>
  <c r="R153" i="49"/>
  <c r="O155" i="49"/>
  <c r="R157" i="49"/>
  <c r="O159" i="49"/>
  <c r="R161" i="49"/>
  <c r="O163" i="49"/>
  <c r="Q165" i="49"/>
  <c r="P165" i="49"/>
  <c r="Q167" i="49"/>
  <c r="N167" i="49"/>
  <c r="P168" i="49"/>
  <c r="Q169" i="49"/>
  <c r="P169" i="49"/>
  <c r="Q171" i="49"/>
  <c r="N171" i="49"/>
  <c r="P172" i="49"/>
  <c r="Q173" i="49"/>
  <c r="P173" i="49"/>
  <c r="Q175" i="49"/>
  <c r="N175" i="49"/>
  <c r="P176" i="49"/>
  <c r="Q177" i="49"/>
  <c r="P177" i="49"/>
  <c r="Q179" i="49"/>
  <c r="N179" i="49"/>
  <c r="P180" i="49"/>
  <c r="Q181" i="49"/>
  <c r="P181" i="49"/>
  <c r="Q183" i="49"/>
  <c r="N183" i="49"/>
  <c r="P184" i="49"/>
  <c r="Q185" i="49"/>
  <c r="P185" i="49"/>
  <c r="Q197" i="49"/>
  <c r="P197" i="49"/>
  <c r="O197" i="49"/>
  <c r="Q200" i="49"/>
  <c r="O200" i="49"/>
  <c r="N200" i="49"/>
  <c r="Q409" i="49"/>
  <c r="P409" i="49"/>
  <c r="R16" i="49"/>
  <c r="R20" i="49"/>
  <c r="R24" i="49"/>
  <c r="R28" i="49"/>
  <c r="R32" i="49"/>
  <c r="R36" i="49"/>
  <c r="R40" i="49"/>
  <c r="R44" i="49"/>
  <c r="R48" i="49"/>
  <c r="R52" i="49"/>
  <c r="R56" i="49"/>
  <c r="R60" i="49"/>
  <c r="N61" i="49"/>
  <c r="R64" i="49"/>
  <c r="N65" i="49"/>
  <c r="R68" i="49"/>
  <c r="N69" i="49"/>
  <c r="R72" i="49"/>
  <c r="N73" i="49"/>
  <c r="R76" i="49"/>
  <c r="N77" i="49"/>
  <c r="R80" i="49"/>
  <c r="N81" i="49"/>
  <c r="R84" i="49"/>
  <c r="N85" i="49"/>
  <c r="R88" i="49"/>
  <c r="N89" i="49"/>
  <c r="R92" i="49"/>
  <c r="N93" i="49"/>
  <c r="R96" i="49"/>
  <c r="N97" i="49"/>
  <c r="R100" i="49"/>
  <c r="N101" i="49"/>
  <c r="R104" i="49"/>
  <c r="N105" i="49"/>
  <c r="R108" i="49"/>
  <c r="N109" i="49"/>
  <c r="R112" i="49"/>
  <c r="N113" i="49"/>
  <c r="R116" i="49"/>
  <c r="N117" i="49"/>
  <c r="R120" i="49"/>
  <c r="N121" i="49"/>
  <c r="R124" i="49"/>
  <c r="N125" i="49"/>
  <c r="P127" i="49"/>
  <c r="R128" i="49"/>
  <c r="N129" i="49"/>
  <c r="P131" i="49"/>
  <c r="R132" i="49"/>
  <c r="N133" i="49"/>
  <c r="P135" i="49"/>
  <c r="R136" i="49"/>
  <c r="N137" i="49"/>
  <c r="P139" i="49"/>
  <c r="R140" i="49"/>
  <c r="N141" i="49"/>
  <c r="P143" i="49"/>
  <c r="R144" i="49"/>
  <c r="N145" i="49"/>
  <c r="P147" i="49"/>
  <c r="R148" i="49"/>
  <c r="N149" i="49"/>
  <c r="P151" i="49"/>
  <c r="R152" i="49"/>
  <c r="N153" i="49"/>
  <c r="P155" i="49"/>
  <c r="R156" i="49"/>
  <c r="N157" i="49"/>
  <c r="P159" i="49"/>
  <c r="R160" i="49"/>
  <c r="N161" i="49"/>
  <c r="P163" i="49"/>
  <c r="R164" i="49"/>
  <c r="N165" i="49"/>
  <c r="O167" i="49"/>
  <c r="N169" i="49"/>
  <c r="O171" i="49"/>
  <c r="N173" i="49"/>
  <c r="O175" i="49"/>
  <c r="N177" i="49"/>
  <c r="O179" i="49"/>
  <c r="N181" i="49"/>
  <c r="Q188" i="49"/>
  <c r="O188" i="49"/>
  <c r="N188" i="49"/>
  <c r="Q201" i="49"/>
  <c r="P201" i="49"/>
  <c r="O201" i="49"/>
  <c r="Q204" i="49"/>
  <c r="O204" i="49"/>
  <c r="N204" i="49"/>
  <c r="P294" i="49"/>
  <c r="O294" i="49"/>
  <c r="P298" i="49"/>
  <c r="O298" i="49"/>
  <c r="P302" i="49"/>
  <c r="O302" i="49"/>
  <c r="P306" i="49"/>
  <c r="O306" i="49"/>
  <c r="R127" i="49"/>
  <c r="R131" i="49"/>
  <c r="R135" i="49"/>
  <c r="R139" i="49"/>
  <c r="R143" i="49"/>
  <c r="R147" i="49"/>
  <c r="R151" i="49"/>
  <c r="R155" i="49"/>
  <c r="R159" i="49"/>
  <c r="R163" i="49"/>
  <c r="Q168" i="49"/>
  <c r="O168" i="49"/>
  <c r="Q172" i="49"/>
  <c r="O172" i="49"/>
  <c r="Q176" i="49"/>
  <c r="O176" i="49"/>
  <c r="Q180" i="49"/>
  <c r="O180" i="49"/>
  <c r="Q184" i="49"/>
  <c r="O184" i="49"/>
  <c r="Q189" i="49"/>
  <c r="P189" i="49"/>
  <c r="O189" i="49"/>
  <c r="Q192" i="49"/>
  <c r="O192" i="49"/>
  <c r="N192" i="49"/>
  <c r="Q205" i="49"/>
  <c r="P205" i="49"/>
  <c r="O205" i="49"/>
  <c r="Q401" i="49"/>
  <c r="P401" i="49"/>
  <c r="P417" i="49"/>
  <c r="R460" i="49"/>
  <c r="R476" i="49"/>
  <c r="R492" i="49"/>
  <c r="R508" i="49"/>
  <c r="R521" i="49"/>
  <c r="Q552" i="49"/>
  <c r="O552" i="49"/>
  <c r="Q560" i="49"/>
  <c r="O560" i="49"/>
  <c r="Q564" i="49"/>
  <c r="N564" i="49"/>
  <c r="P564" i="49"/>
  <c r="P675" i="49"/>
  <c r="Q675" i="49"/>
  <c r="O675" i="49"/>
  <c r="R675" i="49"/>
  <c r="N675" i="49"/>
  <c r="P687" i="49"/>
  <c r="Q687" i="49"/>
  <c r="O687" i="49"/>
  <c r="R687" i="49"/>
  <c r="N687" i="49"/>
  <c r="P748" i="49"/>
  <c r="Q748" i="49"/>
  <c r="O748" i="49"/>
  <c r="R748" i="49"/>
  <c r="N748" i="49"/>
  <c r="Q790" i="49"/>
  <c r="P790" i="49"/>
  <c r="O790" i="49"/>
  <c r="N790" i="49"/>
  <c r="P823" i="49"/>
  <c r="Q823" i="49"/>
  <c r="N823" i="49"/>
  <c r="R823" i="49"/>
  <c r="O823" i="49"/>
  <c r="Q891" i="49"/>
  <c r="R891" i="49"/>
  <c r="O891" i="49"/>
  <c r="N891" i="49"/>
  <c r="R187" i="49"/>
  <c r="R191" i="49"/>
  <c r="R195" i="49"/>
  <c r="R199" i="49"/>
  <c r="R203" i="49"/>
  <c r="P407" i="49"/>
  <c r="P415" i="49"/>
  <c r="N443" i="49"/>
  <c r="Q444" i="49"/>
  <c r="O448" i="49"/>
  <c r="N451" i="49"/>
  <c r="Q452" i="49"/>
  <c r="O456" i="49"/>
  <c r="P459" i="49"/>
  <c r="N460" i="49"/>
  <c r="P461" i="49"/>
  <c r="O462" i="49"/>
  <c r="R464" i="49"/>
  <c r="P465" i="49"/>
  <c r="N467" i="49"/>
  <c r="Q468" i="49"/>
  <c r="N471" i="49"/>
  <c r="Q472" i="49"/>
  <c r="R475" i="49"/>
  <c r="N476" i="49"/>
  <c r="O479" i="49"/>
  <c r="R480" i="49"/>
  <c r="P481" i="49"/>
  <c r="N483" i="49"/>
  <c r="Q484" i="49"/>
  <c r="N487" i="49"/>
  <c r="Q488" i="49"/>
  <c r="R491" i="49"/>
  <c r="N492" i="49"/>
  <c r="O495" i="49"/>
  <c r="R496" i="49"/>
  <c r="P497" i="49"/>
  <c r="N499" i="49"/>
  <c r="Q500" i="49"/>
  <c r="N503" i="49"/>
  <c r="Q504" i="49"/>
  <c r="R507" i="49"/>
  <c r="N508" i="49"/>
  <c r="O511" i="49"/>
  <c r="R512" i="49"/>
  <c r="P513" i="49"/>
  <c r="N516" i="49"/>
  <c r="R517" i="49"/>
  <c r="N518" i="49"/>
  <c r="P520" i="49"/>
  <c r="N521" i="49"/>
  <c r="O525" i="49"/>
  <c r="R526" i="49"/>
  <c r="O527" i="49"/>
  <c r="Q529" i="49"/>
  <c r="P533" i="49"/>
  <c r="Q533" i="49"/>
  <c r="N533" i="49"/>
  <c r="Q544" i="49"/>
  <c r="O544" i="49"/>
  <c r="P549" i="49"/>
  <c r="Q549" i="49"/>
  <c r="N549" i="49"/>
  <c r="P552" i="49"/>
  <c r="P557" i="49"/>
  <c r="N557" i="49"/>
  <c r="Q557" i="49"/>
  <c r="P560" i="49"/>
  <c r="Q562" i="49"/>
  <c r="P562" i="49"/>
  <c r="N562" i="49"/>
  <c r="O564" i="49"/>
  <c r="Q568" i="49"/>
  <c r="N568" i="49"/>
  <c r="P568" i="49"/>
  <c r="Q574" i="49"/>
  <c r="N574" i="49"/>
  <c r="R574" i="49"/>
  <c r="O574" i="49"/>
  <c r="Q575" i="49"/>
  <c r="O575" i="49"/>
  <c r="N575" i="49"/>
  <c r="R575" i="49"/>
  <c r="Q576" i="49"/>
  <c r="P576" i="49"/>
  <c r="R576" i="49"/>
  <c r="N576" i="49"/>
  <c r="Q582" i="49"/>
  <c r="N582" i="49"/>
  <c r="R582" i="49"/>
  <c r="O582" i="49"/>
  <c r="Q583" i="49"/>
  <c r="O583" i="49"/>
  <c r="N583" i="49"/>
  <c r="R583" i="49"/>
  <c r="Q584" i="49"/>
  <c r="P584" i="49"/>
  <c r="R584" i="49"/>
  <c r="N584" i="49"/>
  <c r="Q680" i="49"/>
  <c r="P680" i="49"/>
  <c r="P756" i="49"/>
  <c r="Q756" i="49"/>
  <c r="O756" i="49"/>
  <c r="R756" i="49"/>
  <c r="N756" i="49"/>
  <c r="R166" i="49"/>
  <c r="R170" i="49"/>
  <c r="R174" i="49"/>
  <c r="R178" i="49"/>
  <c r="R182" i="49"/>
  <c r="R186" i="49"/>
  <c r="N187" i="49"/>
  <c r="R190" i="49"/>
  <c r="N191" i="49"/>
  <c r="R194" i="49"/>
  <c r="N195" i="49"/>
  <c r="R198" i="49"/>
  <c r="N199" i="49"/>
  <c r="R202" i="49"/>
  <c r="N203" i="49"/>
  <c r="O443" i="49"/>
  <c r="Q448" i="49"/>
  <c r="O451" i="49"/>
  <c r="R452" i="49"/>
  <c r="Q456" i="49"/>
  <c r="O460" i="49"/>
  <c r="O467" i="49"/>
  <c r="R468" i="49"/>
  <c r="O471" i="49"/>
  <c r="R472" i="49"/>
  <c r="O476" i="49"/>
  <c r="R479" i="49"/>
  <c r="O483" i="49"/>
  <c r="R484" i="49"/>
  <c r="O487" i="49"/>
  <c r="R488" i="49"/>
  <c r="O492" i="49"/>
  <c r="R495" i="49"/>
  <c r="O499" i="49"/>
  <c r="R500" i="49"/>
  <c r="O503" i="49"/>
  <c r="R504" i="49"/>
  <c r="O508" i="49"/>
  <c r="R511" i="49"/>
  <c r="P518" i="49"/>
  <c r="O521" i="49"/>
  <c r="Q525" i="49"/>
  <c r="R529" i="49"/>
  <c r="R564" i="49"/>
  <c r="Q566" i="49"/>
  <c r="P566" i="49"/>
  <c r="N566" i="49"/>
  <c r="Q588" i="49"/>
  <c r="P588" i="49"/>
  <c r="R588" i="49"/>
  <c r="O588" i="49"/>
  <c r="N588" i="49"/>
  <c r="Q592" i="49"/>
  <c r="P592" i="49"/>
  <c r="R592" i="49"/>
  <c r="O592" i="49"/>
  <c r="N592" i="49"/>
  <c r="Q596" i="49"/>
  <c r="P596" i="49"/>
  <c r="R596" i="49"/>
  <c r="O596" i="49"/>
  <c r="N596" i="49"/>
  <c r="Q600" i="49"/>
  <c r="P600" i="49"/>
  <c r="R600" i="49"/>
  <c r="O600" i="49"/>
  <c r="N600" i="49"/>
  <c r="Q604" i="49"/>
  <c r="P604" i="49"/>
  <c r="R604" i="49"/>
  <c r="O604" i="49"/>
  <c r="N604" i="49"/>
  <c r="Q608" i="49"/>
  <c r="P608" i="49"/>
  <c r="R608" i="49"/>
  <c r="O608" i="49"/>
  <c r="N608" i="49"/>
  <c r="Q612" i="49"/>
  <c r="P612" i="49"/>
  <c r="R612" i="49"/>
  <c r="O612" i="49"/>
  <c r="N612" i="49"/>
  <c r="Q616" i="49"/>
  <c r="P616" i="49"/>
  <c r="R616" i="49"/>
  <c r="O616" i="49"/>
  <c r="N616" i="49"/>
  <c r="Q620" i="49"/>
  <c r="P620" i="49"/>
  <c r="R620" i="49"/>
  <c r="O620" i="49"/>
  <c r="N620" i="49"/>
  <c r="Q624" i="49"/>
  <c r="P624" i="49"/>
  <c r="R624" i="49"/>
  <c r="O624" i="49"/>
  <c r="N624" i="49"/>
  <c r="Q628" i="49"/>
  <c r="P628" i="49"/>
  <c r="R628" i="49"/>
  <c r="O628" i="49"/>
  <c r="N628" i="49"/>
  <c r="Q632" i="49"/>
  <c r="P632" i="49"/>
  <c r="R632" i="49"/>
  <c r="O632" i="49"/>
  <c r="N632" i="49"/>
  <c r="Q636" i="49"/>
  <c r="P636" i="49"/>
  <c r="R636" i="49"/>
  <c r="O636" i="49"/>
  <c r="N636" i="49"/>
  <c r="Q640" i="49"/>
  <c r="P640" i="49"/>
  <c r="R640" i="49"/>
  <c r="O640" i="49"/>
  <c r="N640" i="49"/>
  <c r="Q648" i="49"/>
  <c r="O648" i="49"/>
  <c r="N648" i="49"/>
  <c r="R648" i="49"/>
  <c r="P671" i="49"/>
  <c r="Q671" i="49"/>
  <c r="O671" i="49"/>
  <c r="R671" i="49"/>
  <c r="N671" i="49"/>
  <c r="P691" i="49"/>
  <c r="Q691" i="49"/>
  <c r="O691" i="49"/>
  <c r="R691" i="49"/>
  <c r="N691" i="49"/>
  <c r="P732" i="49"/>
  <c r="Q732" i="49"/>
  <c r="O732" i="49"/>
  <c r="R732" i="49"/>
  <c r="N732" i="49"/>
  <c r="R765" i="49"/>
  <c r="Q765" i="49"/>
  <c r="O765" i="49"/>
  <c r="N765" i="49"/>
  <c r="P767" i="49"/>
  <c r="Q767" i="49"/>
  <c r="O767" i="49"/>
  <c r="N767" i="49"/>
  <c r="R767" i="49"/>
  <c r="R448" i="49"/>
  <c r="P451" i="49"/>
  <c r="R456" i="49"/>
  <c r="Q460" i="49"/>
  <c r="R467" i="49"/>
  <c r="R471" i="49"/>
  <c r="Q476" i="49"/>
  <c r="R483" i="49"/>
  <c r="R487" i="49"/>
  <c r="Q492" i="49"/>
  <c r="R499" i="49"/>
  <c r="R503" i="49"/>
  <c r="Q508" i="49"/>
  <c r="R518" i="49"/>
  <c r="Q521" i="49"/>
  <c r="R525" i="49"/>
  <c r="Q536" i="49"/>
  <c r="O536" i="49"/>
  <c r="P541" i="49"/>
  <c r="N541" i="49"/>
  <c r="Q541" i="49"/>
  <c r="Q570" i="49"/>
  <c r="N570" i="49"/>
  <c r="R570" i="49"/>
  <c r="O570" i="49"/>
  <c r="Q571" i="49"/>
  <c r="O571" i="49"/>
  <c r="N571" i="49"/>
  <c r="R571" i="49"/>
  <c r="Q572" i="49"/>
  <c r="P572" i="49"/>
  <c r="R572" i="49"/>
  <c r="N572" i="49"/>
  <c r="Q578" i="49"/>
  <c r="N578" i="49"/>
  <c r="R578" i="49"/>
  <c r="O578" i="49"/>
  <c r="Q579" i="49"/>
  <c r="O579" i="49"/>
  <c r="N579" i="49"/>
  <c r="R579" i="49"/>
  <c r="Q580" i="49"/>
  <c r="P580" i="49"/>
  <c r="R580" i="49"/>
  <c r="N580" i="49"/>
  <c r="Q586" i="49"/>
  <c r="N586" i="49"/>
  <c r="R586" i="49"/>
  <c r="P586" i="49"/>
  <c r="O586" i="49"/>
  <c r="Q590" i="49"/>
  <c r="N590" i="49"/>
  <c r="R590" i="49"/>
  <c r="P590" i="49"/>
  <c r="O590" i="49"/>
  <c r="Q594" i="49"/>
  <c r="N594" i="49"/>
  <c r="R594" i="49"/>
  <c r="P594" i="49"/>
  <c r="O594" i="49"/>
  <c r="Q598" i="49"/>
  <c r="N598" i="49"/>
  <c r="R598" i="49"/>
  <c r="P598" i="49"/>
  <c r="O598" i="49"/>
  <c r="Q602" i="49"/>
  <c r="N602" i="49"/>
  <c r="R602" i="49"/>
  <c r="P602" i="49"/>
  <c r="O602" i="49"/>
  <c r="Q606" i="49"/>
  <c r="N606" i="49"/>
  <c r="R606" i="49"/>
  <c r="P606" i="49"/>
  <c r="O606" i="49"/>
  <c r="Q610" i="49"/>
  <c r="N610" i="49"/>
  <c r="R610" i="49"/>
  <c r="P610" i="49"/>
  <c r="O610" i="49"/>
  <c r="Q614" i="49"/>
  <c r="N614" i="49"/>
  <c r="R614" i="49"/>
  <c r="P614" i="49"/>
  <c r="O614" i="49"/>
  <c r="Q618" i="49"/>
  <c r="N618" i="49"/>
  <c r="R618" i="49"/>
  <c r="P618" i="49"/>
  <c r="O618" i="49"/>
  <c r="Q622" i="49"/>
  <c r="N622" i="49"/>
  <c r="R622" i="49"/>
  <c r="P622" i="49"/>
  <c r="O622" i="49"/>
  <c r="Q626" i="49"/>
  <c r="N626" i="49"/>
  <c r="R626" i="49"/>
  <c r="P626" i="49"/>
  <c r="O626" i="49"/>
  <c r="Q630" i="49"/>
  <c r="N630" i="49"/>
  <c r="R630" i="49"/>
  <c r="P630" i="49"/>
  <c r="O630" i="49"/>
  <c r="Q634" i="49"/>
  <c r="N634" i="49"/>
  <c r="R634" i="49"/>
  <c r="P634" i="49"/>
  <c r="O634" i="49"/>
  <c r="Q638" i="49"/>
  <c r="N638" i="49"/>
  <c r="R638" i="49"/>
  <c r="P638" i="49"/>
  <c r="O638" i="49"/>
  <c r="Q664" i="49"/>
  <c r="P664" i="49"/>
  <c r="Q696" i="49"/>
  <c r="P696" i="49"/>
  <c r="P740" i="49"/>
  <c r="Q740" i="49"/>
  <c r="O740" i="49"/>
  <c r="R740" i="49"/>
  <c r="N740" i="49"/>
  <c r="P534" i="49"/>
  <c r="O537" i="49"/>
  <c r="R545" i="49"/>
  <c r="R561" i="49"/>
  <c r="R565" i="49"/>
  <c r="R569" i="49"/>
  <c r="P653" i="49"/>
  <c r="Q653" i="49"/>
  <c r="O653" i="49"/>
  <c r="P657" i="49"/>
  <c r="Q657" i="49"/>
  <c r="O657" i="49"/>
  <c r="P712" i="49"/>
  <c r="O712" i="49"/>
  <c r="N712" i="49"/>
  <c r="P720" i="49"/>
  <c r="O720" i="49"/>
  <c r="N720" i="49"/>
  <c r="P728" i="49"/>
  <c r="O728" i="49"/>
  <c r="N728" i="49"/>
  <c r="Q777" i="49"/>
  <c r="P777" i="49"/>
  <c r="O777" i="49"/>
  <c r="N796" i="49"/>
  <c r="Q796" i="49"/>
  <c r="O809" i="49"/>
  <c r="Q809" i="49"/>
  <c r="P809" i="49"/>
  <c r="Q822" i="49"/>
  <c r="N822" i="49"/>
  <c r="P822" i="49"/>
  <c r="O822" i="49"/>
  <c r="Q587" i="49"/>
  <c r="O587" i="49"/>
  <c r="Q591" i="49"/>
  <c r="O591" i="49"/>
  <c r="Q595" i="49"/>
  <c r="O595" i="49"/>
  <c r="Q599" i="49"/>
  <c r="O599" i="49"/>
  <c r="Q603" i="49"/>
  <c r="O603" i="49"/>
  <c r="Q607" i="49"/>
  <c r="O607" i="49"/>
  <c r="Q611" i="49"/>
  <c r="O611" i="49"/>
  <c r="Q615" i="49"/>
  <c r="O615" i="49"/>
  <c r="Q619" i="49"/>
  <c r="O619" i="49"/>
  <c r="Q623" i="49"/>
  <c r="O623" i="49"/>
  <c r="Q627" i="49"/>
  <c r="O627" i="49"/>
  <c r="Q631" i="49"/>
  <c r="O631" i="49"/>
  <c r="Q635" i="49"/>
  <c r="O635" i="49"/>
  <c r="Q639" i="49"/>
  <c r="O639" i="49"/>
  <c r="Q644" i="49"/>
  <c r="R644" i="49"/>
  <c r="Q666" i="49"/>
  <c r="O666" i="49"/>
  <c r="N666" i="49"/>
  <c r="Q678" i="49"/>
  <c r="R678" i="49"/>
  <c r="O678" i="49"/>
  <c r="Q682" i="49"/>
  <c r="O682" i="49"/>
  <c r="N682" i="49"/>
  <c r="Q694" i="49"/>
  <c r="R694" i="49"/>
  <c r="O694" i="49"/>
  <c r="Q698" i="49"/>
  <c r="O698" i="49"/>
  <c r="N698" i="49"/>
  <c r="O713" i="49"/>
  <c r="R713" i="49"/>
  <c r="P713" i="49"/>
  <c r="Q720" i="49"/>
  <c r="O721" i="49"/>
  <c r="R721" i="49"/>
  <c r="P721" i="49"/>
  <c r="Q728" i="49"/>
  <c r="O729" i="49"/>
  <c r="R729" i="49"/>
  <c r="P729" i="49"/>
  <c r="P736" i="49"/>
  <c r="O736" i="49"/>
  <c r="N736" i="49"/>
  <c r="P744" i="49"/>
  <c r="O744" i="49"/>
  <c r="N744" i="49"/>
  <c r="P752" i="49"/>
  <c r="O752" i="49"/>
  <c r="N752" i="49"/>
  <c r="P760" i="49"/>
  <c r="O760" i="49"/>
  <c r="N760" i="49"/>
  <c r="Q774" i="49"/>
  <c r="P774" i="49"/>
  <c r="O774" i="49"/>
  <c r="N774" i="49"/>
  <c r="P783" i="49"/>
  <c r="Q783" i="49"/>
  <c r="O783" i="49"/>
  <c r="N783" i="49"/>
  <c r="P815" i="49"/>
  <c r="N815" i="49"/>
  <c r="R815" i="49"/>
  <c r="Q815" i="49"/>
  <c r="O815" i="49"/>
  <c r="Q830" i="49"/>
  <c r="R830" i="49"/>
  <c r="O830" i="49"/>
  <c r="N830" i="49"/>
  <c r="P835" i="49"/>
  <c r="Q835" i="49"/>
  <c r="O835" i="49"/>
  <c r="N835" i="49"/>
  <c r="R835" i="49"/>
  <c r="R537" i="49"/>
  <c r="P542" i="49"/>
  <c r="O545" i="49"/>
  <c r="R553" i="49"/>
  <c r="P558" i="49"/>
  <c r="O561" i="49"/>
  <c r="R563" i="49"/>
  <c r="O565" i="49"/>
  <c r="R567" i="49"/>
  <c r="O569" i="49"/>
  <c r="N587" i="49"/>
  <c r="N591" i="49"/>
  <c r="N595" i="49"/>
  <c r="N599" i="49"/>
  <c r="N603" i="49"/>
  <c r="N607" i="49"/>
  <c r="N611" i="49"/>
  <c r="N615" i="49"/>
  <c r="N619" i="49"/>
  <c r="N623" i="49"/>
  <c r="N627" i="49"/>
  <c r="N631" i="49"/>
  <c r="N635" i="49"/>
  <c r="N639" i="49"/>
  <c r="N644" i="49"/>
  <c r="P645" i="49"/>
  <c r="N645" i="49"/>
  <c r="R653" i="49"/>
  <c r="R657" i="49"/>
  <c r="Q662" i="49"/>
  <c r="R662" i="49"/>
  <c r="O662" i="49"/>
  <c r="R666" i="49"/>
  <c r="N678" i="49"/>
  <c r="R682" i="49"/>
  <c r="N694" i="49"/>
  <c r="R698" i="49"/>
  <c r="P703" i="49"/>
  <c r="Q703" i="49"/>
  <c r="O703" i="49"/>
  <c r="P708" i="49"/>
  <c r="Q708" i="49"/>
  <c r="O708" i="49"/>
  <c r="R712" i="49"/>
  <c r="N713" i="49"/>
  <c r="P716" i="49"/>
  <c r="Q716" i="49"/>
  <c r="O716" i="49"/>
  <c r="R720" i="49"/>
  <c r="N721" i="49"/>
  <c r="P724" i="49"/>
  <c r="Q724" i="49"/>
  <c r="O724" i="49"/>
  <c r="R728" i="49"/>
  <c r="N729" i="49"/>
  <c r="Q736" i="49"/>
  <c r="O737" i="49"/>
  <c r="R737" i="49"/>
  <c r="P737" i="49"/>
  <c r="Q744" i="49"/>
  <c r="O745" i="49"/>
  <c r="R745" i="49"/>
  <c r="P745" i="49"/>
  <c r="Q752" i="49"/>
  <c r="O753" i="49"/>
  <c r="R753" i="49"/>
  <c r="P753" i="49"/>
  <c r="Q760" i="49"/>
  <c r="O761" i="49"/>
  <c r="R761" i="49"/>
  <c r="P761" i="49"/>
  <c r="Q780" i="49"/>
  <c r="N780" i="49"/>
  <c r="R783" i="49"/>
  <c r="Q793" i="49"/>
  <c r="P793" i="49"/>
  <c r="O793" i="49"/>
  <c r="P861" i="49"/>
  <c r="Q861" i="49"/>
  <c r="O861" i="49"/>
  <c r="N861" i="49"/>
  <c r="R861" i="49"/>
  <c r="R779" i="49"/>
  <c r="R795" i="49"/>
  <c r="Q798" i="49"/>
  <c r="P798" i="49"/>
  <c r="Q842" i="49"/>
  <c r="R842" i="49"/>
  <c r="O842" i="49"/>
  <c r="N842" i="49"/>
  <c r="R855" i="49"/>
  <c r="Q855" i="49"/>
  <c r="O855" i="49"/>
  <c r="N855" i="49"/>
  <c r="P857" i="49"/>
  <c r="Q857" i="49"/>
  <c r="O857" i="49"/>
  <c r="N857" i="49"/>
  <c r="P873" i="49"/>
  <c r="Q873" i="49"/>
  <c r="O873" i="49"/>
  <c r="N873" i="49"/>
  <c r="R882" i="49"/>
  <c r="P882" i="49"/>
  <c r="P887" i="49"/>
  <c r="Q887" i="49"/>
  <c r="O887" i="49"/>
  <c r="N887" i="49"/>
  <c r="Q649" i="49"/>
  <c r="R663" i="49"/>
  <c r="R679" i="49"/>
  <c r="R695" i="49"/>
  <c r="Q699" i="49"/>
  <c r="R775" i="49"/>
  <c r="N779" i="49"/>
  <c r="O781" i="49"/>
  <c r="R791" i="49"/>
  <c r="N795" i="49"/>
  <c r="N798" i="49"/>
  <c r="P799" i="49"/>
  <c r="N799" i="49"/>
  <c r="N804" i="49"/>
  <c r="Q806" i="49"/>
  <c r="N806" i="49"/>
  <c r="O817" i="49"/>
  <c r="P839" i="49"/>
  <c r="Q839" i="49"/>
  <c r="O839" i="49"/>
  <c r="N839" i="49"/>
  <c r="Q850" i="49"/>
  <c r="R850" i="49"/>
  <c r="O850" i="49"/>
  <c r="N850" i="49"/>
  <c r="R857" i="49"/>
  <c r="P859" i="49"/>
  <c r="O859" i="49"/>
  <c r="R873" i="49"/>
  <c r="P875" i="49"/>
  <c r="O875" i="49"/>
  <c r="R887" i="49"/>
  <c r="R889" i="49"/>
  <c r="Q889" i="49"/>
  <c r="O889" i="49"/>
  <c r="R573" i="49"/>
  <c r="R577" i="49"/>
  <c r="R581" i="49"/>
  <c r="R585" i="49"/>
  <c r="R589" i="49"/>
  <c r="R593" i="49"/>
  <c r="R597" i="49"/>
  <c r="R601" i="49"/>
  <c r="R605" i="49"/>
  <c r="R609" i="49"/>
  <c r="R613" i="49"/>
  <c r="R617" i="49"/>
  <c r="R621" i="49"/>
  <c r="R625" i="49"/>
  <c r="R629" i="49"/>
  <c r="R633" i="49"/>
  <c r="R637" i="49"/>
  <c r="Q641" i="49"/>
  <c r="R649" i="49"/>
  <c r="N652" i="49"/>
  <c r="N656" i="49"/>
  <c r="N663" i="49"/>
  <c r="R667" i="49"/>
  <c r="N670" i="49"/>
  <c r="N674" i="49"/>
  <c r="R683" i="49"/>
  <c r="N686" i="49"/>
  <c r="N690" i="49"/>
  <c r="R699" i="49"/>
  <c r="N702" i="49"/>
  <c r="N706" i="49"/>
  <c r="N766" i="49"/>
  <c r="R771" i="49"/>
  <c r="N775" i="49"/>
  <c r="O779" i="49"/>
  <c r="N782" i="49"/>
  <c r="R787" i="49"/>
  <c r="N791" i="49"/>
  <c r="O795" i="49"/>
  <c r="O798" i="49"/>
  <c r="O799" i="49"/>
  <c r="P803" i="49"/>
  <c r="O803" i="49"/>
  <c r="O805" i="49"/>
  <c r="O806" i="49"/>
  <c r="P807" i="49"/>
  <c r="Q807" i="49"/>
  <c r="Q812" i="49"/>
  <c r="Q814" i="49"/>
  <c r="P814" i="49"/>
  <c r="P817" i="49"/>
  <c r="R839" i="49"/>
  <c r="R885" i="49"/>
  <c r="Q885" i="49"/>
  <c r="O885" i="49"/>
  <c r="R819" i="49"/>
  <c r="Q825" i="49"/>
  <c r="O827" i="49"/>
  <c r="Q831" i="49"/>
  <c r="R834" i="49"/>
  <c r="R838" i="49"/>
  <c r="R847" i="49"/>
  <c r="R881" i="49"/>
  <c r="R883" i="49"/>
  <c r="R939" i="49"/>
  <c r="N940" i="49"/>
  <c r="R831" i="49"/>
  <c r="R843" i="49"/>
  <c r="N847" i="49"/>
  <c r="R851" i="49"/>
  <c r="P852" i="49"/>
  <c r="N864" i="49"/>
  <c r="P876" i="49"/>
  <c r="R877" i="49"/>
  <c r="N881" i="49"/>
  <c r="N883" i="49"/>
  <c r="R892" i="49"/>
  <c r="Q893" i="49"/>
  <c r="N895" i="49"/>
  <c r="N899" i="49"/>
  <c r="R902" i="49"/>
  <c r="N903" i="49"/>
  <c r="R906" i="49"/>
  <c r="N907" i="49"/>
  <c r="R910" i="49"/>
  <c r="N911" i="49"/>
  <c r="R914" i="49"/>
  <c r="N915" i="49"/>
  <c r="R918" i="49"/>
  <c r="N919" i="49"/>
  <c r="R922" i="49"/>
  <c r="N923" i="49"/>
  <c r="R926" i="49"/>
  <c r="N927" i="49"/>
  <c r="R930" i="49"/>
  <c r="N931" i="49"/>
  <c r="R934" i="49"/>
  <c r="N935" i="49"/>
  <c r="N939" i="49"/>
  <c r="R940" i="49"/>
  <c r="R811" i="49"/>
  <c r="R827" i="49"/>
  <c r="N831" i="49"/>
  <c r="N834" i="49"/>
  <c r="N838" i="49"/>
  <c r="O847" i="49"/>
  <c r="N851" i="49"/>
  <c r="N854" i="49"/>
  <c r="N856" i="49"/>
  <c r="O864" i="49"/>
  <c r="R865" i="49"/>
  <c r="N866" i="49"/>
  <c r="R869" i="49"/>
  <c r="N872" i="49"/>
  <c r="N877" i="49"/>
  <c r="O881" i="49"/>
  <c r="O883" i="49"/>
  <c r="N892" i="49"/>
  <c r="O895" i="49"/>
  <c r="R896" i="49"/>
  <c r="Q897" i="49"/>
  <c r="R899" i="49"/>
  <c r="O900" i="49"/>
  <c r="N902" i="49"/>
  <c r="R903" i="49"/>
  <c r="O904" i="49"/>
  <c r="N906" i="49"/>
  <c r="R907" i="49"/>
  <c r="O908" i="49"/>
  <c r="N910" i="49"/>
  <c r="R911" i="49"/>
  <c r="O912" i="49"/>
  <c r="N914" i="49"/>
  <c r="R915" i="49"/>
  <c r="O916" i="49"/>
  <c r="N918" i="49"/>
  <c r="R919" i="49"/>
  <c r="O920" i="49"/>
  <c r="N922" i="49"/>
  <c r="R923" i="49"/>
  <c r="O924" i="49"/>
  <c r="N926" i="49"/>
  <c r="R927" i="49"/>
  <c r="O928" i="49"/>
  <c r="N930" i="49"/>
  <c r="R931" i="49"/>
  <c r="O932" i="49"/>
  <c r="N934" i="49"/>
  <c r="R935" i="49"/>
  <c r="O936" i="49"/>
  <c r="O939" i="49"/>
  <c r="R207" i="49"/>
  <c r="N207" i="49"/>
  <c r="O207" i="49"/>
  <c r="R219" i="49"/>
  <c r="N219" i="49"/>
  <c r="O219" i="49"/>
  <c r="R231" i="49"/>
  <c r="N231" i="49"/>
  <c r="O231" i="49"/>
  <c r="R239" i="49"/>
  <c r="N239" i="49"/>
  <c r="O239" i="49"/>
  <c r="R247" i="49"/>
  <c r="N247" i="49"/>
  <c r="O247" i="49"/>
  <c r="R275" i="49"/>
  <c r="N275" i="49"/>
  <c r="O275" i="49"/>
  <c r="R291" i="49"/>
  <c r="N291" i="49"/>
  <c r="O291" i="49"/>
  <c r="R406" i="49"/>
  <c r="N406" i="49"/>
  <c r="Q406" i="49"/>
  <c r="P406" i="49"/>
  <c r="O406" i="49"/>
  <c r="O501" i="49"/>
  <c r="R501" i="49"/>
  <c r="N501" i="49"/>
  <c r="Q501" i="49"/>
  <c r="P501" i="49"/>
  <c r="P207" i="49"/>
  <c r="R208" i="49"/>
  <c r="N208" i="49"/>
  <c r="Q208" i="49"/>
  <c r="R212" i="49"/>
  <c r="N212" i="49"/>
  <c r="Q212" i="49"/>
  <c r="P215" i="49"/>
  <c r="R216" i="49"/>
  <c r="N216" i="49"/>
  <c r="Q216" i="49"/>
  <c r="P219" i="49"/>
  <c r="R220" i="49"/>
  <c r="N220" i="49"/>
  <c r="Q220" i="49"/>
  <c r="R224" i="49"/>
  <c r="N224" i="49"/>
  <c r="Q224" i="49"/>
  <c r="P227" i="49"/>
  <c r="R228" i="49"/>
  <c r="N228" i="49"/>
  <c r="Q228" i="49"/>
  <c r="P231" i="49"/>
  <c r="R232" i="49"/>
  <c r="N232" i="49"/>
  <c r="Q232" i="49"/>
  <c r="R236" i="49"/>
  <c r="N236" i="49"/>
  <c r="Q236" i="49"/>
  <c r="P239" i="49"/>
  <c r="R240" i="49"/>
  <c r="N240" i="49"/>
  <c r="Q240" i="49"/>
  <c r="P243" i="49"/>
  <c r="R244" i="49"/>
  <c r="N244" i="49"/>
  <c r="Q244" i="49"/>
  <c r="P247" i="49"/>
  <c r="R248" i="49"/>
  <c r="N248" i="49"/>
  <c r="Q248" i="49"/>
  <c r="R252" i="49"/>
  <c r="N252" i="49"/>
  <c r="Q252" i="49"/>
  <c r="P255" i="49"/>
  <c r="R256" i="49"/>
  <c r="N256" i="49"/>
  <c r="Q256" i="49"/>
  <c r="P259" i="49"/>
  <c r="R260" i="49"/>
  <c r="N260" i="49"/>
  <c r="Q260" i="49"/>
  <c r="R264" i="49"/>
  <c r="N264" i="49"/>
  <c r="Q264" i="49"/>
  <c r="P267" i="49"/>
  <c r="R268" i="49"/>
  <c r="N268" i="49"/>
  <c r="Q268" i="49"/>
  <c r="R272" i="49"/>
  <c r="N272" i="49"/>
  <c r="Q272" i="49"/>
  <c r="P275" i="49"/>
  <c r="R276" i="49"/>
  <c r="N276" i="49"/>
  <c r="Q276" i="49"/>
  <c r="R280" i="49"/>
  <c r="N280" i="49"/>
  <c r="Q280" i="49"/>
  <c r="P283" i="49"/>
  <c r="R284" i="49"/>
  <c r="N284" i="49"/>
  <c r="Q284" i="49"/>
  <c r="P287" i="49"/>
  <c r="R288" i="49"/>
  <c r="N288" i="49"/>
  <c r="Q288" i="49"/>
  <c r="P291" i="49"/>
  <c r="R292" i="49"/>
  <c r="N292" i="49"/>
  <c r="Q292" i="49"/>
  <c r="P295" i="49"/>
  <c r="R296" i="49"/>
  <c r="N296" i="49"/>
  <c r="Q296" i="49"/>
  <c r="P299" i="49"/>
  <c r="R300" i="49"/>
  <c r="N300" i="49"/>
  <c r="Q300" i="49"/>
  <c r="P303" i="49"/>
  <c r="R304" i="49"/>
  <c r="N304" i="49"/>
  <c r="Q304" i="49"/>
  <c r="R308" i="49"/>
  <c r="N308" i="49"/>
  <c r="Q308" i="49"/>
  <c r="R404" i="49"/>
  <c r="N404" i="49"/>
  <c r="Q404" i="49"/>
  <c r="P404" i="49"/>
  <c r="O404" i="49"/>
  <c r="R412" i="49"/>
  <c r="N412" i="49"/>
  <c r="Q412" i="49"/>
  <c r="P412" i="49"/>
  <c r="O412" i="49"/>
  <c r="O449" i="49"/>
  <c r="P449" i="49"/>
  <c r="N449" i="49"/>
  <c r="R449" i="49"/>
  <c r="R450" i="49"/>
  <c r="N450" i="49"/>
  <c r="P450" i="49"/>
  <c r="O450" i="49"/>
  <c r="R494" i="49"/>
  <c r="N494" i="49"/>
  <c r="Q494" i="49"/>
  <c r="P494" i="49"/>
  <c r="O494" i="49"/>
  <c r="O654" i="49"/>
  <c r="R654" i="49"/>
  <c r="N654" i="49"/>
  <c r="Q654" i="49"/>
  <c r="P654" i="49"/>
  <c r="O688" i="49"/>
  <c r="R688" i="49"/>
  <c r="N688" i="49"/>
  <c r="Q688" i="49"/>
  <c r="P688" i="49"/>
  <c r="O717" i="49"/>
  <c r="N717" i="49"/>
  <c r="R717" i="49"/>
  <c r="Q717" i="49"/>
  <c r="P717" i="49"/>
  <c r="O733" i="49"/>
  <c r="N733" i="49"/>
  <c r="R733" i="49"/>
  <c r="Q733" i="49"/>
  <c r="P733" i="49"/>
  <c r="O749" i="49"/>
  <c r="N749" i="49"/>
  <c r="R749" i="49"/>
  <c r="Q749" i="49"/>
  <c r="P749" i="49"/>
  <c r="O768" i="49"/>
  <c r="R768" i="49"/>
  <c r="P768" i="49"/>
  <c r="N768" i="49"/>
  <c r="Q768" i="49"/>
  <c r="O784" i="49"/>
  <c r="R784" i="49"/>
  <c r="P784" i="49"/>
  <c r="N784" i="49"/>
  <c r="Q784" i="49"/>
  <c r="O800" i="49"/>
  <c r="R800" i="49"/>
  <c r="P800" i="49"/>
  <c r="N800" i="49"/>
  <c r="Q800" i="49"/>
  <c r="O816" i="49"/>
  <c r="R816" i="49"/>
  <c r="P816" i="49"/>
  <c r="N816" i="49"/>
  <c r="Q816" i="49"/>
  <c r="O844" i="49"/>
  <c r="R844" i="49"/>
  <c r="N844" i="49"/>
  <c r="Q844" i="49"/>
  <c r="P844" i="49"/>
  <c r="R211" i="49"/>
  <c r="N211" i="49"/>
  <c r="O211" i="49"/>
  <c r="R223" i="49"/>
  <c r="N223" i="49"/>
  <c r="O223" i="49"/>
  <c r="R235" i="49"/>
  <c r="N235" i="49"/>
  <c r="O235" i="49"/>
  <c r="R251" i="49"/>
  <c r="N251" i="49"/>
  <c r="O251" i="49"/>
  <c r="R263" i="49"/>
  <c r="N263" i="49"/>
  <c r="O263" i="49"/>
  <c r="R271" i="49"/>
  <c r="N271" i="49"/>
  <c r="O271" i="49"/>
  <c r="R279" i="49"/>
  <c r="N279" i="49"/>
  <c r="O279" i="49"/>
  <c r="R307" i="49"/>
  <c r="N307" i="49"/>
  <c r="O307" i="49"/>
  <c r="O469" i="49"/>
  <c r="R469" i="49"/>
  <c r="N469" i="49"/>
  <c r="Q469" i="49"/>
  <c r="P469" i="49"/>
  <c r="Q207" i="49"/>
  <c r="R209" i="49"/>
  <c r="N209" i="49"/>
  <c r="O209" i="49"/>
  <c r="Q211" i="49"/>
  <c r="R213" i="49"/>
  <c r="N213" i="49"/>
  <c r="O213" i="49"/>
  <c r="R217" i="49"/>
  <c r="N217" i="49"/>
  <c r="O217" i="49"/>
  <c r="Q219" i="49"/>
  <c r="R221" i="49"/>
  <c r="N221" i="49"/>
  <c r="O221" i="49"/>
  <c r="Q223" i="49"/>
  <c r="R225" i="49"/>
  <c r="N225" i="49"/>
  <c r="O225" i="49"/>
  <c r="R229" i="49"/>
  <c r="N229" i="49"/>
  <c r="O229" i="49"/>
  <c r="Q231" i="49"/>
  <c r="R233" i="49"/>
  <c r="N233" i="49"/>
  <c r="O233" i="49"/>
  <c r="Q235" i="49"/>
  <c r="R237" i="49"/>
  <c r="N237" i="49"/>
  <c r="O237" i="49"/>
  <c r="Q239" i="49"/>
  <c r="R241" i="49"/>
  <c r="N241" i="49"/>
  <c r="O241" i="49"/>
  <c r="R245" i="49"/>
  <c r="N245" i="49"/>
  <c r="O245" i="49"/>
  <c r="Q247" i="49"/>
  <c r="R249" i="49"/>
  <c r="N249" i="49"/>
  <c r="O249" i="49"/>
  <c r="Q251" i="49"/>
  <c r="R253" i="49"/>
  <c r="N253" i="49"/>
  <c r="O253" i="49"/>
  <c r="R257" i="49"/>
  <c r="N257" i="49"/>
  <c r="O257" i="49"/>
  <c r="R261" i="49"/>
  <c r="N261" i="49"/>
  <c r="O261" i="49"/>
  <c r="Q263" i="49"/>
  <c r="R265" i="49"/>
  <c r="N265" i="49"/>
  <c r="O265" i="49"/>
  <c r="R269" i="49"/>
  <c r="N269" i="49"/>
  <c r="O269" i="49"/>
  <c r="Q271" i="49"/>
  <c r="R273" i="49"/>
  <c r="N273" i="49"/>
  <c r="O273" i="49"/>
  <c r="Q275" i="49"/>
  <c r="R277" i="49"/>
  <c r="N277" i="49"/>
  <c r="O277" i="49"/>
  <c r="Q279" i="49"/>
  <c r="R281" i="49"/>
  <c r="N281" i="49"/>
  <c r="O281" i="49"/>
  <c r="R285" i="49"/>
  <c r="N285" i="49"/>
  <c r="O285" i="49"/>
  <c r="R289" i="49"/>
  <c r="N289" i="49"/>
  <c r="O289" i="49"/>
  <c r="Q291" i="49"/>
  <c r="R293" i="49"/>
  <c r="N293" i="49"/>
  <c r="O293" i="49"/>
  <c r="R297" i="49"/>
  <c r="N297" i="49"/>
  <c r="O297" i="49"/>
  <c r="R301" i="49"/>
  <c r="N301" i="49"/>
  <c r="O301" i="49"/>
  <c r="R305" i="49"/>
  <c r="N305" i="49"/>
  <c r="O305" i="49"/>
  <c r="Q307" i="49"/>
  <c r="R309" i="49"/>
  <c r="N309" i="49"/>
  <c r="O309" i="49"/>
  <c r="Q309" i="49"/>
  <c r="R310" i="49"/>
  <c r="N310" i="49"/>
  <c r="Q310" i="49"/>
  <c r="O310" i="49"/>
  <c r="R311" i="49"/>
  <c r="N311" i="49"/>
  <c r="O311" i="49"/>
  <c r="Q311" i="49"/>
  <c r="R312" i="49"/>
  <c r="N312" i="49"/>
  <c r="Q312" i="49"/>
  <c r="O312" i="49"/>
  <c r="R313" i="49"/>
  <c r="N313" i="49"/>
  <c r="O313" i="49"/>
  <c r="Q313" i="49"/>
  <c r="R314" i="49"/>
  <c r="N314" i="49"/>
  <c r="Q314" i="49"/>
  <c r="O314" i="49"/>
  <c r="R315" i="49"/>
  <c r="N315" i="49"/>
  <c r="O315" i="49"/>
  <c r="Q315" i="49"/>
  <c r="R316" i="49"/>
  <c r="N316" i="49"/>
  <c r="Q316" i="49"/>
  <c r="O316" i="49"/>
  <c r="R317" i="49"/>
  <c r="N317" i="49"/>
  <c r="O317" i="49"/>
  <c r="Q317" i="49"/>
  <c r="R318" i="49"/>
  <c r="N318" i="49"/>
  <c r="Q318" i="49"/>
  <c r="O318" i="49"/>
  <c r="R319" i="49"/>
  <c r="N319" i="49"/>
  <c r="O319" i="49"/>
  <c r="Q319" i="49"/>
  <c r="R320" i="49"/>
  <c r="N320" i="49"/>
  <c r="Q320" i="49"/>
  <c r="O320" i="49"/>
  <c r="R321" i="49"/>
  <c r="N321" i="49"/>
  <c r="O321" i="49"/>
  <c r="Q321" i="49"/>
  <c r="R322" i="49"/>
  <c r="N322" i="49"/>
  <c r="Q322" i="49"/>
  <c r="O322" i="49"/>
  <c r="R323" i="49"/>
  <c r="N323" i="49"/>
  <c r="O323" i="49"/>
  <c r="Q323" i="49"/>
  <c r="R324" i="49"/>
  <c r="N324" i="49"/>
  <c r="Q324" i="49"/>
  <c r="O324" i="49"/>
  <c r="R325" i="49"/>
  <c r="N325" i="49"/>
  <c r="O325" i="49"/>
  <c r="Q325" i="49"/>
  <c r="R326" i="49"/>
  <c r="N326" i="49"/>
  <c r="Q326" i="49"/>
  <c r="O326" i="49"/>
  <c r="R327" i="49"/>
  <c r="N327" i="49"/>
  <c r="O327" i="49"/>
  <c r="Q327" i="49"/>
  <c r="R328" i="49"/>
  <c r="N328" i="49"/>
  <c r="Q328" i="49"/>
  <c r="O328" i="49"/>
  <c r="R329" i="49"/>
  <c r="N329" i="49"/>
  <c r="O329" i="49"/>
  <c r="Q329" i="49"/>
  <c r="R330" i="49"/>
  <c r="N330" i="49"/>
  <c r="Q330" i="49"/>
  <c r="O330" i="49"/>
  <c r="R331" i="49"/>
  <c r="N331" i="49"/>
  <c r="O331" i="49"/>
  <c r="Q331" i="49"/>
  <c r="R332" i="49"/>
  <c r="N332" i="49"/>
  <c r="Q332" i="49"/>
  <c r="O332" i="49"/>
  <c r="R333" i="49"/>
  <c r="N333" i="49"/>
  <c r="O333" i="49"/>
  <c r="Q333" i="49"/>
  <c r="R334" i="49"/>
  <c r="N334" i="49"/>
  <c r="Q334" i="49"/>
  <c r="O334" i="49"/>
  <c r="R335" i="49"/>
  <c r="N335" i="49"/>
  <c r="O335" i="49"/>
  <c r="Q335" i="49"/>
  <c r="R336" i="49"/>
  <c r="N336" i="49"/>
  <c r="Q336" i="49"/>
  <c r="O336" i="49"/>
  <c r="R337" i="49"/>
  <c r="N337" i="49"/>
  <c r="O337" i="49"/>
  <c r="Q337" i="49"/>
  <c r="R338" i="49"/>
  <c r="N338" i="49"/>
  <c r="Q338" i="49"/>
  <c r="O338" i="49"/>
  <c r="R339" i="49"/>
  <c r="N339" i="49"/>
  <c r="O339" i="49"/>
  <c r="Q339" i="49"/>
  <c r="R340" i="49"/>
  <c r="N340" i="49"/>
  <c r="Q340" i="49"/>
  <c r="O340" i="49"/>
  <c r="R341" i="49"/>
  <c r="N341" i="49"/>
  <c r="O341" i="49"/>
  <c r="Q341" i="49"/>
  <c r="R342" i="49"/>
  <c r="N342" i="49"/>
  <c r="Q342" i="49"/>
  <c r="O342" i="49"/>
  <c r="R343" i="49"/>
  <c r="N343" i="49"/>
  <c r="O343" i="49"/>
  <c r="Q343" i="49"/>
  <c r="R344" i="49"/>
  <c r="N344" i="49"/>
  <c r="Q344" i="49"/>
  <c r="O344" i="49"/>
  <c r="R345" i="49"/>
  <c r="N345" i="49"/>
  <c r="O345" i="49"/>
  <c r="Q345" i="49"/>
  <c r="R346" i="49"/>
  <c r="N346" i="49"/>
  <c r="Q346" i="49"/>
  <c r="O346" i="49"/>
  <c r="R347" i="49"/>
  <c r="N347" i="49"/>
  <c r="O347" i="49"/>
  <c r="Q347" i="49"/>
  <c r="R348" i="49"/>
  <c r="N348" i="49"/>
  <c r="Q348" i="49"/>
  <c r="O348" i="49"/>
  <c r="R349" i="49"/>
  <c r="N349" i="49"/>
  <c r="O349" i="49"/>
  <c r="Q349" i="49"/>
  <c r="R350" i="49"/>
  <c r="N350" i="49"/>
  <c r="Q350" i="49"/>
  <c r="O350" i="49"/>
  <c r="R351" i="49"/>
  <c r="N351" i="49"/>
  <c r="O351" i="49"/>
  <c r="Q351" i="49"/>
  <c r="R352" i="49"/>
  <c r="N352" i="49"/>
  <c r="Q352" i="49"/>
  <c r="O352" i="49"/>
  <c r="R353" i="49"/>
  <c r="N353" i="49"/>
  <c r="O353" i="49"/>
  <c r="Q353" i="49"/>
  <c r="R354" i="49"/>
  <c r="N354" i="49"/>
  <c r="Q354" i="49"/>
  <c r="O354" i="49"/>
  <c r="R355" i="49"/>
  <c r="N355" i="49"/>
  <c r="O355" i="49"/>
  <c r="Q355" i="49"/>
  <c r="R356" i="49"/>
  <c r="N356" i="49"/>
  <c r="Q356" i="49"/>
  <c r="O356" i="49"/>
  <c r="R357" i="49"/>
  <c r="N357" i="49"/>
  <c r="O357" i="49"/>
  <c r="Q357" i="49"/>
  <c r="R358" i="49"/>
  <c r="N358" i="49"/>
  <c r="Q358" i="49"/>
  <c r="O358" i="49"/>
  <c r="R359" i="49"/>
  <c r="N359" i="49"/>
  <c r="O359" i="49"/>
  <c r="Q359" i="49"/>
  <c r="R360" i="49"/>
  <c r="N360" i="49"/>
  <c r="Q360" i="49"/>
  <c r="O360" i="49"/>
  <c r="R361" i="49"/>
  <c r="N361" i="49"/>
  <c r="O361" i="49"/>
  <c r="Q361" i="49"/>
  <c r="R362" i="49"/>
  <c r="N362" i="49"/>
  <c r="Q362" i="49"/>
  <c r="O362" i="49"/>
  <c r="R363" i="49"/>
  <c r="N363" i="49"/>
  <c r="O363" i="49"/>
  <c r="Q363" i="49"/>
  <c r="R364" i="49"/>
  <c r="N364" i="49"/>
  <c r="Q364" i="49"/>
  <c r="O364" i="49"/>
  <c r="R365" i="49"/>
  <c r="N365" i="49"/>
  <c r="O365" i="49"/>
  <c r="Q365" i="49"/>
  <c r="R366" i="49"/>
  <c r="N366" i="49"/>
  <c r="Q366" i="49"/>
  <c r="O366" i="49"/>
  <c r="R367" i="49"/>
  <c r="N367" i="49"/>
  <c r="O367" i="49"/>
  <c r="Q367" i="49"/>
  <c r="R368" i="49"/>
  <c r="N368" i="49"/>
  <c r="Q368" i="49"/>
  <c r="O368" i="49"/>
  <c r="R369" i="49"/>
  <c r="N369" i="49"/>
  <c r="O369" i="49"/>
  <c r="Q369" i="49"/>
  <c r="R370" i="49"/>
  <c r="N370" i="49"/>
  <c r="Q370" i="49"/>
  <c r="O370" i="49"/>
  <c r="R371" i="49"/>
  <c r="N371" i="49"/>
  <c r="O371" i="49"/>
  <c r="Q371" i="49"/>
  <c r="R372" i="49"/>
  <c r="N372" i="49"/>
  <c r="Q372" i="49"/>
  <c r="O372" i="49"/>
  <c r="R373" i="49"/>
  <c r="N373" i="49"/>
  <c r="O373" i="49"/>
  <c r="Q373" i="49"/>
  <c r="R374" i="49"/>
  <c r="N374" i="49"/>
  <c r="Q374" i="49"/>
  <c r="O374" i="49"/>
  <c r="R375" i="49"/>
  <c r="N375" i="49"/>
  <c r="O375" i="49"/>
  <c r="Q375" i="49"/>
  <c r="R376" i="49"/>
  <c r="N376" i="49"/>
  <c r="Q376" i="49"/>
  <c r="O376" i="49"/>
  <c r="R377" i="49"/>
  <c r="N377" i="49"/>
  <c r="O377" i="49"/>
  <c r="Q377" i="49"/>
  <c r="R378" i="49"/>
  <c r="N378" i="49"/>
  <c r="Q378" i="49"/>
  <c r="O378" i="49"/>
  <c r="R379" i="49"/>
  <c r="N379" i="49"/>
  <c r="O379" i="49"/>
  <c r="Q379" i="49"/>
  <c r="R380" i="49"/>
  <c r="N380" i="49"/>
  <c r="Q380" i="49"/>
  <c r="O380" i="49"/>
  <c r="R381" i="49"/>
  <c r="N381" i="49"/>
  <c r="O381" i="49"/>
  <c r="Q381" i="49"/>
  <c r="R382" i="49"/>
  <c r="N382" i="49"/>
  <c r="Q382" i="49"/>
  <c r="O382" i="49"/>
  <c r="R383" i="49"/>
  <c r="N383" i="49"/>
  <c r="O383" i="49"/>
  <c r="Q383" i="49"/>
  <c r="R384" i="49"/>
  <c r="N384" i="49"/>
  <c r="Q384" i="49"/>
  <c r="O384" i="49"/>
  <c r="R385" i="49"/>
  <c r="N385" i="49"/>
  <c r="O385" i="49"/>
  <c r="Q385" i="49"/>
  <c r="R386" i="49"/>
  <c r="N386" i="49"/>
  <c r="Q386" i="49"/>
  <c r="O386" i="49"/>
  <c r="R387" i="49"/>
  <c r="N387" i="49"/>
  <c r="O387" i="49"/>
  <c r="Q387" i="49"/>
  <c r="R388" i="49"/>
  <c r="N388" i="49"/>
  <c r="Q388" i="49"/>
  <c r="O388" i="49"/>
  <c r="R389" i="49"/>
  <c r="N389" i="49"/>
  <c r="O389" i="49"/>
  <c r="Q389" i="49"/>
  <c r="R390" i="49"/>
  <c r="N390" i="49"/>
  <c r="Q390" i="49"/>
  <c r="O390" i="49"/>
  <c r="R391" i="49"/>
  <c r="N391" i="49"/>
  <c r="O391" i="49"/>
  <c r="Q391" i="49"/>
  <c r="R392" i="49"/>
  <c r="N392" i="49"/>
  <c r="Q392" i="49"/>
  <c r="O392" i="49"/>
  <c r="R393" i="49"/>
  <c r="N393" i="49"/>
  <c r="O393" i="49"/>
  <c r="Q393" i="49"/>
  <c r="R394" i="49"/>
  <c r="N394" i="49"/>
  <c r="Q394" i="49"/>
  <c r="O394" i="49"/>
  <c r="R395" i="49"/>
  <c r="N395" i="49"/>
  <c r="O395" i="49"/>
  <c r="Q395" i="49"/>
  <c r="R396" i="49"/>
  <c r="N396" i="49"/>
  <c r="Q396" i="49"/>
  <c r="O396" i="49"/>
  <c r="R397" i="49"/>
  <c r="N397" i="49"/>
  <c r="O397" i="49"/>
  <c r="Q397" i="49"/>
  <c r="R398" i="49"/>
  <c r="N398" i="49"/>
  <c r="Q398" i="49"/>
  <c r="O398" i="49"/>
  <c r="R399" i="49"/>
  <c r="N399" i="49"/>
  <c r="O399" i="49"/>
  <c r="Q399" i="49"/>
  <c r="R400" i="49"/>
  <c r="N400" i="49"/>
  <c r="Q400" i="49"/>
  <c r="O400" i="49"/>
  <c r="R402" i="49"/>
  <c r="N402" i="49"/>
  <c r="Q402" i="49"/>
  <c r="P402" i="49"/>
  <c r="O402" i="49"/>
  <c r="R410" i="49"/>
  <c r="N410" i="49"/>
  <c r="Q410" i="49"/>
  <c r="P410" i="49"/>
  <c r="O410" i="49"/>
  <c r="Q449" i="49"/>
  <c r="Q450" i="49"/>
  <c r="O485" i="49"/>
  <c r="R485" i="49"/>
  <c r="N485" i="49"/>
  <c r="Q485" i="49"/>
  <c r="P485" i="49"/>
  <c r="R215" i="49"/>
  <c r="N215" i="49"/>
  <c r="O215" i="49"/>
  <c r="R227" i="49"/>
  <c r="N227" i="49"/>
  <c r="O227" i="49"/>
  <c r="R243" i="49"/>
  <c r="N243" i="49"/>
  <c r="O243" i="49"/>
  <c r="R255" i="49"/>
  <c r="N255" i="49"/>
  <c r="O255" i="49"/>
  <c r="R259" i="49"/>
  <c r="N259" i="49"/>
  <c r="O259" i="49"/>
  <c r="R267" i="49"/>
  <c r="N267" i="49"/>
  <c r="O267" i="49"/>
  <c r="R283" i="49"/>
  <c r="N283" i="49"/>
  <c r="O283" i="49"/>
  <c r="R287" i="49"/>
  <c r="N287" i="49"/>
  <c r="O287" i="49"/>
  <c r="R295" i="49"/>
  <c r="N295" i="49"/>
  <c r="O295" i="49"/>
  <c r="R299" i="49"/>
  <c r="N299" i="49"/>
  <c r="O299" i="49"/>
  <c r="R303" i="49"/>
  <c r="N303" i="49"/>
  <c r="O303" i="49"/>
  <c r="R414" i="49"/>
  <c r="N414" i="49"/>
  <c r="Q414" i="49"/>
  <c r="P414" i="49"/>
  <c r="O414" i="49"/>
  <c r="P208" i="49"/>
  <c r="P209" i="49"/>
  <c r="R210" i="49"/>
  <c r="N210" i="49"/>
  <c r="Q210" i="49"/>
  <c r="P212" i="49"/>
  <c r="P213" i="49"/>
  <c r="R214" i="49"/>
  <c r="N214" i="49"/>
  <c r="Q214" i="49"/>
  <c r="P216" i="49"/>
  <c r="P217" i="49"/>
  <c r="R218" i="49"/>
  <c r="N218" i="49"/>
  <c r="Q218" i="49"/>
  <c r="P220" i="49"/>
  <c r="P221" i="49"/>
  <c r="R222" i="49"/>
  <c r="N222" i="49"/>
  <c r="Q222" i="49"/>
  <c r="P224" i="49"/>
  <c r="P225" i="49"/>
  <c r="R226" i="49"/>
  <c r="N226" i="49"/>
  <c r="Q226" i="49"/>
  <c r="P228" i="49"/>
  <c r="P229" i="49"/>
  <c r="R230" i="49"/>
  <c r="N230" i="49"/>
  <c r="Q230" i="49"/>
  <c r="P232" i="49"/>
  <c r="P233" i="49"/>
  <c r="R234" i="49"/>
  <c r="N234" i="49"/>
  <c r="Q234" i="49"/>
  <c r="P236" i="49"/>
  <c r="P237" i="49"/>
  <c r="R238" i="49"/>
  <c r="N238" i="49"/>
  <c r="Q238" i="49"/>
  <c r="P240" i="49"/>
  <c r="P241" i="49"/>
  <c r="R242" i="49"/>
  <c r="N242" i="49"/>
  <c r="Q242" i="49"/>
  <c r="P244" i="49"/>
  <c r="P245" i="49"/>
  <c r="R246" i="49"/>
  <c r="N246" i="49"/>
  <c r="Q246" i="49"/>
  <c r="P248" i="49"/>
  <c r="P249" i="49"/>
  <c r="R250" i="49"/>
  <c r="N250" i="49"/>
  <c r="Q250" i="49"/>
  <c r="P252" i="49"/>
  <c r="P253" i="49"/>
  <c r="R254" i="49"/>
  <c r="N254" i="49"/>
  <c r="Q254" i="49"/>
  <c r="P256" i="49"/>
  <c r="P257" i="49"/>
  <c r="R258" i="49"/>
  <c r="N258" i="49"/>
  <c r="Q258" i="49"/>
  <c r="P260" i="49"/>
  <c r="P261" i="49"/>
  <c r="R262" i="49"/>
  <c r="N262" i="49"/>
  <c r="Q262" i="49"/>
  <c r="P264" i="49"/>
  <c r="P265" i="49"/>
  <c r="R266" i="49"/>
  <c r="N266" i="49"/>
  <c r="Q266" i="49"/>
  <c r="P268" i="49"/>
  <c r="P269" i="49"/>
  <c r="R270" i="49"/>
  <c r="N270" i="49"/>
  <c r="Q270" i="49"/>
  <c r="P272" i="49"/>
  <c r="P273" i="49"/>
  <c r="R274" i="49"/>
  <c r="N274" i="49"/>
  <c r="Q274" i="49"/>
  <c r="P276" i="49"/>
  <c r="P277" i="49"/>
  <c r="R278" i="49"/>
  <c r="N278" i="49"/>
  <c r="Q278" i="49"/>
  <c r="P280" i="49"/>
  <c r="P281" i="49"/>
  <c r="R282" i="49"/>
  <c r="N282" i="49"/>
  <c r="Q282" i="49"/>
  <c r="P284" i="49"/>
  <c r="P285" i="49"/>
  <c r="R286" i="49"/>
  <c r="N286" i="49"/>
  <c r="Q286" i="49"/>
  <c r="P288" i="49"/>
  <c r="P289" i="49"/>
  <c r="R290" i="49"/>
  <c r="N290" i="49"/>
  <c r="Q290" i="49"/>
  <c r="P292" i="49"/>
  <c r="P293" i="49"/>
  <c r="R294" i="49"/>
  <c r="N294" i="49"/>
  <c r="Q294" i="49"/>
  <c r="P296" i="49"/>
  <c r="P297" i="49"/>
  <c r="R298" i="49"/>
  <c r="N298" i="49"/>
  <c r="Q298" i="49"/>
  <c r="P300" i="49"/>
  <c r="P301" i="49"/>
  <c r="R302" i="49"/>
  <c r="N302" i="49"/>
  <c r="Q302" i="49"/>
  <c r="P304" i="49"/>
  <c r="P305" i="49"/>
  <c r="R306" i="49"/>
  <c r="N306" i="49"/>
  <c r="Q306" i="49"/>
  <c r="P308" i="49"/>
  <c r="P309" i="49"/>
  <c r="P310" i="49"/>
  <c r="P311" i="49"/>
  <c r="P312" i="49"/>
  <c r="P313" i="49"/>
  <c r="P314" i="49"/>
  <c r="P315" i="49"/>
  <c r="P316" i="49"/>
  <c r="P317" i="49"/>
  <c r="P318" i="49"/>
  <c r="P319" i="49"/>
  <c r="P320" i="49"/>
  <c r="P321" i="49"/>
  <c r="P322" i="49"/>
  <c r="P323" i="49"/>
  <c r="P324" i="49"/>
  <c r="P325" i="49"/>
  <c r="P326" i="49"/>
  <c r="P327" i="49"/>
  <c r="P328" i="49"/>
  <c r="P329" i="49"/>
  <c r="P330" i="49"/>
  <c r="P331" i="49"/>
  <c r="P332" i="49"/>
  <c r="P333" i="49"/>
  <c r="P334" i="49"/>
  <c r="P335" i="49"/>
  <c r="P336" i="49"/>
  <c r="P337" i="49"/>
  <c r="P338" i="49"/>
  <c r="P339" i="49"/>
  <c r="P340" i="49"/>
  <c r="P341" i="49"/>
  <c r="P342" i="49"/>
  <c r="P343" i="49"/>
  <c r="P344" i="49"/>
  <c r="P345" i="49"/>
  <c r="P346" i="49"/>
  <c r="P347" i="49"/>
  <c r="P348" i="49"/>
  <c r="P349" i="49"/>
  <c r="P350" i="49"/>
  <c r="P351" i="49"/>
  <c r="P352" i="49"/>
  <c r="P353" i="49"/>
  <c r="P354" i="49"/>
  <c r="P355" i="49"/>
  <c r="P356" i="49"/>
  <c r="P357" i="49"/>
  <c r="P358" i="49"/>
  <c r="P359" i="49"/>
  <c r="P360" i="49"/>
  <c r="P361" i="49"/>
  <c r="P362" i="49"/>
  <c r="P363" i="49"/>
  <c r="P364" i="49"/>
  <c r="P365" i="49"/>
  <c r="P366" i="49"/>
  <c r="P367" i="49"/>
  <c r="P368" i="49"/>
  <c r="P369" i="49"/>
  <c r="P370" i="49"/>
  <c r="P371" i="49"/>
  <c r="P372" i="49"/>
  <c r="P373" i="49"/>
  <c r="P374" i="49"/>
  <c r="P375" i="49"/>
  <c r="P376" i="49"/>
  <c r="P377" i="49"/>
  <c r="P378" i="49"/>
  <c r="P379" i="49"/>
  <c r="P380" i="49"/>
  <c r="P381" i="49"/>
  <c r="P382" i="49"/>
  <c r="P383" i="49"/>
  <c r="P384" i="49"/>
  <c r="P385" i="49"/>
  <c r="P386" i="49"/>
  <c r="P387" i="49"/>
  <c r="P388" i="49"/>
  <c r="P389" i="49"/>
  <c r="P390" i="49"/>
  <c r="P391" i="49"/>
  <c r="P392" i="49"/>
  <c r="P393" i="49"/>
  <c r="P394" i="49"/>
  <c r="P395" i="49"/>
  <c r="P396" i="49"/>
  <c r="P397" i="49"/>
  <c r="P398" i="49"/>
  <c r="P399" i="49"/>
  <c r="P400" i="49"/>
  <c r="R408" i="49"/>
  <c r="N408" i="49"/>
  <c r="Q408" i="49"/>
  <c r="P408" i="49"/>
  <c r="O408" i="49"/>
  <c r="R416" i="49"/>
  <c r="N416" i="49"/>
  <c r="Q416" i="49"/>
  <c r="P416" i="49"/>
  <c r="O416" i="49"/>
  <c r="R418" i="49"/>
  <c r="N418" i="49"/>
  <c r="Q418" i="49"/>
  <c r="P418" i="49"/>
  <c r="O418" i="49"/>
  <c r="R420" i="49"/>
  <c r="N420" i="49"/>
  <c r="Q420" i="49"/>
  <c r="P420" i="49"/>
  <c r="O420" i="49"/>
  <c r="R422" i="49"/>
  <c r="N422" i="49"/>
  <c r="Q422" i="49"/>
  <c r="P422" i="49"/>
  <c r="O422" i="49"/>
  <c r="R424" i="49"/>
  <c r="N424" i="49"/>
  <c r="Q424" i="49"/>
  <c r="P424" i="49"/>
  <c r="O424" i="49"/>
  <c r="R426" i="49"/>
  <c r="N426" i="49"/>
  <c r="Q426" i="49"/>
  <c r="P426" i="49"/>
  <c r="O426" i="49"/>
  <c r="R428" i="49"/>
  <c r="N428" i="49"/>
  <c r="Q428" i="49"/>
  <c r="P428" i="49"/>
  <c r="O428" i="49"/>
  <c r="R430" i="49"/>
  <c r="N430" i="49"/>
  <c r="Q430" i="49"/>
  <c r="P430" i="49"/>
  <c r="O430" i="49"/>
  <c r="R432" i="49"/>
  <c r="N432" i="49"/>
  <c r="Q432" i="49"/>
  <c r="P432" i="49"/>
  <c r="O432" i="49"/>
  <c r="R434" i="49"/>
  <c r="N434" i="49"/>
  <c r="Q434" i="49"/>
  <c r="P434" i="49"/>
  <c r="O434" i="49"/>
  <c r="R436" i="49"/>
  <c r="N436" i="49"/>
  <c r="Q436" i="49"/>
  <c r="P436" i="49"/>
  <c r="O436" i="49"/>
  <c r="R438" i="49"/>
  <c r="N438" i="49"/>
  <c r="Q438" i="49"/>
  <c r="P438" i="49"/>
  <c r="O438" i="49"/>
  <c r="R440" i="49"/>
  <c r="N440" i="49"/>
  <c r="Q440" i="49"/>
  <c r="P440" i="49"/>
  <c r="O440" i="49"/>
  <c r="R442" i="49"/>
  <c r="N442" i="49"/>
  <c r="Q442" i="49"/>
  <c r="P442" i="49"/>
  <c r="O442" i="49"/>
  <c r="O457" i="49"/>
  <c r="P457" i="49"/>
  <c r="N457" i="49"/>
  <c r="R457" i="49"/>
  <c r="R458" i="49"/>
  <c r="N458" i="49"/>
  <c r="P458" i="49"/>
  <c r="O458" i="49"/>
  <c r="R478" i="49"/>
  <c r="N478" i="49"/>
  <c r="Q478" i="49"/>
  <c r="P478" i="49"/>
  <c r="O478" i="49"/>
  <c r="R510" i="49"/>
  <c r="N510" i="49"/>
  <c r="Q510" i="49"/>
  <c r="P510" i="49"/>
  <c r="O510" i="49"/>
  <c r="R447" i="49"/>
  <c r="R455" i="49"/>
  <c r="Q463" i="49"/>
  <c r="P463" i="49"/>
  <c r="R466" i="49"/>
  <c r="N466" i="49"/>
  <c r="Q466" i="49"/>
  <c r="O473" i="49"/>
  <c r="R473" i="49"/>
  <c r="N473" i="49"/>
  <c r="R482" i="49"/>
  <c r="N482" i="49"/>
  <c r="Q482" i="49"/>
  <c r="O489" i="49"/>
  <c r="R489" i="49"/>
  <c r="N489" i="49"/>
  <c r="R498" i="49"/>
  <c r="N498" i="49"/>
  <c r="Q498" i="49"/>
  <c r="O505" i="49"/>
  <c r="R505" i="49"/>
  <c r="N505" i="49"/>
  <c r="O514" i="49"/>
  <c r="N514" i="49"/>
  <c r="R514" i="49"/>
  <c r="O522" i="49"/>
  <c r="N522" i="49"/>
  <c r="R522" i="49"/>
  <c r="O530" i="49"/>
  <c r="N530" i="49"/>
  <c r="R530" i="49"/>
  <c r="O538" i="49"/>
  <c r="N538" i="49"/>
  <c r="R538" i="49"/>
  <c r="O546" i="49"/>
  <c r="N546" i="49"/>
  <c r="R546" i="49"/>
  <c r="O554" i="49"/>
  <c r="N554" i="49"/>
  <c r="R554" i="49"/>
  <c r="R647" i="49"/>
  <c r="N647" i="49"/>
  <c r="Q647" i="49"/>
  <c r="P647" i="49"/>
  <c r="O647" i="49"/>
  <c r="R681" i="49"/>
  <c r="N681" i="49"/>
  <c r="Q681" i="49"/>
  <c r="P681" i="49"/>
  <c r="O681" i="49"/>
  <c r="Q886" i="49"/>
  <c r="O886" i="49"/>
  <c r="R886" i="49"/>
  <c r="P886" i="49"/>
  <c r="N886" i="49"/>
  <c r="R401" i="49"/>
  <c r="N401" i="49"/>
  <c r="R403" i="49"/>
  <c r="N403" i="49"/>
  <c r="R405" i="49"/>
  <c r="N405" i="49"/>
  <c r="R407" i="49"/>
  <c r="N407" i="49"/>
  <c r="R409" i="49"/>
  <c r="N409" i="49"/>
  <c r="R411" i="49"/>
  <c r="N411" i="49"/>
  <c r="R413" i="49"/>
  <c r="N413" i="49"/>
  <c r="R415" i="49"/>
  <c r="N415" i="49"/>
  <c r="R417" i="49"/>
  <c r="N417" i="49"/>
  <c r="R419" i="49"/>
  <c r="N419" i="49"/>
  <c r="R421" i="49"/>
  <c r="N421" i="49"/>
  <c r="R423" i="49"/>
  <c r="N423" i="49"/>
  <c r="R425" i="49"/>
  <c r="N425" i="49"/>
  <c r="R427" i="49"/>
  <c r="N427" i="49"/>
  <c r="R429" i="49"/>
  <c r="N429" i="49"/>
  <c r="R431" i="49"/>
  <c r="N431" i="49"/>
  <c r="R433" i="49"/>
  <c r="N433" i="49"/>
  <c r="R435" i="49"/>
  <c r="N435" i="49"/>
  <c r="R437" i="49"/>
  <c r="N437" i="49"/>
  <c r="R439" i="49"/>
  <c r="N439" i="49"/>
  <c r="R441" i="49"/>
  <c r="N441" i="49"/>
  <c r="P443" i="49"/>
  <c r="Q445" i="49"/>
  <c r="R446" i="49"/>
  <c r="N446" i="49"/>
  <c r="Q446" i="49"/>
  <c r="N447" i="49"/>
  <c r="Q453" i="49"/>
  <c r="R454" i="49"/>
  <c r="N454" i="49"/>
  <c r="Q454" i="49"/>
  <c r="N455" i="49"/>
  <c r="Q461" i="49"/>
  <c r="R462" i="49"/>
  <c r="N462" i="49"/>
  <c r="Q462" i="49"/>
  <c r="N463" i="49"/>
  <c r="O466" i="49"/>
  <c r="R470" i="49"/>
  <c r="N470" i="49"/>
  <c r="Q470" i="49"/>
  <c r="O477" i="49"/>
  <c r="R477" i="49"/>
  <c r="N477" i="49"/>
  <c r="O482" i="49"/>
  <c r="R486" i="49"/>
  <c r="N486" i="49"/>
  <c r="Q486" i="49"/>
  <c r="O493" i="49"/>
  <c r="R493" i="49"/>
  <c r="N493" i="49"/>
  <c r="O498" i="49"/>
  <c r="R502" i="49"/>
  <c r="N502" i="49"/>
  <c r="Q502" i="49"/>
  <c r="O509" i="49"/>
  <c r="R509" i="49"/>
  <c r="N509" i="49"/>
  <c r="P514" i="49"/>
  <c r="R515" i="49"/>
  <c r="N515" i="49"/>
  <c r="O515" i="49"/>
  <c r="P522" i="49"/>
  <c r="R523" i="49"/>
  <c r="N523" i="49"/>
  <c r="O523" i="49"/>
  <c r="P530" i="49"/>
  <c r="R531" i="49"/>
  <c r="N531" i="49"/>
  <c r="O531" i="49"/>
  <c r="P538" i="49"/>
  <c r="R539" i="49"/>
  <c r="N539" i="49"/>
  <c r="O539" i="49"/>
  <c r="P546" i="49"/>
  <c r="R547" i="49"/>
  <c r="N547" i="49"/>
  <c r="O547" i="49"/>
  <c r="P554" i="49"/>
  <c r="R555" i="49"/>
  <c r="N555" i="49"/>
  <c r="O555" i="49"/>
  <c r="O672" i="49"/>
  <c r="R672" i="49"/>
  <c r="N672" i="49"/>
  <c r="Q672" i="49"/>
  <c r="P672" i="49"/>
  <c r="O704" i="49"/>
  <c r="R704" i="49"/>
  <c r="N704" i="49"/>
  <c r="Q704" i="49"/>
  <c r="P704" i="49"/>
  <c r="O709" i="49"/>
  <c r="N709" i="49"/>
  <c r="R709" i="49"/>
  <c r="Q709" i="49"/>
  <c r="P709" i="49"/>
  <c r="O725" i="49"/>
  <c r="N725" i="49"/>
  <c r="R725" i="49"/>
  <c r="Q725" i="49"/>
  <c r="P725" i="49"/>
  <c r="O741" i="49"/>
  <c r="N741" i="49"/>
  <c r="R741" i="49"/>
  <c r="Q741" i="49"/>
  <c r="P741" i="49"/>
  <c r="O757" i="49"/>
  <c r="N757" i="49"/>
  <c r="R757" i="49"/>
  <c r="Q757" i="49"/>
  <c r="P757" i="49"/>
  <c r="Q206" i="49"/>
  <c r="O401" i="49"/>
  <c r="O403" i="49"/>
  <c r="O405" i="49"/>
  <c r="O407" i="49"/>
  <c r="O409" i="49"/>
  <c r="O411" i="49"/>
  <c r="O413" i="49"/>
  <c r="O415" i="49"/>
  <c r="O417" i="49"/>
  <c r="O419" i="49"/>
  <c r="O421" i="49"/>
  <c r="O423" i="49"/>
  <c r="O425" i="49"/>
  <c r="O427" i="49"/>
  <c r="O429" i="49"/>
  <c r="O431" i="49"/>
  <c r="O433" i="49"/>
  <c r="O435" i="49"/>
  <c r="O437" i="49"/>
  <c r="O439" i="49"/>
  <c r="O441" i="49"/>
  <c r="R443" i="49"/>
  <c r="R445" i="49"/>
  <c r="O447" i="49"/>
  <c r="R451" i="49"/>
  <c r="R453" i="49"/>
  <c r="O455" i="49"/>
  <c r="R459" i="49"/>
  <c r="R461" i="49"/>
  <c r="O463" i="49"/>
  <c r="O465" i="49"/>
  <c r="R465" i="49"/>
  <c r="N465" i="49"/>
  <c r="P466" i="49"/>
  <c r="O470" i="49"/>
  <c r="P473" i="49"/>
  <c r="R474" i="49"/>
  <c r="N474" i="49"/>
  <c r="Q474" i="49"/>
  <c r="O481" i="49"/>
  <c r="R481" i="49"/>
  <c r="N481" i="49"/>
  <c r="P482" i="49"/>
  <c r="O486" i="49"/>
  <c r="P489" i="49"/>
  <c r="R490" i="49"/>
  <c r="N490" i="49"/>
  <c r="Q490" i="49"/>
  <c r="O497" i="49"/>
  <c r="R497" i="49"/>
  <c r="N497" i="49"/>
  <c r="P498" i="49"/>
  <c r="O502" i="49"/>
  <c r="P505" i="49"/>
  <c r="R506" i="49"/>
  <c r="N506" i="49"/>
  <c r="Q506" i="49"/>
  <c r="O513" i="49"/>
  <c r="R513" i="49"/>
  <c r="N513" i="49"/>
  <c r="Q514" i="49"/>
  <c r="P515" i="49"/>
  <c r="Q516" i="49"/>
  <c r="P516" i="49"/>
  <c r="O516" i="49"/>
  <c r="Q522" i="49"/>
  <c r="P523" i="49"/>
  <c r="Q524" i="49"/>
  <c r="P524" i="49"/>
  <c r="O524" i="49"/>
  <c r="Q530" i="49"/>
  <c r="P531" i="49"/>
  <c r="Q532" i="49"/>
  <c r="P532" i="49"/>
  <c r="O532" i="49"/>
  <c r="Q538" i="49"/>
  <c r="P539" i="49"/>
  <c r="Q540" i="49"/>
  <c r="P540" i="49"/>
  <c r="O540" i="49"/>
  <c r="Q546" i="49"/>
  <c r="P547" i="49"/>
  <c r="Q548" i="49"/>
  <c r="P548" i="49"/>
  <c r="O548" i="49"/>
  <c r="Q554" i="49"/>
  <c r="P555" i="49"/>
  <c r="Q556" i="49"/>
  <c r="P556" i="49"/>
  <c r="O556" i="49"/>
  <c r="R665" i="49"/>
  <c r="N665" i="49"/>
  <c r="Q665" i="49"/>
  <c r="P665" i="49"/>
  <c r="O665" i="49"/>
  <c r="R697" i="49"/>
  <c r="N697" i="49"/>
  <c r="Q697" i="49"/>
  <c r="P697" i="49"/>
  <c r="O697" i="49"/>
  <c r="Q778" i="49"/>
  <c r="O778" i="49"/>
  <c r="P778" i="49"/>
  <c r="N778" i="49"/>
  <c r="R778" i="49"/>
  <c r="Q794" i="49"/>
  <c r="O794" i="49"/>
  <c r="P794" i="49"/>
  <c r="N794" i="49"/>
  <c r="R794" i="49"/>
  <c r="Q810" i="49"/>
  <c r="O810" i="49"/>
  <c r="P810" i="49"/>
  <c r="N810" i="49"/>
  <c r="R810" i="49"/>
  <c r="Q826" i="49"/>
  <c r="O826" i="49"/>
  <c r="P826" i="49"/>
  <c r="N826" i="49"/>
  <c r="R826" i="49"/>
  <c r="O848" i="49"/>
  <c r="R848" i="49"/>
  <c r="N848" i="49"/>
  <c r="P848" i="49"/>
  <c r="Q848" i="49"/>
  <c r="O642" i="49"/>
  <c r="R642" i="49"/>
  <c r="N642" i="49"/>
  <c r="R651" i="49"/>
  <c r="N651" i="49"/>
  <c r="Q651" i="49"/>
  <c r="O658" i="49"/>
  <c r="R658" i="49"/>
  <c r="N658" i="49"/>
  <c r="R669" i="49"/>
  <c r="N669" i="49"/>
  <c r="Q669" i="49"/>
  <c r="O676" i="49"/>
  <c r="R676" i="49"/>
  <c r="N676" i="49"/>
  <c r="R685" i="49"/>
  <c r="N685" i="49"/>
  <c r="Q685" i="49"/>
  <c r="O692" i="49"/>
  <c r="R692" i="49"/>
  <c r="N692" i="49"/>
  <c r="R701" i="49"/>
  <c r="N701" i="49"/>
  <c r="Q701" i="49"/>
  <c r="R710" i="49"/>
  <c r="N710" i="49"/>
  <c r="O710" i="49"/>
  <c r="R718" i="49"/>
  <c r="N718" i="49"/>
  <c r="O718" i="49"/>
  <c r="R726" i="49"/>
  <c r="N726" i="49"/>
  <c r="O726" i="49"/>
  <c r="R734" i="49"/>
  <c r="N734" i="49"/>
  <c r="O734" i="49"/>
  <c r="R742" i="49"/>
  <c r="N742" i="49"/>
  <c r="O742" i="49"/>
  <c r="R750" i="49"/>
  <c r="N750" i="49"/>
  <c r="O750" i="49"/>
  <c r="R758" i="49"/>
  <c r="N758" i="49"/>
  <c r="O758" i="49"/>
  <c r="O862" i="49"/>
  <c r="P862" i="49"/>
  <c r="N862" i="49"/>
  <c r="R862" i="49"/>
  <c r="R863" i="49"/>
  <c r="N863" i="49"/>
  <c r="P863" i="49"/>
  <c r="O863" i="49"/>
  <c r="Q863" i="49"/>
  <c r="P467" i="49"/>
  <c r="P471" i="49"/>
  <c r="P475" i="49"/>
  <c r="P479" i="49"/>
  <c r="P483" i="49"/>
  <c r="P487" i="49"/>
  <c r="P491" i="49"/>
  <c r="P495" i="49"/>
  <c r="P499" i="49"/>
  <c r="P503" i="49"/>
  <c r="P507" i="49"/>
  <c r="P511" i="49"/>
  <c r="R520" i="49"/>
  <c r="R528" i="49"/>
  <c r="R536" i="49"/>
  <c r="R544" i="49"/>
  <c r="R552" i="49"/>
  <c r="R560" i="49"/>
  <c r="O646" i="49"/>
  <c r="R646" i="49"/>
  <c r="N646" i="49"/>
  <c r="O651" i="49"/>
  <c r="R655" i="49"/>
  <c r="N655" i="49"/>
  <c r="Q655" i="49"/>
  <c r="O664" i="49"/>
  <c r="R664" i="49"/>
  <c r="N664" i="49"/>
  <c r="O669" i="49"/>
  <c r="R673" i="49"/>
  <c r="N673" i="49"/>
  <c r="Q673" i="49"/>
  <c r="O680" i="49"/>
  <c r="R680" i="49"/>
  <c r="N680" i="49"/>
  <c r="O685" i="49"/>
  <c r="R689" i="49"/>
  <c r="N689" i="49"/>
  <c r="Q689" i="49"/>
  <c r="O696" i="49"/>
  <c r="R696" i="49"/>
  <c r="N696" i="49"/>
  <c r="O701" i="49"/>
  <c r="R705" i="49"/>
  <c r="N705" i="49"/>
  <c r="Q705" i="49"/>
  <c r="P710" i="49"/>
  <c r="Q711" i="49"/>
  <c r="P711" i="49"/>
  <c r="O711" i="49"/>
  <c r="P718" i="49"/>
  <c r="Q719" i="49"/>
  <c r="P719" i="49"/>
  <c r="O719" i="49"/>
  <c r="P726" i="49"/>
  <c r="Q727" i="49"/>
  <c r="P727" i="49"/>
  <c r="O727" i="49"/>
  <c r="P734" i="49"/>
  <c r="Q735" i="49"/>
  <c r="P735" i="49"/>
  <c r="O735" i="49"/>
  <c r="P742" i="49"/>
  <c r="Q743" i="49"/>
  <c r="P743" i="49"/>
  <c r="O743" i="49"/>
  <c r="P750" i="49"/>
  <c r="Q751" i="49"/>
  <c r="P751" i="49"/>
  <c r="O751" i="49"/>
  <c r="P758" i="49"/>
  <c r="Q759" i="49"/>
  <c r="P759" i="49"/>
  <c r="O759" i="49"/>
  <c r="Q770" i="49"/>
  <c r="O770" i="49"/>
  <c r="P770" i="49"/>
  <c r="N770" i="49"/>
  <c r="O776" i="49"/>
  <c r="R776" i="49"/>
  <c r="P776" i="49"/>
  <c r="N776" i="49"/>
  <c r="Q786" i="49"/>
  <c r="O786" i="49"/>
  <c r="P786" i="49"/>
  <c r="N786" i="49"/>
  <c r="O792" i="49"/>
  <c r="R792" i="49"/>
  <c r="P792" i="49"/>
  <c r="N792" i="49"/>
  <c r="Q802" i="49"/>
  <c r="O802" i="49"/>
  <c r="P802" i="49"/>
  <c r="N802" i="49"/>
  <c r="O808" i="49"/>
  <c r="R808" i="49"/>
  <c r="P808" i="49"/>
  <c r="N808" i="49"/>
  <c r="Q818" i="49"/>
  <c r="O818" i="49"/>
  <c r="P818" i="49"/>
  <c r="N818" i="49"/>
  <c r="O824" i="49"/>
  <c r="R824" i="49"/>
  <c r="P824" i="49"/>
  <c r="N824" i="49"/>
  <c r="O836" i="49"/>
  <c r="R836" i="49"/>
  <c r="N836" i="49"/>
  <c r="Q836" i="49"/>
  <c r="P836" i="49"/>
  <c r="Q862" i="49"/>
  <c r="O878" i="49"/>
  <c r="P878" i="49"/>
  <c r="N878" i="49"/>
  <c r="R878" i="49"/>
  <c r="Q878" i="49"/>
  <c r="R879" i="49"/>
  <c r="N879" i="49"/>
  <c r="P879" i="49"/>
  <c r="O879" i="49"/>
  <c r="Q879" i="49"/>
  <c r="Q518" i="49"/>
  <c r="R519" i="49"/>
  <c r="N519" i="49"/>
  <c r="Q519" i="49"/>
  <c r="N520" i="49"/>
  <c r="Q526" i="49"/>
  <c r="R527" i="49"/>
  <c r="N527" i="49"/>
  <c r="Q527" i="49"/>
  <c r="N528" i="49"/>
  <c r="Q534" i="49"/>
  <c r="R535" i="49"/>
  <c r="N535" i="49"/>
  <c r="Q535" i="49"/>
  <c r="N536" i="49"/>
  <c r="Q542" i="49"/>
  <c r="R543" i="49"/>
  <c r="N543" i="49"/>
  <c r="Q543" i="49"/>
  <c r="N544" i="49"/>
  <c r="Q550" i="49"/>
  <c r="R551" i="49"/>
  <c r="N551" i="49"/>
  <c r="Q551" i="49"/>
  <c r="N552" i="49"/>
  <c r="Q558" i="49"/>
  <c r="R559" i="49"/>
  <c r="N559" i="49"/>
  <c r="Q559" i="49"/>
  <c r="N560" i="49"/>
  <c r="P642" i="49"/>
  <c r="R643" i="49"/>
  <c r="N643" i="49"/>
  <c r="Q643" i="49"/>
  <c r="O650" i="49"/>
  <c r="R650" i="49"/>
  <c r="N650" i="49"/>
  <c r="P651" i="49"/>
  <c r="O655" i="49"/>
  <c r="P658" i="49"/>
  <c r="R661" i="49"/>
  <c r="N661" i="49"/>
  <c r="Q661" i="49"/>
  <c r="O668" i="49"/>
  <c r="R668" i="49"/>
  <c r="N668" i="49"/>
  <c r="P669" i="49"/>
  <c r="O673" i="49"/>
  <c r="P676" i="49"/>
  <c r="R677" i="49"/>
  <c r="N677" i="49"/>
  <c r="Q677" i="49"/>
  <c r="O684" i="49"/>
  <c r="R684" i="49"/>
  <c r="N684" i="49"/>
  <c r="P685" i="49"/>
  <c r="O689" i="49"/>
  <c r="P692" i="49"/>
  <c r="R693" i="49"/>
  <c r="N693" i="49"/>
  <c r="Q693" i="49"/>
  <c r="O700" i="49"/>
  <c r="R700" i="49"/>
  <c r="N700" i="49"/>
  <c r="P701" i="49"/>
  <c r="O705" i="49"/>
  <c r="Q710" i="49"/>
  <c r="N711" i="49"/>
  <c r="Q718" i="49"/>
  <c r="N719" i="49"/>
  <c r="Q726" i="49"/>
  <c r="N727" i="49"/>
  <c r="Q734" i="49"/>
  <c r="N735" i="49"/>
  <c r="Q742" i="49"/>
  <c r="N743" i="49"/>
  <c r="Q750" i="49"/>
  <c r="N751" i="49"/>
  <c r="Q758" i="49"/>
  <c r="N759" i="49"/>
  <c r="R770" i="49"/>
  <c r="Q776" i="49"/>
  <c r="R786" i="49"/>
  <c r="Q792" i="49"/>
  <c r="R802" i="49"/>
  <c r="Q808" i="49"/>
  <c r="R818" i="49"/>
  <c r="Q824" i="49"/>
  <c r="R853" i="49"/>
  <c r="N853" i="49"/>
  <c r="Q853" i="49"/>
  <c r="P853" i="49"/>
  <c r="Q860" i="49"/>
  <c r="O860" i="49"/>
  <c r="N860" i="49"/>
  <c r="R860" i="49"/>
  <c r="P860" i="49"/>
  <c r="Q868" i="49"/>
  <c r="O868" i="49"/>
  <c r="N868" i="49"/>
  <c r="R868" i="49"/>
  <c r="P868" i="49"/>
  <c r="P644" i="49"/>
  <c r="P648" i="49"/>
  <c r="P652" i="49"/>
  <c r="P656" i="49"/>
  <c r="P662" i="49"/>
  <c r="P666" i="49"/>
  <c r="P670" i="49"/>
  <c r="P674" i="49"/>
  <c r="P678" i="49"/>
  <c r="P682" i="49"/>
  <c r="P686" i="49"/>
  <c r="P690" i="49"/>
  <c r="P694" i="49"/>
  <c r="P698" i="49"/>
  <c r="P702" i="49"/>
  <c r="P706" i="49"/>
  <c r="R707" i="49"/>
  <c r="R715" i="49"/>
  <c r="R723" i="49"/>
  <c r="R731" i="49"/>
  <c r="R739" i="49"/>
  <c r="R747" i="49"/>
  <c r="R755" i="49"/>
  <c r="R764" i="49"/>
  <c r="R773" i="49"/>
  <c r="N773" i="49"/>
  <c r="P773" i="49"/>
  <c r="R781" i="49"/>
  <c r="N781" i="49"/>
  <c r="P781" i="49"/>
  <c r="R789" i="49"/>
  <c r="N789" i="49"/>
  <c r="P789" i="49"/>
  <c r="R797" i="49"/>
  <c r="N797" i="49"/>
  <c r="P797" i="49"/>
  <c r="R805" i="49"/>
  <c r="N805" i="49"/>
  <c r="P805" i="49"/>
  <c r="R813" i="49"/>
  <c r="N813" i="49"/>
  <c r="P813" i="49"/>
  <c r="R821" i="49"/>
  <c r="N821" i="49"/>
  <c r="P821" i="49"/>
  <c r="R829" i="49"/>
  <c r="N829" i="49"/>
  <c r="P829" i="49"/>
  <c r="O832" i="49"/>
  <c r="R832" i="49"/>
  <c r="N832" i="49"/>
  <c r="P832" i="49"/>
  <c r="R837" i="49"/>
  <c r="N837" i="49"/>
  <c r="Q837" i="49"/>
  <c r="R845" i="49"/>
  <c r="N845" i="49"/>
  <c r="Q845" i="49"/>
  <c r="O845" i="49"/>
  <c r="O870" i="49"/>
  <c r="P870" i="49"/>
  <c r="N870" i="49"/>
  <c r="Q870" i="49"/>
  <c r="Q706" i="49"/>
  <c r="N707" i="49"/>
  <c r="Q713" i="49"/>
  <c r="R714" i="49"/>
  <c r="N714" i="49"/>
  <c r="Q714" i="49"/>
  <c r="N715" i="49"/>
  <c r="Q721" i="49"/>
  <c r="R722" i="49"/>
  <c r="N722" i="49"/>
  <c r="Q722" i="49"/>
  <c r="N723" i="49"/>
  <c r="Q729" i="49"/>
  <c r="R730" i="49"/>
  <c r="N730" i="49"/>
  <c r="Q730" i="49"/>
  <c r="N731" i="49"/>
  <c r="Q737" i="49"/>
  <c r="R738" i="49"/>
  <c r="N738" i="49"/>
  <c r="Q738" i="49"/>
  <c r="N739" i="49"/>
  <c r="Q745" i="49"/>
  <c r="R746" i="49"/>
  <c r="N746" i="49"/>
  <c r="Q746" i="49"/>
  <c r="N747" i="49"/>
  <c r="Q753" i="49"/>
  <c r="R754" i="49"/>
  <c r="N754" i="49"/>
  <c r="Q754" i="49"/>
  <c r="N755" i="49"/>
  <c r="Q761" i="49"/>
  <c r="R763" i="49"/>
  <c r="N763" i="49"/>
  <c r="Q763" i="49"/>
  <c r="N764" i="49"/>
  <c r="R769" i="49"/>
  <c r="N769" i="49"/>
  <c r="O772" i="49"/>
  <c r="P772" i="49"/>
  <c r="R772" i="49"/>
  <c r="R777" i="49"/>
  <c r="N777" i="49"/>
  <c r="O780" i="49"/>
  <c r="P780" i="49"/>
  <c r="R780" i="49"/>
  <c r="R785" i="49"/>
  <c r="N785" i="49"/>
  <c r="O788" i="49"/>
  <c r="P788" i="49"/>
  <c r="R788" i="49"/>
  <c r="R793" i="49"/>
  <c r="N793" i="49"/>
  <c r="O796" i="49"/>
  <c r="P796" i="49"/>
  <c r="R796" i="49"/>
  <c r="R801" i="49"/>
  <c r="N801" i="49"/>
  <c r="O804" i="49"/>
  <c r="P804" i="49"/>
  <c r="R804" i="49"/>
  <c r="R809" i="49"/>
  <c r="N809" i="49"/>
  <c r="O812" i="49"/>
  <c r="P812" i="49"/>
  <c r="R812" i="49"/>
  <c r="R817" i="49"/>
  <c r="N817" i="49"/>
  <c r="O820" i="49"/>
  <c r="P820" i="49"/>
  <c r="R820" i="49"/>
  <c r="R825" i="49"/>
  <c r="N825" i="49"/>
  <c r="O828" i="49"/>
  <c r="P828" i="49"/>
  <c r="R828" i="49"/>
  <c r="O837" i="49"/>
  <c r="R841" i="49"/>
  <c r="N841" i="49"/>
  <c r="Q841" i="49"/>
  <c r="P841" i="49"/>
  <c r="P845" i="49"/>
  <c r="O852" i="49"/>
  <c r="R852" i="49"/>
  <c r="N852" i="49"/>
  <c r="O884" i="49"/>
  <c r="Q884" i="49"/>
  <c r="R884" i="49"/>
  <c r="P884" i="49"/>
  <c r="P765" i="49"/>
  <c r="R766" i="49"/>
  <c r="R774" i="49"/>
  <c r="R782" i="49"/>
  <c r="R790" i="49"/>
  <c r="R798" i="49"/>
  <c r="R806" i="49"/>
  <c r="R814" i="49"/>
  <c r="R822" i="49"/>
  <c r="R833" i="49"/>
  <c r="N833" i="49"/>
  <c r="Q833" i="49"/>
  <c r="O840" i="49"/>
  <c r="R840" i="49"/>
  <c r="N840" i="49"/>
  <c r="R849" i="49"/>
  <c r="N849" i="49"/>
  <c r="Q849" i="49"/>
  <c r="R871" i="49"/>
  <c r="N871" i="49"/>
  <c r="P871" i="49"/>
  <c r="O871" i="49"/>
  <c r="Q876" i="49"/>
  <c r="O876" i="49"/>
  <c r="N876" i="49"/>
  <c r="P830" i="49"/>
  <c r="P834" i="49"/>
  <c r="P838" i="49"/>
  <c r="P842" i="49"/>
  <c r="P846" i="49"/>
  <c r="P850" i="49"/>
  <c r="P854" i="49"/>
  <c r="Q858" i="49"/>
  <c r="R859" i="49"/>
  <c r="N859" i="49"/>
  <c r="Q859" i="49"/>
  <c r="Q866" i="49"/>
  <c r="R867" i="49"/>
  <c r="N867" i="49"/>
  <c r="Q867" i="49"/>
  <c r="Q874" i="49"/>
  <c r="R875" i="49"/>
  <c r="N875" i="49"/>
  <c r="Q875" i="49"/>
  <c r="Q882" i="49"/>
  <c r="O882" i="49"/>
  <c r="O888" i="49"/>
  <c r="Q888" i="49"/>
  <c r="R890" i="49"/>
  <c r="N890" i="49"/>
  <c r="Q890" i="49"/>
  <c r="O890" i="49"/>
  <c r="R898" i="49"/>
  <c r="N898" i="49"/>
  <c r="Q898" i="49"/>
  <c r="O898" i="49"/>
  <c r="P855" i="49"/>
  <c r="R856" i="49"/>
  <c r="R858" i="49"/>
  <c r="R864" i="49"/>
  <c r="R866" i="49"/>
  <c r="R872" i="49"/>
  <c r="R874" i="49"/>
  <c r="R880" i="49"/>
  <c r="N882" i="49"/>
  <c r="N888" i="49"/>
  <c r="P890" i="49"/>
  <c r="P898" i="49"/>
  <c r="R894" i="49"/>
  <c r="N894" i="49"/>
  <c r="Q894" i="49"/>
  <c r="O894" i="49"/>
  <c r="P885" i="49"/>
  <c r="P889" i="49"/>
  <c r="P893" i="49"/>
  <c r="P897" i="49"/>
  <c r="P901" i="49"/>
  <c r="P905" i="49"/>
  <c r="P909" i="49"/>
  <c r="P913" i="49"/>
  <c r="P917" i="49"/>
  <c r="P921" i="49"/>
  <c r="P925" i="49"/>
  <c r="P929" i="49"/>
  <c r="P933" i="49"/>
  <c r="P938" i="49"/>
  <c r="O899" i="49"/>
  <c r="N900" i="49"/>
  <c r="R900" i="49"/>
  <c r="Q901" i="49"/>
  <c r="O903" i="49"/>
  <c r="N904" i="49"/>
  <c r="R904" i="49"/>
  <c r="Q905" i="49"/>
  <c r="O907" i="49"/>
  <c r="N908" i="49"/>
  <c r="R908" i="49"/>
  <c r="Q909" i="49"/>
  <c r="O911" i="49"/>
  <c r="N912" i="49"/>
  <c r="R912" i="49"/>
  <c r="Q913" i="49"/>
  <c r="O915" i="49"/>
  <c r="N916" i="49"/>
  <c r="R916" i="49"/>
  <c r="Q917" i="49"/>
  <c r="O919" i="49"/>
  <c r="N920" i="49"/>
  <c r="R920" i="49"/>
  <c r="Q921" i="49"/>
  <c r="O923" i="49"/>
  <c r="N924" i="49"/>
  <c r="R924" i="49"/>
  <c r="Q925" i="49"/>
  <c r="O927" i="49"/>
  <c r="N928" i="49"/>
  <c r="R928" i="49"/>
  <c r="Q929" i="49"/>
  <c r="O931" i="49"/>
  <c r="N932" i="49"/>
  <c r="R932" i="49"/>
  <c r="Q933" i="49"/>
  <c r="O935" i="49"/>
  <c r="N936" i="49"/>
  <c r="R936" i="49"/>
  <c r="Q938" i="49"/>
  <c r="O940" i="49"/>
  <c r="N885" i="49"/>
  <c r="N889" i="49"/>
  <c r="P891" i="49"/>
  <c r="N893" i="49"/>
  <c r="R893" i="49"/>
  <c r="P895" i="49"/>
  <c r="N897" i="49"/>
  <c r="R897" i="49"/>
  <c r="P899" i="49"/>
  <c r="N901" i="49"/>
  <c r="R901" i="49"/>
  <c r="P903" i="49"/>
  <c r="N905" i="49"/>
  <c r="R905" i="49"/>
  <c r="P907" i="49"/>
  <c r="N909" i="49"/>
  <c r="R909" i="49"/>
  <c r="P911" i="49"/>
  <c r="N913" i="49"/>
  <c r="R913" i="49"/>
  <c r="P915" i="49"/>
  <c r="N917" i="49"/>
  <c r="R917" i="49"/>
  <c r="P919" i="49"/>
  <c r="N921" i="49"/>
  <c r="R921" i="49"/>
  <c r="P923" i="49"/>
  <c r="N925" i="49"/>
  <c r="R925" i="49"/>
  <c r="P927" i="49"/>
  <c r="N929" i="49"/>
  <c r="R929" i="49"/>
  <c r="P931" i="49"/>
  <c r="N933" i="49"/>
  <c r="R933" i="49"/>
  <c r="P935" i="49"/>
  <c r="N938" i="49"/>
  <c r="R938" i="49"/>
  <c r="P940" i="49"/>
  <c r="L666" i="39" l="1"/>
  <c r="L402" i="39"/>
  <c r="L403" i="39" s="1"/>
  <c r="L404" i="39" s="1"/>
  <c r="L405" i="39" s="1"/>
  <c r="L406" i="39" s="1"/>
  <c r="L407" i="39" s="1"/>
  <c r="L408" i="39" s="1"/>
  <c r="L409" i="39" s="1"/>
  <c r="L410" i="39" s="1"/>
  <c r="L411" i="39" s="1"/>
  <c r="L412" i="39" s="1"/>
  <c r="L413" i="39" s="1"/>
  <c r="L414" i="39" s="1"/>
  <c r="L415" i="39" s="1"/>
  <c r="L416" i="39" s="1"/>
  <c r="L417" i="39" s="1"/>
  <c r="L418" i="39" s="1"/>
  <c r="L419" i="39" s="1"/>
  <c r="L420" i="39" s="1"/>
  <c r="L421" i="39" s="1"/>
  <c r="L422" i="39" s="1"/>
  <c r="L423" i="39" s="1"/>
  <c r="L424" i="39" s="1"/>
  <c r="L425" i="39" s="1"/>
  <c r="L426" i="39" s="1"/>
  <c r="L427" i="39" s="1"/>
  <c r="L428" i="39" s="1"/>
  <c r="L429" i="39" s="1"/>
  <c r="L430" i="39" s="1"/>
  <c r="L431" i="39" s="1"/>
  <c r="L432" i="39" s="1"/>
  <c r="L433" i="39" s="1"/>
  <c r="L434" i="39" s="1"/>
  <c r="L435" i="39" s="1"/>
  <c r="L436" i="39" s="1"/>
  <c r="L437" i="39" s="1"/>
  <c r="L438" i="39" s="1"/>
  <c r="L439" i="39" s="1"/>
  <c r="L440" i="39" s="1"/>
  <c r="L441" i="39" s="1"/>
  <c r="L442" i="39" s="1"/>
  <c r="L443" i="39" s="1"/>
  <c r="L444" i="39" s="1"/>
  <c r="L445" i="39" s="1"/>
  <c r="L446" i="39" s="1"/>
  <c r="L447" i="39" s="1"/>
  <c r="L448" i="39" s="1"/>
  <c r="L449" i="39" s="1"/>
  <c r="L450" i="39" s="1"/>
  <c r="L451" i="39" s="1"/>
  <c r="L452" i="39" s="1"/>
  <c r="L453" i="39" s="1"/>
  <c r="L454" i="39" s="1"/>
  <c r="L455" i="39" s="1"/>
  <c r="L456" i="39" s="1"/>
  <c r="L457" i="39" s="1"/>
  <c r="L458" i="39" s="1"/>
  <c r="L459" i="39" s="1"/>
  <c r="L460" i="39" s="1"/>
  <c r="L461" i="39" s="1"/>
  <c r="L462" i="39" s="1"/>
  <c r="L463" i="39" s="1"/>
  <c r="L464" i="39" s="1"/>
  <c r="L465" i="39" s="1"/>
  <c r="L466" i="39" s="1"/>
  <c r="L467" i="39" s="1"/>
  <c r="L468" i="39" s="1"/>
  <c r="L469" i="39" s="1"/>
  <c r="L470" i="39" s="1"/>
  <c r="L471" i="39" s="1"/>
  <c r="L472" i="39" s="1"/>
  <c r="L473" i="39" s="1"/>
  <c r="L474" i="39" s="1"/>
  <c r="L475" i="39" s="1"/>
  <c r="L476" i="39" s="1"/>
  <c r="L477" i="39" s="1"/>
  <c r="L478" i="39" s="1"/>
  <c r="L479" i="39" s="1"/>
  <c r="L480" i="39" s="1"/>
  <c r="L481" i="39" s="1"/>
  <c r="L482" i="39" s="1"/>
  <c r="L483" i="39" s="1"/>
  <c r="L484" i="39" s="1"/>
  <c r="L485" i="39" s="1"/>
  <c r="L486" i="39" s="1"/>
  <c r="L487" i="39" s="1"/>
  <c r="L488" i="39" s="1"/>
  <c r="L489" i="39" s="1"/>
  <c r="L490" i="39" s="1"/>
  <c r="L491" i="39" s="1"/>
  <c r="L492" i="39" s="1"/>
  <c r="L493" i="39" s="1"/>
  <c r="L494" i="39" s="1"/>
  <c r="L495" i="39" s="1"/>
  <c r="L496" i="39" s="1"/>
  <c r="L497" i="39" s="1"/>
  <c r="L498" i="39" s="1"/>
  <c r="L499" i="39" s="1"/>
  <c r="L500" i="39" s="1"/>
  <c r="L501" i="39" s="1"/>
  <c r="L502" i="39" s="1"/>
  <c r="L503" i="39" s="1"/>
  <c r="L504" i="39" s="1"/>
  <c r="L505" i="39" s="1"/>
  <c r="L506" i="39" s="1"/>
  <c r="L507" i="39" s="1"/>
  <c r="L508" i="39" s="1"/>
  <c r="L509" i="39" s="1"/>
  <c r="L510" i="39" s="1"/>
  <c r="L511" i="39" s="1"/>
  <c r="L512" i="39" s="1"/>
  <c r="L513" i="39" s="1"/>
  <c r="L514" i="39" s="1"/>
  <c r="L515" i="39" s="1"/>
  <c r="L516" i="39" s="1"/>
  <c r="L517" i="39" s="1"/>
  <c r="L518" i="39" s="1"/>
  <c r="L519" i="39" s="1"/>
  <c r="L520" i="39" s="1"/>
  <c r="L521" i="39" s="1"/>
  <c r="L522" i="39" s="1"/>
  <c r="L523" i="39" s="1"/>
  <c r="L524" i="39" s="1"/>
  <c r="L525" i="39" s="1"/>
  <c r="L526" i="39" s="1"/>
  <c r="L527" i="39" s="1"/>
  <c r="L528" i="39" s="1"/>
  <c r="L529" i="39" s="1"/>
  <c r="L530" i="39" s="1"/>
  <c r="L531" i="39" s="1"/>
  <c r="L532" i="39" s="1"/>
  <c r="L533" i="39" s="1"/>
  <c r="L534" i="39" s="1"/>
  <c r="L535" i="39" s="1"/>
  <c r="L536" i="39" s="1"/>
  <c r="L537" i="39" s="1"/>
  <c r="L538" i="39" s="1"/>
  <c r="L539" i="39" s="1"/>
  <c r="L540" i="39" s="1"/>
  <c r="L541" i="39" s="1"/>
  <c r="L542" i="39" s="1"/>
  <c r="L543" i="39" s="1"/>
  <c r="L544" i="39" s="1"/>
  <c r="L545" i="39" s="1"/>
  <c r="L546" i="39" s="1"/>
  <c r="L547" i="39" s="1"/>
  <c r="L548" i="39" s="1"/>
  <c r="L549" i="39" s="1"/>
  <c r="L550" i="39" s="1"/>
  <c r="L551" i="39" s="1"/>
  <c r="L552" i="39" s="1"/>
  <c r="L553" i="39" s="1"/>
  <c r="L554" i="39" s="1"/>
  <c r="L555" i="39" s="1"/>
  <c r="L556" i="39" s="1"/>
  <c r="L557" i="39" s="1"/>
  <c r="L558" i="39" s="1"/>
  <c r="L559" i="39" s="1"/>
  <c r="L560" i="39" s="1"/>
  <c r="L561" i="39" s="1"/>
  <c r="L562" i="39" s="1"/>
  <c r="L563" i="39" s="1"/>
  <c r="L564" i="39" s="1"/>
  <c r="L565" i="39" s="1"/>
  <c r="L566" i="39" s="1"/>
  <c r="L567" i="39" s="1"/>
  <c r="L568" i="39" s="1"/>
  <c r="L569" i="39" s="1"/>
  <c r="L570" i="39" s="1"/>
  <c r="L571" i="39" s="1"/>
  <c r="L572" i="39" s="1"/>
  <c r="L573" i="39" s="1"/>
  <c r="L574" i="39" s="1"/>
  <c r="L575" i="39" s="1"/>
  <c r="L576" i="39" s="1"/>
  <c r="L577" i="39" s="1"/>
  <c r="L578" i="39" s="1"/>
  <c r="L579" i="39" s="1"/>
  <c r="L580" i="39" s="1"/>
  <c r="L581" i="39" s="1"/>
  <c r="L582" i="39" s="1"/>
  <c r="L583" i="39" s="1"/>
  <c r="L584" i="39" s="1"/>
  <c r="L585" i="39" s="1"/>
  <c r="L586" i="39" s="1"/>
  <c r="L587" i="39" s="1"/>
  <c r="L588" i="39" s="1"/>
  <c r="L589" i="39" s="1"/>
  <c r="L590" i="39" s="1"/>
  <c r="L591" i="39" s="1"/>
  <c r="L592" i="39" s="1"/>
  <c r="L593" i="39" s="1"/>
  <c r="L594" i="39" s="1"/>
  <c r="L595" i="39" s="1"/>
  <c r="L596" i="39" s="1"/>
  <c r="L597" i="39" s="1"/>
  <c r="L598" i="39" s="1"/>
  <c r="L599" i="39" s="1"/>
  <c r="L600" i="39" s="1"/>
  <c r="L601" i="39" s="1"/>
  <c r="L602" i="39" s="1"/>
  <c r="L603" i="39" s="1"/>
  <c r="L604" i="39" s="1"/>
  <c r="L605" i="39" s="1"/>
  <c r="L606" i="39" s="1"/>
  <c r="L607" i="39" s="1"/>
  <c r="L608" i="39" s="1"/>
  <c r="L609" i="39" s="1"/>
  <c r="L610" i="39" s="1"/>
  <c r="L611" i="39" s="1"/>
  <c r="L612" i="39" s="1"/>
  <c r="L613" i="39" s="1"/>
  <c r="L614" i="39" s="1"/>
  <c r="L615" i="39" s="1"/>
  <c r="L616" i="39" s="1"/>
  <c r="L617" i="39" s="1"/>
  <c r="L618" i="39" s="1"/>
  <c r="L619" i="39" s="1"/>
  <c r="L620" i="39" s="1"/>
  <c r="L621" i="39" s="1"/>
  <c r="L622" i="39" s="1"/>
  <c r="L623" i="39" s="1"/>
  <c r="L624" i="39" s="1"/>
  <c r="L625" i="39" s="1"/>
  <c r="L626" i="39" s="1"/>
  <c r="L627" i="39" s="1"/>
  <c r="L628" i="39" s="1"/>
  <c r="L629" i="39" s="1"/>
  <c r="L630" i="39" s="1"/>
  <c r="L631" i="39" s="1"/>
  <c r="L632" i="39" s="1"/>
  <c r="L633" i="39" s="1"/>
  <c r="L634" i="39" s="1"/>
  <c r="L635" i="39" s="1"/>
  <c r="L636" i="39" s="1"/>
  <c r="L637" i="39" s="1"/>
  <c r="L638" i="39" s="1"/>
  <c r="L639" i="39" s="1"/>
  <c r="L640" i="39" s="1"/>
  <c r="L641" i="39" s="1"/>
  <c r="L642" i="39" s="1"/>
  <c r="L643" i="39" s="1"/>
  <c r="L644" i="39" s="1"/>
  <c r="L645" i="39" s="1"/>
  <c r="L646" i="39" s="1"/>
  <c r="L647" i="39" s="1"/>
  <c r="L648" i="39" s="1"/>
  <c r="L649" i="39" s="1"/>
  <c r="L650" i="39" s="1"/>
  <c r="C34" i="50"/>
  <c r="C35" i="50" s="1"/>
  <c r="F30" i="50"/>
  <c r="F34" i="50" s="1"/>
  <c r="F35" i="50" s="1"/>
  <c r="J30" i="50"/>
  <c r="J34" i="50" s="1"/>
  <c r="J35" i="50" s="1"/>
  <c r="L937" i="49"/>
  <c r="L936" i="49"/>
  <c r="L938" i="49" s="1"/>
  <c r="L939" i="49" s="1"/>
  <c r="L940" i="49" s="1"/>
  <c r="D684" i="39"/>
  <c r="K12" i="43"/>
  <c r="K6" i="43"/>
  <c r="K5" i="43"/>
  <c r="K33" i="43" s="1"/>
  <c r="U681" i="39"/>
  <c r="T681" i="39"/>
  <c r="D681" i="39"/>
  <c r="O681" i="39" s="1"/>
  <c r="U680" i="39"/>
  <c r="T680" i="39"/>
  <c r="D680" i="39"/>
  <c r="O680" i="39" s="1"/>
  <c r="E14" i="43"/>
  <c r="D672" i="39"/>
  <c r="O672" i="39" s="1"/>
  <c r="D668" i="39"/>
  <c r="D667" i="39"/>
  <c r="D679" i="39"/>
  <c r="D678" i="39"/>
  <c r="D677" i="39"/>
  <c r="D676" i="39"/>
  <c r="D675" i="39"/>
  <c r="D674" i="39"/>
  <c r="D673" i="39"/>
  <c r="D671" i="39"/>
  <c r="D670" i="39"/>
  <c r="D666" i="39"/>
  <c r="P666" i="39" s="1"/>
  <c r="U672" i="39"/>
  <c r="T672" i="39"/>
  <c r="U669" i="39"/>
  <c r="T669" i="39"/>
  <c r="D669" i="39"/>
  <c r="P669" i="39" s="1"/>
  <c r="U666" i="39"/>
  <c r="T666" i="39"/>
  <c r="Q16" i="48"/>
  <c r="P16" i="48"/>
  <c r="O16" i="48"/>
  <c r="N16" i="48"/>
  <c r="M16" i="48"/>
  <c r="L16" i="48"/>
  <c r="K16" i="48"/>
  <c r="J16" i="48"/>
  <c r="I16" i="48"/>
  <c r="H16" i="48"/>
  <c r="G16" i="48"/>
  <c r="Q16" i="46"/>
  <c r="P16" i="46"/>
  <c r="O16" i="46"/>
  <c r="N16" i="46"/>
  <c r="M16" i="46"/>
  <c r="L16" i="46"/>
  <c r="K16" i="46"/>
  <c r="J16" i="46"/>
  <c r="I16" i="46"/>
  <c r="H16" i="46"/>
  <c r="G16" i="46"/>
  <c r="F16" i="46"/>
  <c r="K667" i="39" l="1"/>
  <c r="L667" i="39" s="1"/>
  <c r="P681" i="39"/>
  <c r="Q681" i="39"/>
  <c r="N681" i="39"/>
  <c r="R681" i="39"/>
  <c r="P680" i="39"/>
  <c r="Q680" i="39"/>
  <c r="N680" i="39"/>
  <c r="R680" i="39"/>
  <c r="P672" i="39"/>
  <c r="Q672" i="39"/>
  <c r="N672" i="39"/>
  <c r="R672" i="39"/>
  <c r="Q669" i="39"/>
  <c r="N669" i="39"/>
  <c r="R669" i="39"/>
  <c r="O669" i="39"/>
  <c r="N666" i="39"/>
  <c r="R666" i="39"/>
  <c r="O666" i="39"/>
  <c r="Q666" i="39"/>
  <c r="Q42" i="48"/>
  <c r="P42" i="48"/>
  <c r="O42" i="48"/>
  <c r="N42" i="48"/>
  <c r="M42" i="48"/>
  <c r="L42" i="48"/>
  <c r="K42" i="48"/>
  <c r="J42" i="48"/>
  <c r="I42" i="48"/>
  <c r="H42" i="48"/>
  <c r="G42" i="48"/>
  <c r="F42" i="48"/>
  <c r="F16" i="48"/>
  <c r="H5" i="40" l="1"/>
  <c r="H4" i="40"/>
  <c r="U687" i="39"/>
  <c r="U686" i="39"/>
  <c r="U685" i="39"/>
  <c r="U684" i="39"/>
  <c r="U683" i="39"/>
  <c r="U668" i="39"/>
  <c r="U667" i="39"/>
  <c r="U679" i="39"/>
  <c r="U678" i="39"/>
  <c r="U677" i="39"/>
  <c r="U676" i="39"/>
  <c r="U675" i="39"/>
  <c r="U674" i="39"/>
  <c r="U673" i="39"/>
  <c r="U671" i="39"/>
  <c r="U670" i="39"/>
  <c r="U665" i="39"/>
  <c r="U664" i="39"/>
  <c r="U662" i="39"/>
  <c r="U661" i="39"/>
  <c r="U660" i="39"/>
  <c r="U659" i="39"/>
  <c r="U658" i="39"/>
  <c r="U657" i="39"/>
  <c r="U656" i="39"/>
  <c r="U655" i="39"/>
  <c r="U401" i="39"/>
  <c r="U5" i="39"/>
  <c r="U4" i="39"/>
  <c r="U3" i="39"/>
  <c r="O665" i="39"/>
  <c r="I27" i="47"/>
  <c r="I26" i="47"/>
  <c r="I15" i="47"/>
  <c r="I25" i="47"/>
  <c r="I18" i="47"/>
  <c r="I24" i="47"/>
  <c r="I23" i="47"/>
  <c r="I14" i="47"/>
  <c r="I22" i="47"/>
  <c r="I13" i="47"/>
  <c r="I21" i="47"/>
  <c r="I19" i="47"/>
  <c r="I20" i="47"/>
  <c r="I9" i="47"/>
  <c r="I11" i="47"/>
  <c r="I17" i="47"/>
  <c r="I10" i="47"/>
  <c r="I12" i="47"/>
  <c r="I7" i="47"/>
  <c r="I6" i="47"/>
  <c r="I16" i="47"/>
  <c r="I8" i="47"/>
  <c r="T665" i="39"/>
  <c r="F4" i="40"/>
  <c r="C22" i="47"/>
  <c r="C27" i="47"/>
  <c r="C26" i="47"/>
  <c r="C23" i="47"/>
  <c r="C25" i="47"/>
  <c r="C21" i="47"/>
  <c r="C18" i="47"/>
  <c r="C20" i="47"/>
  <c r="C19" i="47"/>
  <c r="C17" i="47"/>
  <c r="C24" i="47"/>
  <c r="C15" i="47"/>
  <c r="C14" i="47"/>
  <c r="C12" i="47"/>
  <c r="C13" i="47"/>
  <c r="C11" i="47"/>
  <c r="C10" i="47"/>
  <c r="C7" i="47"/>
  <c r="C8" i="47"/>
  <c r="C9" i="47"/>
  <c r="C16" i="47"/>
  <c r="C6" i="47"/>
  <c r="P665" i="39" l="1"/>
  <c r="Q665" i="39"/>
  <c r="N665" i="39"/>
  <c r="R665" i="39"/>
  <c r="Q42" i="46"/>
  <c r="P42" i="46"/>
  <c r="O42" i="46"/>
  <c r="N42" i="46"/>
  <c r="M42" i="46"/>
  <c r="L42" i="46"/>
  <c r="K42" i="46"/>
  <c r="J42" i="46"/>
  <c r="I42" i="46"/>
  <c r="H42" i="46"/>
  <c r="G42" i="46"/>
  <c r="F42" i="46"/>
  <c r="C5" i="45"/>
  <c r="D662" i="39"/>
  <c r="N662" i="39" s="1"/>
  <c r="D661" i="39"/>
  <c r="Q661" i="39" s="1"/>
  <c r="D660" i="39"/>
  <c r="P660" i="39" s="1"/>
  <c r="D659" i="39"/>
  <c r="Q659" i="39" s="1"/>
  <c r="D658" i="39"/>
  <c r="Q658" i="39" s="1"/>
  <c r="D657" i="39"/>
  <c r="P657" i="39" s="1"/>
  <c r="D656" i="39"/>
  <c r="P656" i="39" s="1"/>
  <c r="D655" i="39"/>
  <c r="P655" i="39" s="1"/>
  <c r="D401" i="39"/>
  <c r="O401" i="39" s="1"/>
  <c r="P5" i="39"/>
  <c r="P4" i="39"/>
  <c r="G21" i="43"/>
  <c r="I21" i="43" s="1"/>
  <c r="G9" i="43"/>
  <c r="I9" i="43" s="1"/>
  <c r="G30" i="43"/>
  <c r="I30" i="43" s="1"/>
  <c r="G29" i="43"/>
  <c r="I29" i="43" s="1"/>
  <c r="G28" i="43"/>
  <c r="I28" i="43" s="1"/>
  <c r="G23" i="43"/>
  <c r="I23" i="43" s="1"/>
  <c r="G22" i="43"/>
  <c r="I22" i="43" s="1"/>
  <c r="G16" i="43"/>
  <c r="I16" i="43" s="1"/>
  <c r="G15" i="43"/>
  <c r="I15" i="43" s="1"/>
  <c r="G14" i="43"/>
  <c r="I14" i="43" s="1"/>
  <c r="G8" i="43"/>
  <c r="I8" i="43" s="1"/>
  <c r="G7" i="43"/>
  <c r="I7" i="43" s="1"/>
  <c r="D33" i="43"/>
  <c r="T664" i="39"/>
  <c r="R664" i="39"/>
  <c r="Q664" i="39"/>
  <c r="P664" i="39"/>
  <c r="O664" i="39"/>
  <c r="N664" i="39"/>
  <c r="T671" i="39"/>
  <c r="R671" i="39"/>
  <c r="Q671" i="39"/>
  <c r="P671" i="39"/>
  <c r="O671" i="39"/>
  <c r="N671" i="39"/>
  <c r="T670" i="39"/>
  <c r="R670" i="39"/>
  <c r="Q670" i="39"/>
  <c r="P670" i="39"/>
  <c r="O670" i="39"/>
  <c r="N670" i="39"/>
  <c r="T668" i="39"/>
  <c r="R668" i="39"/>
  <c r="Q668" i="39"/>
  <c r="P668" i="39"/>
  <c r="O668" i="39"/>
  <c r="N668" i="39"/>
  <c r="T667" i="39"/>
  <c r="R667" i="39"/>
  <c r="Q667" i="39"/>
  <c r="P667" i="39"/>
  <c r="O667" i="39"/>
  <c r="N667" i="39"/>
  <c r="T679" i="39"/>
  <c r="R679" i="39"/>
  <c r="Q679" i="39"/>
  <c r="P679" i="39"/>
  <c r="O679" i="39"/>
  <c r="N679" i="39"/>
  <c r="T678" i="39"/>
  <c r="R678" i="39"/>
  <c r="Q678" i="39"/>
  <c r="P678" i="39"/>
  <c r="O678" i="39"/>
  <c r="N678" i="39"/>
  <c r="T677" i="39"/>
  <c r="R677" i="39"/>
  <c r="Q677" i="39"/>
  <c r="P677" i="39"/>
  <c r="O677" i="39"/>
  <c r="N677" i="39"/>
  <c r="T676" i="39"/>
  <c r="R676" i="39"/>
  <c r="Q676" i="39"/>
  <c r="P676" i="39"/>
  <c r="O676" i="39"/>
  <c r="N676" i="39"/>
  <c r="T675" i="39"/>
  <c r="R675" i="39"/>
  <c r="Q675" i="39"/>
  <c r="P675" i="39"/>
  <c r="O675" i="39"/>
  <c r="N675" i="39"/>
  <c r="T674" i="39"/>
  <c r="R674" i="39"/>
  <c r="Q674" i="39"/>
  <c r="P674" i="39"/>
  <c r="O674" i="39"/>
  <c r="N674" i="39"/>
  <c r="T673" i="39"/>
  <c r="R673" i="39"/>
  <c r="Q673" i="39"/>
  <c r="P673" i="39"/>
  <c r="O673" i="39"/>
  <c r="N673" i="39"/>
  <c r="G5" i="42"/>
  <c r="U5" i="42"/>
  <c r="V5" i="42"/>
  <c r="G6" i="42"/>
  <c r="U6" i="42"/>
  <c r="V6" i="42"/>
  <c r="W6" i="42" s="1"/>
  <c r="G7" i="42"/>
  <c r="G9" i="42" s="1"/>
  <c r="U7" i="42"/>
  <c r="V7" i="42"/>
  <c r="G8" i="42"/>
  <c r="U8" i="42"/>
  <c r="W8" i="42" s="1"/>
  <c r="V8" i="42"/>
  <c r="E9" i="42"/>
  <c r="F9" i="42"/>
  <c r="R9" i="42"/>
  <c r="T687" i="39"/>
  <c r="R687" i="39"/>
  <c r="Q687" i="39"/>
  <c r="P687" i="39"/>
  <c r="O687" i="39"/>
  <c r="N687" i="39"/>
  <c r="T686" i="39"/>
  <c r="R686" i="39"/>
  <c r="Q686" i="39"/>
  <c r="P686" i="39"/>
  <c r="O686" i="39"/>
  <c r="N686" i="39"/>
  <c r="T685" i="39"/>
  <c r="R685" i="39"/>
  <c r="Q685" i="39"/>
  <c r="P685" i="39"/>
  <c r="O685" i="39"/>
  <c r="N685" i="39"/>
  <c r="T684" i="39"/>
  <c r="R684" i="39"/>
  <c r="Q684" i="39"/>
  <c r="P684" i="39"/>
  <c r="O684" i="39"/>
  <c r="N684" i="39"/>
  <c r="T683" i="39"/>
  <c r="R683" i="39"/>
  <c r="Q683" i="39"/>
  <c r="P683" i="39"/>
  <c r="O683" i="39"/>
  <c r="N683" i="39"/>
  <c r="T662" i="39"/>
  <c r="T661" i="39"/>
  <c r="T660" i="39"/>
  <c r="T659" i="39"/>
  <c r="T658" i="39"/>
  <c r="T657" i="39"/>
  <c r="T656" i="39"/>
  <c r="T655" i="39"/>
  <c r="T401" i="39"/>
  <c r="T5" i="39"/>
  <c r="T4" i="39"/>
  <c r="T3" i="39"/>
  <c r="W5" i="42" l="1"/>
  <c r="W7" i="42"/>
  <c r="I33" i="43"/>
  <c r="K5" i="45"/>
  <c r="L5" i="45"/>
  <c r="I5" i="45"/>
  <c r="M5" i="45"/>
  <c r="H5" i="45"/>
  <c r="G5" i="45"/>
  <c r="J5" i="45"/>
  <c r="F5" i="45"/>
  <c r="L11" i="45"/>
  <c r="F9" i="45"/>
  <c r="F13" i="45"/>
  <c r="F17" i="45"/>
  <c r="G9" i="45"/>
  <c r="G13" i="45"/>
  <c r="G17" i="45"/>
  <c r="H9" i="45"/>
  <c r="L9" i="45"/>
  <c r="J10" i="45"/>
  <c r="H11" i="45"/>
  <c r="M11" i="45"/>
  <c r="K12" i="45"/>
  <c r="I13" i="45"/>
  <c r="M13" i="45"/>
  <c r="K14" i="45"/>
  <c r="I15" i="45"/>
  <c r="M15" i="45"/>
  <c r="K16" i="45"/>
  <c r="I17" i="45"/>
  <c r="M17" i="45"/>
  <c r="K18" i="45"/>
  <c r="I19" i="45"/>
  <c r="M19" i="45"/>
  <c r="F10" i="45"/>
  <c r="F14" i="45"/>
  <c r="F18" i="45"/>
  <c r="G10" i="45"/>
  <c r="G14" i="45"/>
  <c r="G18" i="45"/>
  <c r="I9" i="45"/>
  <c r="M9" i="45"/>
  <c r="K10" i="45"/>
  <c r="I11" i="45"/>
  <c r="H12" i="45"/>
  <c r="L12" i="45"/>
  <c r="J13" i="45"/>
  <c r="H14" i="45"/>
  <c r="L14" i="45"/>
  <c r="J15" i="45"/>
  <c r="H16" i="45"/>
  <c r="L16" i="45"/>
  <c r="J17" i="45"/>
  <c r="H18" i="45"/>
  <c r="L18" i="45"/>
  <c r="J19" i="45"/>
  <c r="F11" i="45"/>
  <c r="F15" i="45"/>
  <c r="F19" i="45"/>
  <c r="G11" i="45"/>
  <c r="G15" i="45"/>
  <c r="G19" i="45"/>
  <c r="J9" i="45"/>
  <c r="H10" i="45"/>
  <c r="L10" i="45"/>
  <c r="J11" i="45"/>
  <c r="I12" i="45"/>
  <c r="M12" i="45"/>
  <c r="K13" i="45"/>
  <c r="I14" i="45"/>
  <c r="M14" i="45"/>
  <c r="K15" i="45"/>
  <c r="I16" i="45"/>
  <c r="M16" i="45"/>
  <c r="K17" i="45"/>
  <c r="I18" i="45"/>
  <c r="M18" i="45"/>
  <c r="K19" i="45"/>
  <c r="F12" i="45"/>
  <c r="F16" i="45"/>
  <c r="G12" i="45"/>
  <c r="G16" i="45"/>
  <c r="K9" i="45"/>
  <c r="I10" i="45"/>
  <c r="M10" i="45"/>
  <c r="K11" i="45"/>
  <c r="J12" i="45"/>
  <c r="H13" i="45"/>
  <c r="L13" i="45"/>
  <c r="J14" i="45"/>
  <c r="H15" i="45"/>
  <c r="L15" i="45"/>
  <c r="J16" i="45"/>
  <c r="H17" i="45"/>
  <c r="L17" i="45"/>
  <c r="J18" i="45"/>
  <c r="H19" i="45"/>
  <c r="L19" i="45"/>
  <c r="Q3" i="39"/>
  <c r="Q656" i="39"/>
  <c r="Q660" i="39"/>
  <c r="P662" i="39"/>
  <c r="N656" i="39"/>
  <c r="R656" i="39"/>
  <c r="O656" i="39"/>
  <c r="O660" i="39"/>
  <c r="N660" i="39"/>
  <c r="R660" i="39"/>
  <c r="Q662" i="39"/>
  <c r="R662" i="39"/>
  <c r="R658" i="39"/>
  <c r="O662" i="39"/>
  <c r="Q401" i="39"/>
  <c r="N661" i="39"/>
  <c r="R661" i="39"/>
  <c r="O661" i="39"/>
  <c r="P661" i="39"/>
  <c r="N658" i="39"/>
  <c r="P401" i="39"/>
  <c r="O658" i="39"/>
  <c r="P658" i="39"/>
  <c r="N401" i="39"/>
  <c r="R401" i="39"/>
  <c r="O655" i="39"/>
  <c r="Q655" i="39"/>
  <c r="N5" i="39"/>
  <c r="N655" i="39"/>
  <c r="R655" i="39"/>
  <c r="N657" i="39"/>
  <c r="R657" i="39"/>
  <c r="Q657" i="39"/>
  <c r="O657" i="39"/>
  <c r="R659" i="39"/>
  <c r="N659" i="39"/>
  <c r="O659" i="39"/>
  <c r="P659" i="39"/>
  <c r="Q5" i="39"/>
  <c r="R5" i="39"/>
  <c r="O5" i="39"/>
  <c r="Q4" i="39"/>
  <c r="N4" i="39"/>
  <c r="R4" i="39"/>
  <c r="O4" i="39"/>
  <c r="N3" i="39"/>
  <c r="O3" i="39"/>
  <c r="R3" i="39"/>
  <c r="P3" i="39"/>
  <c r="W9" i="42"/>
  <c r="E33" i="43"/>
  <c r="K668" i="39" l="1"/>
  <c r="L668" i="39" s="1"/>
  <c r="L669" i="39" s="1"/>
  <c r="L670" i="39" s="1"/>
  <c r="L671" i="39" s="1"/>
  <c r="L672" i="39" s="1"/>
  <c r="L673" i="39" s="1"/>
  <c r="L674" i="39" s="1"/>
  <c r="L675" i="39" s="1"/>
  <c r="L676" i="39" s="1"/>
  <c r="L677" i="39" s="1"/>
  <c r="L678" i="39" s="1"/>
  <c r="L679" i="39" s="1"/>
  <c r="L680" i="39" s="1"/>
  <c r="L681" i="39" s="1"/>
  <c r="O27" i="48"/>
  <c r="K27" i="48"/>
  <c r="G27" i="48"/>
  <c r="F27" i="48"/>
  <c r="N27" i="48"/>
  <c r="J27" i="48"/>
  <c r="Q27" i="48"/>
  <c r="M27" i="48"/>
  <c r="I27" i="48"/>
  <c r="P27" i="48"/>
  <c r="L27" i="48"/>
  <c r="H27" i="48"/>
  <c r="Q27" i="46"/>
  <c r="M27" i="46"/>
  <c r="I27" i="46"/>
  <c r="P27" i="46"/>
  <c r="L27" i="46"/>
  <c r="H27" i="46"/>
  <c r="J27" i="46"/>
  <c r="O27" i="46"/>
  <c r="K27" i="46"/>
  <c r="G27" i="46"/>
  <c r="N27" i="46"/>
  <c r="F27" i="46"/>
  <c r="H25" i="46"/>
  <c r="G20" i="46"/>
  <c r="K20" i="46"/>
  <c r="I10" i="46"/>
  <c r="G25" i="46"/>
  <c r="J37" i="46"/>
  <c r="Q23" i="46"/>
  <c r="G9" i="46"/>
  <c r="L12" i="46"/>
  <c r="Q9" i="46"/>
  <c r="F9" i="46"/>
  <c r="O20" i="46"/>
  <c r="I11" i="46"/>
  <c r="G30" i="46"/>
  <c r="K9" i="48"/>
  <c r="F26" i="48"/>
  <c r="M33" i="46"/>
  <c r="Q30" i="46"/>
  <c r="L24" i="46"/>
  <c r="O9" i="48"/>
  <c r="N36" i="48"/>
  <c r="G36" i="46"/>
  <c r="M39" i="46"/>
  <c r="K37" i="46"/>
  <c r="I35" i="46"/>
  <c r="G33" i="46"/>
  <c r="Q22" i="48"/>
  <c r="G10" i="48"/>
  <c r="H36" i="46"/>
  <c r="L33" i="46"/>
  <c r="P34" i="46"/>
  <c r="N32" i="46"/>
  <c r="L30" i="46"/>
  <c r="N19" i="46"/>
  <c r="M9" i="46"/>
  <c r="F23" i="46"/>
  <c r="J23" i="46"/>
  <c r="P20" i="46"/>
  <c r="K23" i="46"/>
  <c r="P19" i="46"/>
  <c r="K22" i="46"/>
  <c r="J10" i="46"/>
  <c r="O21" i="46"/>
  <c r="J16" i="47"/>
  <c r="I9" i="46"/>
  <c r="P21" i="46"/>
  <c r="P11" i="46"/>
  <c r="H11" i="46"/>
  <c r="N18" i="46"/>
  <c r="I21" i="46"/>
  <c r="F24" i="46"/>
  <c r="N17" i="46"/>
  <c r="I20" i="46"/>
  <c r="M19" i="46"/>
  <c r="H22" i="46"/>
  <c r="M28" i="46"/>
  <c r="P39" i="46"/>
  <c r="Q26" i="46"/>
  <c r="M8" i="46"/>
  <c r="P17" i="46"/>
  <c r="N8" i="46"/>
  <c r="K8" i="46"/>
  <c r="H17" i="46"/>
  <c r="P10" i="46"/>
  <c r="K13" i="46"/>
  <c r="G19" i="46"/>
  <c r="L26" i="46"/>
  <c r="O38" i="46"/>
  <c r="K12" i="46"/>
  <c r="G18" i="46"/>
  <c r="O34" i="46"/>
  <c r="K17" i="46"/>
  <c r="F20" i="46"/>
  <c r="J9" i="47"/>
  <c r="H31" i="46"/>
  <c r="O24" i="46"/>
  <c r="J28" i="46"/>
  <c r="O7" i="46"/>
  <c r="I22" i="46"/>
  <c r="G7" i="46"/>
  <c r="K7" i="46"/>
  <c r="H10" i="46"/>
  <c r="H7" i="46"/>
  <c r="Q8" i="46"/>
  <c r="J9" i="46"/>
  <c r="I12" i="46"/>
  <c r="I18" i="46"/>
  <c r="I7" i="46"/>
  <c r="K9" i="46"/>
  <c r="F10" i="46"/>
  <c r="M12" i="46"/>
  <c r="M18" i="46"/>
  <c r="H21" i="46"/>
  <c r="P35" i="46"/>
  <c r="F7" i="46"/>
  <c r="O8" i="46"/>
  <c r="H9" i="46"/>
  <c r="J11" i="47"/>
  <c r="N23" i="46"/>
  <c r="N33" i="46"/>
  <c r="M11" i="46"/>
  <c r="F12" i="46"/>
  <c r="O13" i="46"/>
  <c r="I17" i="46"/>
  <c r="K19" i="46"/>
  <c r="M21" i="46"/>
  <c r="F22" i="46"/>
  <c r="O23" i="46"/>
  <c r="N24" i="46"/>
  <c r="M36" i="46"/>
  <c r="H39" i="46"/>
  <c r="M10" i="46"/>
  <c r="F11" i="46"/>
  <c r="O12" i="46"/>
  <c r="H13" i="46"/>
  <c r="K18" i="46"/>
  <c r="M20" i="46"/>
  <c r="F21" i="46"/>
  <c r="O22" i="46"/>
  <c r="H23" i="46"/>
  <c r="J12" i="47"/>
  <c r="M32" i="46"/>
  <c r="H35" i="46"/>
  <c r="N10" i="46"/>
  <c r="G11" i="46"/>
  <c r="P12" i="46"/>
  <c r="I13" i="46"/>
  <c r="O17" i="46"/>
  <c r="H18" i="46"/>
  <c r="Q19" i="46"/>
  <c r="J20" i="46"/>
  <c r="L22" i="46"/>
  <c r="K25" i="46"/>
  <c r="F29" i="46"/>
  <c r="J6" i="47"/>
  <c r="N37" i="46"/>
  <c r="L25" i="46"/>
  <c r="N28" i="46"/>
  <c r="G29" i="46"/>
  <c r="P30" i="46"/>
  <c r="I31" i="46"/>
  <c r="K33" i="46"/>
  <c r="M35" i="46"/>
  <c r="F36" i="46"/>
  <c r="O37" i="46"/>
  <c r="H38" i="46"/>
  <c r="J24" i="47"/>
  <c r="Q39" i="46"/>
  <c r="P24" i="46"/>
  <c r="M25" i="46"/>
  <c r="O28" i="46"/>
  <c r="J31" i="46"/>
  <c r="P28" i="46"/>
  <c r="K31" i="46"/>
  <c r="F34" i="46"/>
  <c r="J25" i="47"/>
  <c r="F18" i="48"/>
  <c r="L12" i="48"/>
  <c r="F17" i="48"/>
  <c r="O13" i="48"/>
  <c r="F35" i="48"/>
  <c r="Q39" i="48"/>
  <c r="Q38" i="48"/>
  <c r="Q37" i="48"/>
  <c r="Q36" i="48"/>
  <c r="Q35" i="48"/>
  <c r="Q34" i="48"/>
  <c r="G39" i="48"/>
  <c r="G38" i="48"/>
  <c r="G37" i="48"/>
  <c r="G36" i="48"/>
  <c r="G35" i="48"/>
  <c r="G34" i="48"/>
  <c r="G33" i="48"/>
  <c r="G32" i="48"/>
  <c r="G31" i="48"/>
  <c r="G30" i="48"/>
  <c r="G29" i="48"/>
  <c r="G28" i="48"/>
  <c r="G26" i="48"/>
  <c r="G25" i="48"/>
  <c r="G24" i="48"/>
  <c r="G23" i="48"/>
  <c r="G22" i="48"/>
  <c r="G21" i="48"/>
  <c r="G20" i="48"/>
  <c r="G19" i="48"/>
  <c r="F7" i="48"/>
  <c r="K18" i="48"/>
  <c r="I17" i="48"/>
  <c r="I13" i="48"/>
  <c r="I12" i="48"/>
  <c r="I11" i="48"/>
  <c r="I10" i="48"/>
  <c r="I9" i="48"/>
  <c r="I8" i="48"/>
  <c r="M39" i="48"/>
  <c r="M38" i="48"/>
  <c r="M37" i="48"/>
  <c r="M36" i="48"/>
  <c r="M35" i="48"/>
  <c r="M34" i="48"/>
  <c r="P39" i="48"/>
  <c r="P38" i="48"/>
  <c r="P37" i="48"/>
  <c r="P36" i="48"/>
  <c r="P35" i="48"/>
  <c r="P34" i="48"/>
  <c r="P33" i="48"/>
  <c r="P32" i="48"/>
  <c r="P31" i="48"/>
  <c r="P30" i="48"/>
  <c r="P29" i="48"/>
  <c r="P28" i="48"/>
  <c r="P26" i="48"/>
  <c r="P25" i="48"/>
  <c r="P24" i="48"/>
  <c r="P23" i="48"/>
  <c r="P22" i="48"/>
  <c r="P21" i="48"/>
  <c r="P20" i="48"/>
  <c r="P19" i="48"/>
  <c r="P18" i="48"/>
  <c r="M33" i="48"/>
  <c r="M31" i="48"/>
  <c r="M29" i="48"/>
  <c r="M26" i="48"/>
  <c r="M24" i="48"/>
  <c r="M22" i="48"/>
  <c r="M20" i="48"/>
  <c r="N17" i="48"/>
  <c r="N13" i="48"/>
  <c r="N12" i="48"/>
  <c r="N11" i="48"/>
  <c r="N10" i="48"/>
  <c r="N9" i="48"/>
  <c r="N8" i="48"/>
  <c r="N7" i="48"/>
  <c r="F11" i="48"/>
  <c r="J32" i="48"/>
  <c r="J30" i="48"/>
  <c r="J28" i="48"/>
  <c r="J25" i="48"/>
  <c r="J23" i="48"/>
  <c r="J21" i="48"/>
  <c r="K19" i="48"/>
  <c r="I39" i="48"/>
  <c r="I38" i="48"/>
  <c r="I37" i="48"/>
  <c r="I36" i="48"/>
  <c r="I35" i="48"/>
  <c r="I34" i="48"/>
  <c r="L39" i="48"/>
  <c r="L38" i="48"/>
  <c r="L37" i="48"/>
  <c r="L36" i="48"/>
  <c r="L35" i="48"/>
  <c r="L34" i="48"/>
  <c r="L33" i="48"/>
  <c r="L32" i="48"/>
  <c r="L31" i="48"/>
  <c r="L30" i="48"/>
  <c r="L29" i="48"/>
  <c r="L28" i="48"/>
  <c r="L26" i="48"/>
  <c r="L25" i="48"/>
  <c r="L24" i="48"/>
  <c r="L23" i="48"/>
  <c r="L22" i="48"/>
  <c r="L21" i="48"/>
  <c r="L20" i="48"/>
  <c r="L19" i="48"/>
  <c r="L18" i="48"/>
  <c r="O39" i="48"/>
  <c r="O38" i="48"/>
  <c r="O37" i="48"/>
  <c r="O36" i="48"/>
  <c r="O35" i="48"/>
  <c r="O34" i="48"/>
  <c r="O33" i="48"/>
  <c r="O32" i="48"/>
  <c r="O31" i="48"/>
  <c r="O30" i="48"/>
  <c r="O29" i="48"/>
  <c r="O28" i="48"/>
  <c r="O26" i="48"/>
  <c r="O25" i="48"/>
  <c r="O24" i="48"/>
  <c r="O23" i="48"/>
  <c r="O22" i="48"/>
  <c r="O21" i="48"/>
  <c r="O20" i="48"/>
  <c r="O19" i="48"/>
  <c r="M18" i="48"/>
  <c r="J17" i="48"/>
  <c r="J13" i="48"/>
  <c r="J12" i="48"/>
  <c r="J11" i="48"/>
  <c r="J10" i="48"/>
  <c r="J9" i="48"/>
  <c r="J8" i="48"/>
  <c r="J7" i="48"/>
  <c r="Q17" i="48"/>
  <c r="Q13" i="48"/>
  <c r="Q12" i="48"/>
  <c r="Q11" i="48"/>
  <c r="Q10" i="48"/>
  <c r="Q9" i="48"/>
  <c r="Q8" i="48"/>
  <c r="H37" i="48"/>
  <c r="H33" i="48"/>
  <c r="H29" i="48"/>
  <c r="H24" i="48"/>
  <c r="H20" i="48"/>
  <c r="K38" i="48"/>
  <c r="K34" i="48"/>
  <c r="K30" i="48"/>
  <c r="K25" i="48"/>
  <c r="K21" i="48"/>
  <c r="M32" i="48"/>
  <c r="M23" i="48"/>
  <c r="J26" i="48"/>
  <c r="Q18" i="48"/>
  <c r="M11" i="48"/>
  <c r="F12" i="48"/>
  <c r="J34" i="48"/>
  <c r="F32" i="48"/>
  <c r="N22" i="48"/>
  <c r="G13" i="48"/>
  <c r="O8" i="48"/>
  <c r="F8" i="48"/>
  <c r="F30" i="48"/>
  <c r="I29" i="48"/>
  <c r="J19" i="48"/>
  <c r="L11" i="48"/>
  <c r="N35" i="48"/>
  <c r="Q30" i="48"/>
  <c r="Q25" i="48"/>
  <c r="Q21" i="48"/>
  <c r="J18" i="48"/>
  <c r="H13" i="48"/>
  <c r="H11" i="48"/>
  <c r="H9" i="48"/>
  <c r="H7" i="48"/>
  <c r="F37" i="48"/>
  <c r="F20" i="48"/>
  <c r="N33" i="48"/>
  <c r="N29" i="48"/>
  <c r="N24" i="48"/>
  <c r="H36" i="48"/>
  <c r="H32" i="48"/>
  <c r="H28" i="48"/>
  <c r="H23" i="48"/>
  <c r="H19" i="48"/>
  <c r="K37" i="48"/>
  <c r="K33" i="48"/>
  <c r="K29" i="48"/>
  <c r="K24" i="48"/>
  <c r="K20" i="48"/>
  <c r="M30" i="48"/>
  <c r="M21" i="48"/>
  <c r="J33" i="48"/>
  <c r="J24" i="48"/>
  <c r="M17" i="48"/>
  <c r="M10" i="48"/>
  <c r="Q7" i="48"/>
  <c r="K17" i="48"/>
  <c r="K12" i="48"/>
  <c r="K10" i="48"/>
  <c r="K8" i="48"/>
  <c r="F36" i="48"/>
  <c r="F19" i="48"/>
  <c r="N19" i="48"/>
  <c r="G12" i="48"/>
  <c r="O7" i="48"/>
  <c r="F34" i="48"/>
  <c r="N38" i="48"/>
  <c r="I26" i="48"/>
  <c r="L10" i="48"/>
  <c r="Q33" i="48"/>
  <c r="Q29" i="48"/>
  <c r="Q24" i="48"/>
  <c r="Q20" i="48"/>
  <c r="P17" i="48"/>
  <c r="P12" i="48"/>
  <c r="P10" i="48"/>
  <c r="P8" i="48"/>
  <c r="F9" i="48"/>
  <c r="F39" i="48"/>
  <c r="F24" i="48"/>
  <c r="J39" i="48"/>
  <c r="N32" i="48"/>
  <c r="H39" i="48"/>
  <c r="H35" i="48"/>
  <c r="H31" i="48"/>
  <c r="H26" i="48"/>
  <c r="H22" i="48"/>
  <c r="H18" i="48"/>
  <c r="K36" i="48"/>
  <c r="K32" i="48"/>
  <c r="K28" i="48"/>
  <c r="K23" i="48"/>
  <c r="M28" i="48"/>
  <c r="M19" i="48"/>
  <c r="J31" i="48"/>
  <c r="J22" i="48"/>
  <c r="M13" i="48"/>
  <c r="M9" i="48"/>
  <c r="M7" i="48"/>
  <c r="J38" i="48"/>
  <c r="I19" i="48"/>
  <c r="F23" i="48"/>
  <c r="I18" i="48"/>
  <c r="O10" i="48"/>
  <c r="F38" i="48"/>
  <c r="N34" i="48"/>
  <c r="I24" i="48"/>
  <c r="L9" i="48"/>
  <c r="N39" i="48"/>
  <c r="Q32" i="48"/>
  <c r="Q28" i="48"/>
  <c r="Q23" i="48"/>
  <c r="Q19" i="48"/>
  <c r="H17" i="48"/>
  <c r="H12" i="48"/>
  <c r="H10" i="48"/>
  <c r="H8" i="48"/>
  <c r="F29" i="48"/>
  <c r="J37" i="48"/>
  <c r="N31" i="48"/>
  <c r="N26" i="48"/>
  <c r="H25" i="48"/>
  <c r="K31" i="48"/>
  <c r="M25" i="48"/>
  <c r="M8" i="48"/>
  <c r="J36" i="48"/>
  <c r="N18" i="48"/>
  <c r="K7" i="48"/>
  <c r="F10" i="48"/>
  <c r="N37" i="48"/>
  <c r="P7" i="48"/>
  <c r="N28" i="48"/>
  <c r="N20" i="48"/>
  <c r="O12" i="48"/>
  <c r="G9" i="48"/>
  <c r="I33" i="48"/>
  <c r="I25" i="48"/>
  <c r="O18" i="48"/>
  <c r="L8" i="48"/>
  <c r="F22" i="48"/>
  <c r="F31" i="48"/>
  <c r="O39" i="46"/>
  <c r="F38" i="46"/>
  <c r="M37" i="46"/>
  <c r="K35" i="46"/>
  <c r="I33" i="46"/>
  <c r="P32" i="46"/>
  <c r="G31" i="46"/>
  <c r="N30" i="46"/>
  <c r="L28" i="46"/>
  <c r="J25" i="46"/>
  <c r="N39" i="46"/>
  <c r="L37" i="46"/>
  <c r="J35" i="46"/>
  <c r="Q34" i="46"/>
  <c r="J20" i="47"/>
  <c r="H33" i="46"/>
  <c r="O32" i="46"/>
  <c r="F31" i="46"/>
  <c r="M30" i="46"/>
  <c r="K28" i="46"/>
  <c r="I25" i="46"/>
  <c r="H38" i="48"/>
  <c r="H21" i="48"/>
  <c r="K26" i="48"/>
  <c r="G18" i="48"/>
  <c r="J29" i="48"/>
  <c r="I7" i="48"/>
  <c r="K13" i="48"/>
  <c r="Q31" i="48"/>
  <c r="P13" i="48"/>
  <c r="F33" i="48"/>
  <c r="N25" i="48"/>
  <c r="O11" i="48"/>
  <c r="G8" i="48"/>
  <c r="I32" i="48"/>
  <c r="I23" i="48"/>
  <c r="L17" i="48"/>
  <c r="L7" i="48"/>
  <c r="K39" i="46"/>
  <c r="I37" i="46"/>
  <c r="P36" i="46"/>
  <c r="G35" i="46"/>
  <c r="N34" i="46"/>
  <c r="L32" i="46"/>
  <c r="J30" i="46"/>
  <c r="Q29" i="46"/>
  <c r="J26" i="47"/>
  <c r="H28" i="46"/>
  <c r="O26" i="46"/>
  <c r="F25" i="46"/>
  <c r="J39" i="46"/>
  <c r="Q38" i="46"/>
  <c r="J27" i="47"/>
  <c r="H37" i="46"/>
  <c r="O36" i="46"/>
  <c r="F35" i="46"/>
  <c r="M34" i="46"/>
  <c r="K32" i="46"/>
  <c r="I30" i="46"/>
  <c r="P29" i="46"/>
  <c r="G28" i="46"/>
  <c r="N26" i="46"/>
  <c r="H34" i="48"/>
  <c r="K39" i="48"/>
  <c r="K22" i="48"/>
  <c r="J20" i="48"/>
  <c r="K11" i="48"/>
  <c r="G17" i="48"/>
  <c r="I31" i="48"/>
  <c r="Q26" i="48"/>
  <c r="P11" i="48"/>
  <c r="J35" i="48"/>
  <c r="N23" i="48"/>
  <c r="O17" i="48"/>
  <c r="G11" i="48"/>
  <c r="G7" i="48"/>
  <c r="I30" i="48"/>
  <c r="I22" i="48"/>
  <c r="L13" i="48"/>
  <c r="F13" i="48"/>
  <c r="G39" i="46"/>
  <c r="N38" i="46"/>
  <c r="L36" i="46"/>
  <c r="J34" i="46"/>
  <c r="Q33" i="46"/>
  <c r="J7" i="47"/>
  <c r="H32" i="46"/>
  <c r="O31" i="46"/>
  <c r="F30" i="46"/>
  <c r="M29" i="46"/>
  <c r="K26" i="46"/>
  <c r="F39" i="46"/>
  <c r="M38" i="46"/>
  <c r="K36" i="46"/>
  <c r="I34" i="46"/>
  <c r="P33" i="46"/>
  <c r="G32" i="46"/>
  <c r="N31" i="46"/>
  <c r="L29" i="46"/>
  <c r="J26" i="46"/>
  <c r="Q25" i="46"/>
  <c r="H8" i="46"/>
  <c r="N13" i="46"/>
  <c r="Q28" i="46"/>
  <c r="L11" i="46"/>
  <c r="L31" i="46"/>
  <c r="G34" i="46"/>
  <c r="L7" i="46"/>
  <c r="N9" i="46"/>
  <c r="K10" i="46"/>
  <c r="O25" i="46"/>
  <c r="M7" i="46"/>
  <c r="F8" i="46"/>
  <c r="O9" i="46"/>
  <c r="L10" i="46"/>
  <c r="F13" i="46"/>
  <c r="F19" i="46"/>
  <c r="J23" i="47"/>
  <c r="H26" i="46"/>
  <c r="K38" i="46"/>
  <c r="J7" i="46"/>
  <c r="L9" i="46"/>
  <c r="G10" i="46"/>
  <c r="Q12" i="46"/>
  <c r="Q18" i="46"/>
  <c r="L21" i="46"/>
  <c r="M24" i="46"/>
  <c r="I36" i="46"/>
  <c r="Q11" i="46"/>
  <c r="J12" i="46"/>
  <c r="M17" i="46"/>
  <c r="F18" i="46"/>
  <c r="O19" i="46"/>
  <c r="H20" i="46"/>
  <c r="J18" i="47"/>
  <c r="Q21" i="46"/>
  <c r="J22" i="46"/>
  <c r="P31" i="46"/>
  <c r="K34" i="46"/>
  <c r="F37" i="46"/>
  <c r="Q10" i="46"/>
  <c r="J11" i="46"/>
  <c r="L13" i="46"/>
  <c r="F17" i="46"/>
  <c r="O18" i="46"/>
  <c r="H19" i="46"/>
  <c r="J19" i="47"/>
  <c r="Q20" i="46"/>
  <c r="J21" i="46"/>
  <c r="L23" i="46"/>
  <c r="I24" i="46"/>
  <c r="P26" i="46"/>
  <c r="K30" i="46"/>
  <c r="F33" i="46"/>
  <c r="J22" i="47"/>
  <c r="K11" i="46"/>
  <c r="M13" i="46"/>
  <c r="L18" i="46"/>
  <c r="N20" i="46"/>
  <c r="G21" i="46"/>
  <c r="P22" i="46"/>
  <c r="I23" i="46"/>
  <c r="Q32" i="46"/>
  <c r="L35" i="46"/>
  <c r="G38" i="46"/>
  <c r="G24" i="46"/>
  <c r="P25" i="46"/>
  <c r="I26" i="46"/>
  <c r="K29" i="46"/>
  <c r="M31" i="46"/>
  <c r="F32" i="46"/>
  <c r="O33" i="46"/>
  <c r="H34" i="46"/>
  <c r="J21" i="47"/>
  <c r="Q35" i="46"/>
  <c r="J36" i="46"/>
  <c r="L38" i="46"/>
  <c r="H29" i="46"/>
  <c r="P37" i="46"/>
  <c r="N25" i="46"/>
  <c r="I29" i="46"/>
  <c r="Q37" i="46"/>
  <c r="I20" i="48"/>
  <c r="F21" i="48"/>
  <c r="N21" i="48"/>
  <c r="I21" i="48"/>
  <c r="F28" i="48"/>
  <c r="K35" i="48"/>
  <c r="L8" i="46"/>
  <c r="L17" i="46"/>
  <c r="P8" i="46"/>
  <c r="P7" i="46"/>
  <c r="I8" i="46"/>
  <c r="M22" i="46"/>
  <c r="J29" i="46"/>
  <c r="Q7" i="46"/>
  <c r="J8" i="46"/>
  <c r="Q22" i="46"/>
  <c r="N7" i="46"/>
  <c r="G8" i="46"/>
  <c r="P9" i="46"/>
  <c r="O10" i="46"/>
  <c r="J13" i="46"/>
  <c r="J19" i="46"/>
  <c r="N12" i="46"/>
  <c r="G13" i="46"/>
  <c r="J10" i="47"/>
  <c r="Q17" i="46"/>
  <c r="J18" i="46"/>
  <c r="L20" i="46"/>
  <c r="N22" i="46"/>
  <c r="G23" i="46"/>
  <c r="N29" i="46"/>
  <c r="I32" i="46"/>
  <c r="N11" i="46"/>
  <c r="G12" i="46"/>
  <c r="P13" i="46"/>
  <c r="J17" i="46"/>
  <c r="L19" i="46"/>
  <c r="N21" i="46"/>
  <c r="G22" i="46"/>
  <c r="P23" i="46"/>
  <c r="Q24" i="46"/>
  <c r="I28" i="46"/>
  <c r="Q36" i="46"/>
  <c r="L39" i="46"/>
  <c r="O11" i="46"/>
  <c r="H12" i="46"/>
  <c r="Q13" i="46"/>
  <c r="G17" i="46"/>
  <c r="P18" i="46"/>
  <c r="I19" i="46"/>
  <c r="K21" i="46"/>
  <c r="M23" i="46"/>
  <c r="J24" i="46"/>
  <c r="O30" i="46"/>
  <c r="J33" i="46"/>
  <c r="K24" i="46"/>
  <c r="M26" i="46"/>
  <c r="F28" i="46"/>
  <c r="O29" i="46"/>
  <c r="H30" i="46"/>
  <c r="J8" i="47"/>
  <c r="Q31" i="46"/>
  <c r="J32" i="46"/>
  <c r="L34" i="46"/>
  <c r="N36" i="46"/>
  <c r="G37" i="46"/>
  <c r="P38" i="46"/>
  <c r="I39" i="46"/>
  <c r="H24" i="46"/>
  <c r="J13" i="47"/>
  <c r="F26" i="46"/>
  <c r="J15" i="47"/>
  <c r="N35" i="46"/>
  <c r="I38" i="46"/>
  <c r="G26" i="46"/>
  <c r="O35" i="46"/>
  <c r="J38" i="46"/>
  <c r="I28" i="48"/>
  <c r="N30" i="48"/>
  <c r="P9" i="48"/>
  <c r="F25" i="48"/>
  <c r="M12" i="48"/>
  <c r="H30" i="48"/>
  <c r="J17" i="47"/>
  <c r="J20" i="45"/>
  <c r="J22" i="45" s="1"/>
  <c r="M20" i="45"/>
  <c r="M22" i="45" s="1"/>
  <c r="L20" i="45"/>
  <c r="L22" i="45" s="1"/>
  <c r="F20" i="45"/>
  <c r="F22" i="45" s="1"/>
  <c r="I20" i="45"/>
  <c r="I22" i="45" s="1"/>
  <c r="H20" i="45"/>
  <c r="H22" i="45" s="1"/>
  <c r="G20" i="45"/>
  <c r="G22" i="45" s="1"/>
  <c r="K20" i="45"/>
  <c r="K22" i="45" s="1"/>
  <c r="E5" i="45"/>
  <c r="E14" i="45"/>
  <c r="E9" i="45"/>
  <c r="E17" i="45"/>
  <c r="E16" i="45"/>
  <c r="E12" i="45"/>
  <c r="E19" i="45"/>
  <c r="E18" i="45"/>
  <c r="E10" i="45"/>
  <c r="E15" i="45"/>
  <c r="E13" i="45"/>
  <c r="E11" i="45"/>
  <c r="N48" i="48" l="1"/>
  <c r="G48" i="46"/>
  <c r="M48" i="46"/>
  <c r="P48" i="46"/>
  <c r="L48" i="46"/>
  <c r="N48" i="46"/>
  <c r="F48" i="46"/>
  <c r="K48" i="48"/>
  <c r="J48" i="48"/>
  <c r="L48" i="48"/>
  <c r="M48" i="48"/>
  <c r="I48" i="46"/>
  <c r="O48" i="48"/>
  <c r="I48" i="48"/>
  <c r="Q48" i="48"/>
  <c r="G48" i="48"/>
  <c r="J48" i="46"/>
  <c r="K48" i="46"/>
  <c r="Q48" i="46"/>
  <c r="O48" i="46"/>
  <c r="F48" i="48"/>
  <c r="H48" i="48"/>
  <c r="P48" i="48"/>
  <c r="H48" i="46"/>
  <c r="K1" i="39"/>
  <c r="K1" i="49"/>
  <c r="E27" i="48"/>
  <c r="J14" i="47"/>
  <c r="J4" i="47" s="1"/>
  <c r="K19" i="47" s="1"/>
  <c r="E27" i="46"/>
  <c r="I14" i="48"/>
  <c r="I44" i="48" s="1"/>
  <c r="P40" i="48"/>
  <c r="P45" i="48" s="1"/>
  <c r="Q14" i="48"/>
  <c r="Q44" i="48" s="1"/>
  <c r="N14" i="48"/>
  <c r="N44" i="48" s="1"/>
  <c r="H14" i="46"/>
  <c r="H44" i="46" s="1"/>
  <c r="J14" i="48"/>
  <c r="J44" i="48" s="1"/>
  <c r="G14" i="48"/>
  <c r="G44" i="48" s="1"/>
  <c r="P14" i="46"/>
  <c r="P44" i="46" s="1"/>
  <c r="F14" i="46"/>
  <c r="F44" i="46" s="1"/>
  <c r="O14" i="48"/>
  <c r="O44" i="48" s="1"/>
  <c r="P14" i="48"/>
  <c r="P44" i="48" s="1"/>
  <c r="Q14" i="46"/>
  <c r="Q44" i="46" s="1"/>
  <c r="O14" i="46"/>
  <c r="O44" i="46" s="1"/>
  <c r="N14" i="46"/>
  <c r="N44" i="46" s="1"/>
  <c r="J40" i="48"/>
  <c r="J45" i="48" s="1"/>
  <c r="I40" i="48"/>
  <c r="I45" i="48" s="1"/>
  <c r="N40" i="48"/>
  <c r="N45" i="48" s="1"/>
  <c r="L14" i="48"/>
  <c r="L44" i="48" s="1"/>
  <c r="K14" i="48"/>
  <c r="K44" i="48" s="1"/>
  <c r="M14" i="48"/>
  <c r="M44" i="48" s="1"/>
  <c r="H14" i="48"/>
  <c r="H44" i="48" s="1"/>
  <c r="O40" i="48"/>
  <c r="O45" i="48" s="1"/>
  <c r="G40" i="48"/>
  <c r="G45" i="48" s="1"/>
  <c r="G14" i="46"/>
  <c r="G44" i="46" s="1"/>
  <c r="M14" i="46"/>
  <c r="M44" i="46" s="1"/>
  <c r="I14" i="46"/>
  <c r="I44" i="46" s="1"/>
  <c r="K14" i="46"/>
  <c r="K44" i="46" s="1"/>
  <c r="O40" i="46"/>
  <c r="O45" i="46" s="1"/>
  <c r="J14" i="46"/>
  <c r="J44" i="46" s="1"/>
  <c r="L14" i="46"/>
  <c r="L44" i="46" s="1"/>
  <c r="Q40" i="48"/>
  <c r="Q45" i="48" s="1"/>
  <c r="F40" i="46"/>
  <c r="F45" i="46" s="1"/>
  <c r="K40" i="46"/>
  <c r="K45" i="46" s="1"/>
  <c r="N40" i="46"/>
  <c r="N45" i="46" s="1"/>
  <c r="M40" i="46"/>
  <c r="M45" i="46" s="1"/>
  <c r="K40" i="48"/>
  <c r="K45" i="48" s="1"/>
  <c r="H40" i="48"/>
  <c r="H45" i="48" s="1"/>
  <c r="M40" i="48"/>
  <c r="M45" i="48" s="1"/>
  <c r="L40" i="48"/>
  <c r="L45" i="48" s="1"/>
  <c r="I40" i="46"/>
  <c r="I45" i="46" s="1"/>
  <c r="P40" i="46"/>
  <c r="P45" i="46" s="1"/>
  <c r="L40" i="46"/>
  <c r="L45" i="46" s="1"/>
  <c r="J40" i="46"/>
  <c r="J45" i="46" s="1"/>
  <c r="H40" i="46"/>
  <c r="H45" i="46" s="1"/>
  <c r="Q40" i="46"/>
  <c r="Q45" i="46" s="1"/>
  <c r="E8" i="48"/>
  <c r="E25" i="48"/>
  <c r="E36" i="48"/>
  <c r="E10" i="48"/>
  <c r="E24" i="48"/>
  <c r="E12" i="48"/>
  <c r="E18" i="48"/>
  <c r="E20" i="48"/>
  <c r="E30" i="48"/>
  <c r="U11" i="48" s="1"/>
  <c r="E31" i="48"/>
  <c r="E33" i="48"/>
  <c r="E37" i="48"/>
  <c r="E35" i="48"/>
  <c r="E9" i="48"/>
  <c r="E13" i="48"/>
  <c r="E17" i="48"/>
  <c r="F40" i="48"/>
  <c r="F45" i="48" s="1"/>
  <c r="E19" i="48"/>
  <c r="E26" i="48"/>
  <c r="E39" i="48"/>
  <c r="E29" i="48"/>
  <c r="U12" i="48" s="1"/>
  <c r="G40" i="46"/>
  <c r="G45" i="46" s="1"/>
  <c r="F14" i="48"/>
  <c r="F44" i="48" s="1"/>
  <c r="E7" i="48"/>
  <c r="E11" i="48"/>
  <c r="E22" i="48"/>
  <c r="E21" i="48"/>
  <c r="E23" i="48"/>
  <c r="E28" i="48"/>
  <c r="E34" i="48"/>
  <c r="E32" i="48"/>
  <c r="E38" i="48"/>
  <c r="E18" i="46"/>
  <c r="D11" i="47"/>
  <c r="E26" i="46"/>
  <c r="D17" i="47"/>
  <c r="E35" i="46"/>
  <c r="E36" i="46"/>
  <c r="D19" i="47"/>
  <c r="D24" i="47"/>
  <c r="E21" i="46"/>
  <c r="D18" i="47"/>
  <c r="E25" i="46"/>
  <c r="E29" i="46"/>
  <c r="U12" i="46" s="1"/>
  <c r="D7" i="47"/>
  <c r="E33" i="46"/>
  <c r="E39" i="46"/>
  <c r="E22" i="46"/>
  <c r="D21" i="47"/>
  <c r="E31" i="46"/>
  <c r="E30" i="46"/>
  <c r="U11" i="46" s="1"/>
  <c r="E20" i="46"/>
  <c r="D15" i="47"/>
  <c r="E24" i="46"/>
  <c r="E38" i="46"/>
  <c r="D27" i="47"/>
  <c r="E19" i="46"/>
  <c r="D25" i="47"/>
  <c r="E37" i="46"/>
  <c r="D13" i="47"/>
  <c r="E23" i="46"/>
  <c r="E34" i="46"/>
  <c r="D14" i="47"/>
  <c r="E28" i="46"/>
  <c r="E32" i="46"/>
  <c r="D9" i="47"/>
  <c r="E20" i="45"/>
  <c r="E22" i="45" s="1"/>
  <c r="E17" i="46"/>
  <c r="E12" i="46"/>
  <c r="E13" i="46"/>
  <c r="E7" i="46"/>
  <c r="E9" i="46"/>
  <c r="E11" i="46"/>
  <c r="E8" i="46"/>
  <c r="E10" i="46"/>
  <c r="U8" i="48" l="1"/>
  <c r="U10" i="48"/>
  <c r="U9" i="46"/>
  <c r="U8" i="46"/>
  <c r="U5" i="48"/>
  <c r="U7" i="46"/>
  <c r="U5" i="46"/>
  <c r="V11" i="46" s="1"/>
  <c r="U10" i="46"/>
  <c r="U9" i="48"/>
  <c r="U6" i="46"/>
  <c r="U7" i="48"/>
  <c r="U6" i="48"/>
  <c r="D20" i="47"/>
  <c r="I43" i="48"/>
  <c r="I46" i="48" s="1"/>
  <c r="J43" i="48" s="1"/>
  <c r="J46" i="48" s="1"/>
  <c r="O43" i="48"/>
  <c r="O46" i="48" s="1"/>
  <c r="Q43" i="48"/>
  <c r="Q46" i="48" s="1"/>
  <c r="L43" i="48"/>
  <c r="L46" i="48" s="1"/>
  <c r="P43" i="48"/>
  <c r="P46" i="48" s="1"/>
  <c r="E14" i="48"/>
  <c r="E45" i="48"/>
  <c r="N43" i="48"/>
  <c r="N46" i="48" s="1"/>
  <c r="E44" i="48"/>
  <c r="E40" i="48"/>
  <c r="M43" i="48"/>
  <c r="M46" i="48" s="1"/>
  <c r="K43" i="48"/>
  <c r="K46" i="48" s="1"/>
  <c r="H43" i="48"/>
  <c r="H46" i="48" s="1"/>
  <c r="K13" i="47"/>
  <c r="K9" i="47"/>
  <c r="K18" i="47"/>
  <c r="K27" i="47"/>
  <c r="K23" i="47"/>
  <c r="K16" i="47"/>
  <c r="K26" i="47"/>
  <c r="K22" i="47"/>
  <c r="K10" i="47"/>
  <c r="K6" i="47"/>
  <c r="K7" i="47"/>
  <c r="K25" i="47"/>
  <c r="K21" i="47"/>
  <c r="K8" i="47"/>
  <c r="K24" i="47"/>
  <c r="K20" i="47"/>
  <c r="K12" i="47"/>
  <c r="K15" i="47"/>
  <c r="K11" i="47"/>
  <c r="K14" i="47"/>
  <c r="K17" i="47"/>
  <c r="E44" i="46"/>
  <c r="D22" i="47"/>
  <c r="D8" i="47"/>
  <c r="D23" i="47"/>
  <c r="D6" i="47"/>
  <c r="D26" i="47"/>
  <c r="D10" i="47"/>
  <c r="D12" i="47"/>
  <c r="D16" i="47"/>
  <c r="E14" i="46"/>
  <c r="E40" i="46"/>
  <c r="N43" i="46"/>
  <c r="N46" i="46" s="1"/>
  <c r="P43" i="46"/>
  <c r="P46" i="46" s="1"/>
  <c r="Q43" i="46"/>
  <c r="Q46" i="46" s="1"/>
  <c r="M43" i="46"/>
  <c r="M46" i="46" s="1"/>
  <c r="O43" i="46"/>
  <c r="O46" i="46" s="1"/>
  <c r="L43" i="46"/>
  <c r="L46" i="46" s="1"/>
  <c r="E45" i="46"/>
  <c r="V9" i="46" l="1"/>
  <c r="V6" i="46"/>
  <c r="V10" i="48"/>
  <c r="V7" i="48"/>
  <c r="V13" i="46"/>
  <c r="V5" i="46"/>
  <c r="V12" i="46"/>
  <c r="V6" i="48"/>
  <c r="V11" i="48"/>
  <c r="V9" i="48"/>
  <c r="V7" i="46"/>
  <c r="V5" i="48"/>
  <c r="V13" i="48"/>
  <c r="V8" i="46"/>
  <c r="V10" i="46"/>
  <c r="V8" i="48"/>
  <c r="V12" i="48"/>
  <c r="E46" i="48"/>
  <c r="D4" i="47"/>
  <c r="E46" i="46"/>
  <c r="U14" i="48" l="1"/>
  <c r="V14" i="48" s="1"/>
  <c r="E4" i="47"/>
  <c r="L6" i="47"/>
  <c r="K4" i="47"/>
  <c r="U14" i="46"/>
  <c r="V14" i="46" s="1"/>
  <c r="E20" i="47"/>
  <c r="E16" i="47"/>
  <c r="E13" i="47"/>
  <c r="E6" i="47"/>
  <c r="F6" i="47" s="1"/>
  <c r="E14" i="47"/>
  <c r="E10" i="47"/>
  <c r="E11" i="47"/>
  <c r="E23" i="47"/>
  <c r="E18" i="47"/>
  <c r="E8" i="47"/>
  <c r="E9" i="47"/>
  <c r="E17" i="47"/>
  <c r="E7" i="47"/>
  <c r="E26" i="47"/>
  <c r="E25" i="47"/>
  <c r="E21" i="47"/>
  <c r="E12" i="47"/>
  <c r="E22" i="47"/>
  <c r="E27" i="47"/>
  <c r="E24" i="47"/>
  <c r="E15" i="47"/>
  <c r="E19" i="47"/>
  <c r="L684" i="39" l="1"/>
  <c r="F7" i="47" l="1"/>
  <c r="F8" i="47" s="1"/>
  <c r="F9" i="47" s="1"/>
  <c r="F10" i="47" s="1"/>
  <c r="F11" i="47" s="1"/>
  <c r="F12" i="47" s="1"/>
  <c r="F13" i="47" s="1"/>
  <c r="F14" i="47" s="1"/>
  <c r="F15" i="47" s="1"/>
  <c r="F16" i="47" s="1"/>
  <c r="F17" i="47" s="1"/>
  <c r="F18" i="47" s="1"/>
  <c r="F19" i="47" s="1"/>
  <c r="F20" i="47" s="1"/>
  <c r="F21" i="47" s="1"/>
  <c r="F22" i="47" s="1"/>
  <c r="F23" i="47" s="1"/>
  <c r="F24" i="47" s="1"/>
  <c r="F25" i="47" s="1"/>
  <c r="F26" i="47" s="1"/>
  <c r="F27" i="47" s="1"/>
  <c r="L7" i="47"/>
  <c r="L8" i="47" s="1"/>
  <c r="L9" i="47" s="1"/>
  <c r="L10" i="47" s="1"/>
  <c r="L11" i="47" s="1"/>
  <c r="L12" i="47" s="1"/>
  <c r="L13" i="47" s="1"/>
  <c r="L14" i="47" s="1"/>
  <c r="L15" i="47" s="1"/>
  <c r="L16" i="47" s="1"/>
  <c r="L17" i="47" s="1"/>
  <c r="L18" i="47" s="1"/>
  <c r="L19" i="47" s="1"/>
  <c r="L20" i="47" s="1"/>
  <c r="L21" i="47" s="1"/>
  <c r="L22" i="47" s="1"/>
  <c r="L23" i="47" s="1"/>
  <c r="L24" i="47" s="1"/>
  <c r="L25" i="47" s="1"/>
  <c r="L26" i="47" s="1"/>
  <c r="L27" i="47" s="1"/>
  <c r="G43" i="48" l="1"/>
  <c r="G46" i="48" s="1"/>
  <c r="F46" i="46"/>
  <c r="F43" i="48" l="1"/>
  <c r="F46" i="48" s="1"/>
  <c r="G43" i="46"/>
  <c r="G46" i="46" s="1"/>
  <c r="H43" i="46" s="1"/>
  <c r="H46" i="46" s="1"/>
  <c r="I43" i="46" s="1"/>
  <c r="I46" i="46" s="1"/>
  <c r="J43" i="46" s="1"/>
  <c r="J46" i="46" s="1"/>
  <c r="K43" i="46" s="1"/>
  <c r="K46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Costa dos Santos</author>
  </authors>
  <commentList>
    <comment ref="K660" authorId="0" shapeId="0" xr:uid="{639D40B6-2430-4954-9A53-84ED3D626EFB}">
      <text>
        <r>
          <rPr>
            <b/>
            <sz val="9"/>
            <color indexed="81"/>
            <rFont val="Segoe UI"/>
            <family val="2"/>
          </rPr>
          <t>marcelo Costa dos Santos:</t>
        </r>
        <r>
          <rPr>
            <sz val="9"/>
            <color indexed="81"/>
            <rFont val="Segoe UI"/>
            <family val="2"/>
          </rPr>
          <t xml:space="preserve">
495,50
Paguei pelo C6</t>
        </r>
      </text>
    </comment>
    <comment ref="K661" authorId="0" shapeId="0" xr:uid="{6310FE23-26F1-4326-AF73-DE1C390C25E2}">
      <text>
        <r>
          <rPr>
            <b/>
            <sz val="9"/>
            <color indexed="81"/>
            <rFont val="Segoe UI"/>
            <family val="2"/>
          </rPr>
          <t>marcelo Costa dos Santos:</t>
        </r>
        <r>
          <rPr>
            <sz val="9"/>
            <color indexed="81"/>
            <rFont val="Segoe UI"/>
            <family val="2"/>
          </rPr>
          <t xml:space="preserve">
495,50
Paguei pelo C6</t>
        </r>
      </text>
    </comment>
    <comment ref="K762" authorId="0" shapeId="0" xr:uid="{B2C1DCDF-1234-4B40-8337-A8D13AA1F397}">
      <text>
        <r>
          <rPr>
            <b/>
            <sz val="9"/>
            <color indexed="81"/>
            <rFont val="Segoe UI"/>
            <family val="2"/>
          </rPr>
          <t>marcelo Costa dos Santos:</t>
        </r>
        <r>
          <rPr>
            <sz val="9"/>
            <color indexed="81"/>
            <rFont val="Segoe UI"/>
            <family val="2"/>
          </rPr>
          <t xml:space="preserve">
Paguei pelo C6 Bank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Costa dos Santos</author>
  </authors>
  <commentList>
    <comment ref="L3" authorId="0" shapeId="0" xr:uid="{D44C330F-19A0-453F-8F61-A86C0FAE4267}">
      <text>
        <r>
          <rPr>
            <b/>
            <sz val="9"/>
            <color indexed="81"/>
            <rFont val="Segoe UI"/>
            <family val="2"/>
          </rPr>
          <t>marcelo Costa dos Santos:</t>
        </r>
        <r>
          <rPr>
            <sz val="9"/>
            <color indexed="81"/>
            <rFont val="Segoe UI"/>
            <family val="2"/>
          </rPr>
          <t xml:space="preserve">
Inserir manualmente o saldo inicial aqui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Costa dos Santos</author>
  </authors>
  <commentList>
    <comment ref="F43" authorId="0" shapeId="0" xr:uid="{6C7435F4-F99A-4918-8693-B1C495349DF7}">
      <text>
        <r>
          <rPr>
            <b/>
            <sz val="9"/>
            <color indexed="81"/>
            <rFont val="Segoe UI"/>
            <family val="2"/>
          </rPr>
          <t>marcelo Costa dos Santos:</t>
        </r>
        <r>
          <rPr>
            <sz val="9"/>
            <color indexed="81"/>
            <rFont val="Segoe UI"/>
            <family val="2"/>
          </rPr>
          <t xml:space="preserve">
Saldo inicial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Costa dos Santos</author>
  </authors>
  <commentList>
    <comment ref="F43" authorId="0" shapeId="0" xr:uid="{0D8F7819-92E0-4126-9594-FB8C998D2A0C}">
      <text>
        <r>
          <rPr>
            <b/>
            <sz val="9"/>
            <color indexed="81"/>
            <rFont val="Segoe UI"/>
            <family val="2"/>
          </rPr>
          <t>marcelo Costa dos Santos:</t>
        </r>
        <r>
          <rPr>
            <sz val="9"/>
            <color indexed="81"/>
            <rFont val="Segoe UI"/>
            <family val="2"/>
          </rPr>
          <t xml:space="preserve">
Saldo inicial</t>
        </r>
      </text>
    </comment>
  </commentList>
</comments>
</file>

<file path=xl/sharedStrings.xml><?xml version="1.0" encoding="utf-8"?>
<sst xmlns="http://schemas.openxmlformats.org/spreadsheetml/2006/main" count="10155" uniqueCount="1871">
  <si>
    <t>ENTRADAS</t>
  </si>
  <si>
    <t>SAÍDAS</t>
  </si>
  <si>
    <t>RESULTADO</t>
  </si>
  <si>
    <t>(+) TOTAL DE ENTRADAS</t>
  </si>
  <si>
    <t>(-) TOTAL DE SAÍDAS</t>
  </si>
  <si>
    <t>ACUM</t>
  </si>
  <si>
    <t>(=) TOTAL SAÍDAS</t>
  </si>
  <si>
    <t>(=) TOTAL ENTRADAS</t>
  </si>
  <si>
    <t>OPF1</t>
  </si>
  <si>
    <t>OPF2</t>
  </si>
  <si>
    <t>TRI1</t>
  </si>
  <si>
    <t>FIN1</t>
  </si>
  <si>
    <t>REC1</t>
  </si>
  <si>
    <t>REC2</t>
  </si>
  <si>
    <t>REC3</t>
  </si>
  <si>
    <t>REC4</t>
  </si>
  <si>
    <t>Observações</t>
  </si>
  <si>
    <t>Descrição</t>
  </si>
  <si>
    <t>x</t>
  </si>
  <si>
    <t>Concat 2</t>
  </si>
  <si>
    <t>Concat 3</t>
  </si>
  <si>
    <t>Sinko</t>
  </si>
  <si>
    <t>TODAS</t>
  </si>
  <si>
    <t>SELECIONE O CENTRO DE RESULTADO =&gt;</t>
  </si>
  <si>
    <t>Centro de Resultado</t>
  </si>
  <si>
    <t>MCS</t>
  </si>
  <si>
    <t>FLUXO DE CAIXA ANO - MCS</t>
  </si>
  <si>
    <t>Descrição CR</t>
  </si>
  <si>
    <t>TODOS CRs</t>
  </si>
  <si>
    <t>TAR PACOTE ITAU FEV/25</t>
  </si>
  <si>
    <t>CREDIARIO AUTOM 02/07</t>
  </si>
  <si>
    <t>-</t>
  </si>
  <si>
    <t>Natureza</t>
  </si>
  <si>
    <t>Total</t>
  </si>
  <si>
    <t>Remuneração</t>
  </si>
  <si>
    <t>CPF - Desp. Impostos e Obrigações</t>
  </si>
  <si>
    <t>CPF - Pensão - Alimentação</t>
  </si>
  <si>
    <t>CPF - Pensão - Farmácia e Saúde</t>
  </si>
  <si>
    <t>CPF - Pensão - Educação</t>
  </si>
  <si>
    <t>CPF - Pensão - Vestuário</t>
  </si>
  <si>
    <t>IOF </t>
  </si>
  <si>
    <t>CREDIARIO AUTOM 05/07</t>
  </si>
  <si>
    <t>INT PAG TIT BANCO 001</t>
  </si>
  <si>
    <t>INT PAG TIT BANCO 237</t>
  </si>
  <si>
    <t>DA CLARO MOVEL 19210717</t>
  </si>
  <si>
    <t>JUROS LIMITE DA CONTA </t>
  </si>
  <si>
    <t>JUROS EXCESSO LIM CONTA</t>
  </si>
  <si>
    <t>CREDIARIO AUTOM 06/07</t>
  </si>
  <si>
    <t>CREDIARIO AUTOM 01/07</t>
  </si>
  <si>
    <t>PIX TRANSF MCS SER08/01</t>
  </si>
  <si>
    <t>INT /BRK GOIA 4077325407</t>
  </si>
  <si>
    <t>INT PAG TIT 338563315000</t>
  </si>
  <si>
    <t>RENEGOCIACAO ITAU</t>
  </si>
  <si>
    <t>TAR PACOTE ITAU DEZ/24</t>
  </si>
  <si>
    <t>RSCSS POSTO TALISM0901 POSTO TALISMA</t>
  </si>
  <si>
    <t>PIX TRANSF Dieyla 09/01</t>
  </si>
  <si>
    <t>PIX TRANSF MCS SER09/01</t>
  </si>
  <si>
    <t>PIX TRANSF Manoel 09/01</t>
  </si>
  <si>
    <t>PIX QRS VANDERLEI D09/01</t>
  </si>
  <si>
    <t>PIX TRANSF BRUNO D09/01</t>
  </si>
  <si>
    <t>RSCSS VanderleiDaS0901 VanderleiDaSilva</t>
  </si>
  <si>
    <t>RSCSS RicardoCesar0901 RicardoCesar</t>
  </si>
  <si>
    <t>PAG TIT INT 001</t>
  </si>
  <si>
    <t>RSCSS VanderleiDaS1001 VanderleiDaSilva</t>
  </si>
  <si>
    <t>RSCSS RicardoCesar1001 RicardoCesar</t>
  </si>
  <si>
    <t>RSCSS MP BARJR 1001 MP *BARJR</t>
  </si>
  <si>
    <t>RSCSS MP DANILLA 1001 MP *DANILLA</t>
  </si>
  <si>
    <t>RSCSS MP DANILLA 1101 MP *DANILLA</t>
  </si>
  <si>
    <t>RSCSS IlmaMarleyXa1201 IlmaMarleyXavier</t>
  </si>
  <si>
    <t>RSCSS SUPERMERCADO1101 SUPERMERCADO GREGORIO</t>
  </si>
  <si>
    <t>RSCSS VanderleiDaS1301 VanderleiDaSilva</t>
  </si>
  <si>
    <t>RSCSS VanderleiDaS1101 VanderleiDaSilva</t>
  </si>
  <si>
    <t>RSCSS RicardoCesar1301 RicardoCesar</t>
  </si>
  <si>
    <t>RSCSS X BACANA SAN1101 X BACANA SANDUICHERIA</t>
  </si>
  <si>
    <t>PIX TRANSF Marques13/01</t>
  </si>
  <si>
    <t>RENEGOCIACAO ITAU 01/18</t>
  </si>
  <si>
    <t>PIX TRANSF MCS SER14/01</t>
  </si>
  <si>
    <t>RSCSS VanderleiDaS1401 VanderleiDaSilva</t>
  </si>
  <si>
    <t>PIX TRANSF MCS SER15/01</t>
  </si>
  <si>
    <t>RSCSS VanderleiDaS1501 VanderleiDaSilva</t>
  </si>
  <si>
    <t>RSCSS VanderleiDaS1601 VanderleiDaSilva</t>
  </si>
  <si>
    <t>RSCSS DISTRIBUIDOR1601 DISTRIBUIDORA DO CEARA</t>
  </si>
  <si>
    <t>PIX TRANSF Manoel 19/01</t>
  </si>
  <si>
    <t>COMPRA DÉBITO MAX ATACADO 1801 MAX ATACADO</t>
  </si>
  <si>
    <t>COMPRA DÉBITO JoelinyJoseD1901 JoelinyJoseDa</t>
  </si>
  <si>
    <t>PIX TRANSF Jordana18/01</t>
  </si>
  <si>
    <t>COMPRA DÉBITO MuriloGoiasD1901 MuriloGoiasDo</t>
  </si>
  <si>
    <t>COMPRA DÉBITO VEIGA COMERC1901 VEIGA COMERCIO DE COMB</t>
  </si>
  <si>
    <t>RSCSS VanderleiDaS2001 VanderleiDaSilva</t>
  </si>
  <si>
    <t>RSCSS RosimilsonMa2101 RosimilsonMartins</t>
  </si>
  <si>
    <t>RSCSS VanderleiDaS2201 VanderleiDaSilva</t>
  </si>
  <si>
    <t>RSCSS DISTRIBUIDOR2201 DISTRIBUIDORA DO CEARA</t>
  </si>
  <si>
    <t>RSCSS VanderleiDaS2301 VanderleiDaSilva</t>
  </si>
  <si>
    <t>RSCSS VanderleiDaS2401 VanderleiDaSilva</t>
  </si>
  <si>
    <t>RSCSS VALDINARFERR2401 VALDINARFERREIRAD</t>
  </si>
  <si>
    <t>COMPRA DÉBITO MP DANILLA 2501 MP *DANILLA</t>
  </si>
  <si>
    <t>COMPRA DÉBITO IlmaMarleyXa2601 IlmaMarleyXavier</t>
  </si>
  <si>
    <t>RSCSS RosimilsonMa3001 RosimilsonMartins</t>
  </si>
  <si>
    <t>RSCSS VanderleiDaS3001 VanderleiDaSilva</t>
  </si>
  <si>
    <t>RSCSS VanderleiDaS3101 VanderleiDaSilva</t>
  </si>
  <si>
    <t>RSCSS RosimilsonMa3101 RosimilsonMartins</t>
  </si>
  <si>
    <t>RSCSS SUPERMERCADO3101 SUPERMERCADO BARATAO</t>
  </si>
  <si>
    <t>PIX TRANSF MCS SER03/02</t>
  </si>
  <si>
    <t>RSCSS AUTO POSTO K0302 AUTO POSTO KARAJAS</t>
  </si>
  <si>
    <t>RSCSS 54760370 MAI0302 54760370 MAICON ADRIEL</t>
  </si>
  <si>
    <t>RSCSS AUTO POSTO K0402 AUTO POSTO KARAJAS</t>
  </si>
  <si>
    <t>PIX TRANSF WANDERS05/02</t>
  </si>
  <si>
    <t>PIX TRANSF DIEGO P05/02</t>
  </si>
  <si>
    <t>TAR PACOTE ITAU JAN/25</t>
  </si>
  <si>
    <t>PIX TRANSF Fabrici06/02</t>
  </si>
  <si>
    <t>RSCSS MP BEMBOLAD0602 MP *BEMBOLADOGRIL</t>
  </si>
  <si>
    <t>RSCSS AUTO POSTO D0602 AUTO POSTO DONA SANTA</t>
  </si>
  <si>
    <t>RSCSS MP BEMBOLAD0702 MP *BEMBOLADOGRIL</t>
  </si>
  <si>
    <t>PIX TRANSF RAIFRAM07/02</t>
  </si>
  <si>
    <t>PIX TRANSF Dieyla 07/02</t>
  </si>
  <si>
    <t>PIX TRANSF Fabrici07/02</t>
  </si>
  <si>
    <t>RSCSS CICERO OLIVE0702 CICERO OLIVEIRA DA SIL</t>
  </si>
  <si>
    <t>RSCSS MP BARJR 0702 MP *BARJR</t>
  </si>
  <si>
    <t>RSCSS DISTRIBUIDOR0702 DISTRIBUIDORA DO CEARA</t>
  </si>
  <si>
    <t>COMPRA DÉBITO MP DANILLA 0802 MP *DANILLA</t>
  </si>
  <si>
    <t>COMPRA DÉBITO OXENTE BAR E0902 OXENTE BAR E CASA DE S</t>
  </si>
  <si>
    <t>RSCSS AUTO POSTO D1002 AUTO POSTO DCARRIJO II</t>
  </si>
  <si>
    <t>PIX TRANSF GB2 ENG10/02</t>
  </si>
  <si>
    <t>PIX QRS Banco Digio10/02</t>
  </si>
  <si>
    <t>PIX TRANSF NADIR D09/02</t>
  </si>
  <si>
    <t>RSCSS MP BEMBOLAD1002 MP *BEMBOLADOGRIL</t>
  </si>
  <si>
    <t>PIX TRANSF Dieyla 08/02</t>
  </si>
  <si>
    <t>COMPRA DÉBITO DROGAMARYS 0802 DROGAMARYS</t>
  </si>
  <si>
    <t>PIX TRANSF Marcian08/02</t>
  </si>
  <si>
    <t>COMPRA DÉBITO VanderleiDaS0802 VanderleiDaSilva</t>
  </si>
  <si>
    <t>PIX TRANSF Dieyla 10/02</t>
  </si>
  <si>
    <t>RSCSS MP BEMBOLAD1102 MP *BEMBOLADOGRIL</t>
  </si>
  <si>
    <t>RSCSS MP BEMBOLAD1202 MP *BEMBOLADOGRIL</t>
  </si>
  <si>
    <t>RENEGOCIACAO ITAU 02/18</t>
  </si>
  <si>
    <t>RSCSS MP BEMBOLAD1302 MP *BEMBOLADOGRIL</t>
  </si>
  <si>
    <t>RSCSS POSTO RIO NE1302 POSTO RIO NEGRO</t>
  </si>
  <si>
    <t>RSCSS MP BEMBOLAD1402 MP *BEMBOLADOGRIL</t>
  </si>
  <si>
    <t>RSCSS MP BEMBOLAD1702 MP *BEMBOLADOGRIL</t>
  </si>
  <si>
    <t>COMPRA DÉBITO POSTO SAO SE1502 POSTO SAO SEBASTIAO</t>
  </si>
  <si>
    <t>COMPRA DÉBITO DISTRIBUIDOR1502 DISTRIBUIDORA DO CEARA</t>
  </si>
  <si>
    <t>RSCSS MP BEMBOLAD1802 MP *BEMBOLADOGRIL</t>
  </si>
  <si>
    <t>RSCSS TaniaMarcia 1802 TaniaMarcia</t>
  </si>
  <si>
    <t>RSCSS MP BEMBOLAD1902 MP *BEMBOLADOGRIL</t>
  </si>
  <si>
    <t>RSCSS MP BEMBOLAD2002 MP *BEMBOLADOGRIL</t>
  </si>
  <si>
    <t>RSCSS-POSTO RIO N-20/02</t>
  </si>
  <si>
    <t>PIX TRANSF Sandra 20/02</t>
  </si>
  <si>
    <t>RSCSS-VANDERLEIDA-20/02</t>
  </si>
  <si>
    <t>PIX QRS Banco Digio20/02</t>
  </si>
  <si>
    <t>RSCSS MP BEMBOLAD2102 MP *BEMBOLADOGRIL</t>
  </si>
  <si>
    <t>RSCSS VanderleiDaS2102 VanderleiDaSilva</t>
  </si>
  <si>
    <t>RSCSS DISTRIBUIDOR2102 DISTRIBUIDORA DO CEARA</t>
  </si>
  <si>
    <t>RSCSS MP BARJR 2102 MP *BARJR</t>
  </si>
  <si>
    <t>RSCSS MP BEMBOLAD2402 MP *BEMBOLADOGRIL</t>
  </si>
  <si>
    <t>COMPRA DÉBITO CONCEBRA 0203 CONCEBRA</t>
  </si>
  <si>
    <t>PIX QRS ALTAS HORAS05/03</t>
  </si>
  <si>
    <t>PIX TRANSF CAIXA E06/03</t>
  </si>
  <si>
    <t>PIX QRS ERASMO CARL06/03</t>
  </si>
  <si>
    <t>PIX TRANSF Fabrici06/03</t>
  </si>
  <si>
    <t>PIX QRS ALTAS HORAS07/03</t>
  </si>
  <si>
    <t>PIX QRS POSTO KARAK07/03</t>
  </si>
  <si>
    <t>PIX QRS VANDERLEI D07/03</t>
  </si>
  <si>
    <t>PIX QRS Danilla Cri07/03</t>
  </si>
  <si>
    <t>TAR 2A VIA-CARTAO DEBITO</t>
  </si>
  <si>
    <t>PIX QRS OXENTE BAR 08/03</t>
  </si>
  <si>
    <t>PIX QRS OXENTE BAR 09/03</t>
  </si>
  <si>
    <t>CREDIARIO AUTOM 03/07</t>
  </si>
  <si>
    <t>PIX QRS VANDERLEI D08/03</t>
  </si>
  <si>
    <t>PIX TRANSF GB2 ENG10/03</t>
  </si>
  <si>
    <t>PIX QRS ERASMO CARL10/03</t>
  </si>
  <si>
    <t>PIX TRANSF MCS SER08/03</t>
  </si>
  <si>
    <t>PIX TRANSF LINDEUS08/03</t>
  </si>
  <si>
    <t>PIX QRS RAPHAEL MAR08/03</t>
  </si>
  <si>
    <t>PIX QRS POSTO KARAK10/03</t>
  </si>
  <si>
    <t>PIX QRS 59 174 113 08/03</t>
  </si>
  <si>
    <t>PIX QRS ROTA 153 CO08/03</t>
  </si>
  <si>
    <t>PIX QRS ERASMO CARL11/03</t>
  </si>
  <si>
    <t>PIX QRS 50.174.559 11/03</t>
  </si>
  <si>
    <t>INT PAG TIT 308563315000</t>
  </si>
  <si>
    <t>INT PAG TIT 368563315000</t>
  </si>
  <si>
    <t>Saldo banco</t>
  </si>
  <si>
    <t>Palheiro</t>
  </si>
  <si>
    <t>RENEGOCIACAO ITAU 03/18</t>
  </si>
  <si>
    <t>Refeição</t>
  </si>
  <si>
    <t>Transferência entre contas</t>
  </si>
  <si>
    <t>Combustível</t>
  </si>
  <si>
    <t>Bares</t>
  </si>
  <si>
    <t>INT /BRK GOIA 4079437584</t>
  </si>
  <si>
    <t>INT /BRK GOIA 4079437606</t>
  </si>
  <si>
    <t>Tarifas bancárias</t>
  </si>
  <si>
    <t>Impostos</t>
  </si>
  <si>
    <t>Pedágio</t>
  </si>
  <si>
    <t>Empréstimo, parcela 03/07</t>
  </si>
  <si>
    <t>Cigarro</t>
  </si>
  <si>
    <t>Juros / Tarifas bancárias</t>
  </si>
  <si>
    <t>Cartão de crédito - Parcelamento</t>
  </si>
  <si>
    <t>Pensão - parte em transferência</t>
  </si>
  <si>
    <t>Pensão - Farmácia</t>
  </si>
  <si>
    <t>Marmitex para Nadir</t>
  </si>
  <si>
    <t>Empréstimo, parcela 02/07</t>
  </si>
  <si>
    <t>Pensão - Gastos diversos</t>
  </si>
  <si>
    <t>Reembolso gasolina</t>
  </si>
  <si>
    <t>Cartão Riachuelo - seguro ref. 03/2025</t>
  </si>
  <si>
    <t>Combustível para o mês</t>
  </si>
  <si>
    <t>Ajuda em casa</t>
  </si>
  <si>
    <t>PIX TRANSF  DIEYLA 12/03</t>
  </si>
  <si>
    <t>PIX QRS ERASMO CARL12/03</t>
  </si>
  <si>
    <t>PIX QRS ERASMO CARL13/03</t>
  </si>
  <si>
    <t>PIX QRS ERASMO CARL14/03</t>
  </si>
  <si>
    <t>PIX QRS RIO NEGRO C14/03</t>
  </si>
  <si>
    <t>PIX TRANSF  MARKUS 14/03</t>
  </si>
  <si>
    <t>PIX QRS VANDERLEI D14/03</t>
  </si>
  <si>
    <t>PIX QRS BAR E CASA 14/03</t>
  </si>
  <si>
    <t>PIX TRANSF  JONAS B15/03</t>
  </si>
  <si>
    <t>PIX QRS JMCOMERCIO 17/03</t>
  </si>
  <si>
    <t>PIX QRS VANDERLEI D15/03</t>
  </si>
  <si>
    <t>PIX TRANSF  CARLOS 16/03</t>
  </si>
  <si>
    <t>PIX TRANSF  DANUBIO16/03</t>
  </si>
  <si>
    <t>PIX QRS ERASMO CARL17/03</t>
  </si>
  <si>
    <t>PIX QRS GRANDE MARY16/03</t>
  </si>
  <si>
    <t>PIX QRS LIONICE MAR17/03</t>
  </si>
  <si>
    <t>PIX TRANSF  FABRICI17/03</t>
  </si>
  <si>
    <t>PIX QRS NACAO MARYS15/03</t>
  </si>
  <si>
    <t>DA  CLARO CELULAR  92107</t>
  </si>
  <si>
    <t>PIX QRS ERASMO CARL18/03</t>
  </si>
  <si>
    <t>PIX TRANSF  ANTONIE19/03</t>
  </si>
  <si>
    <t>PIX QRS ERASMO CARL19/03</t>
  </si>
  <si>
    <t>PIX QRS FRANCISCO K19/03</t>
  </si>
  <si>
    <t>PIX QRS ERASMO CARL20/03</t>
  </si>
  <si>
    <t>JUROS LIMITE DA CONTA</t>
  </si>
  <si>
    <t>PIX TRANSF  DIEYLA 21/03</t>
  </si>
  <si>
    <t>PIX QRS ERASMO CARL21/03</t>
  </si>
  <si>
    <t>PIX QRS VANDERLEI D21/03</t>
  </si>
  <si>
    <t>PIX QRS DANILLA CRI21/03</t>
  </si>
  <si>
    <t>PIX QRS JMCOMERCIO 24/03</t>
  </si>
  <si>
    <t>PIX QRS ERASMO CARL24/03</t>
  </si>
  <si>
    <t>PIX TRANSF  FABRICI24/03</t>
  </si>
  <si>
    <t>PIX QRS L M COMERCI24/03</t>
  </si>
  <si>
    <t>PIX TRANSF  VALERIA24/03</t>
  </si>
  <si>
    <t>PIX TRANSF  MCS SER25/03</t>
  </si>
  <si>
    <t>PIX TRANSF  JOAO DE25/03</t>
  </si>
  <si>
    <t>PIX TRANSF  WEB MAR25/03</t>
  </si>
  <si>
    <t>PIX QRS ERASMO CARL25/03</t>
  </si>
  <si>
    <t>MOBILEPAG TIT BANCO 237</t>
  </si>
  <si>
    <t>PIX QRS GOOGLE25/03</t>
  </si>
  <si>
    <t>PIX QRS ERASMO CARL26/03</t>
  </si>
  <si>
    <t>PIX QRS RIO NEGRO C26/03</t>
  </si>
  <si>
    <t>PIX QRS ERASMO CARL27/03</t>
  </si>
  <si>
    <t>PIX QRS POSTO CEU A28/03</t>
  </si>
  <si>
    <t>PIX TRANSF  POLICOP28/03</t>
  </si>
  <si>
    <t>PIX QRS ERASMO CARL28/03</t>
  </si>
  <si>
    <t>PIX QRS DIVINO ALVE28/03</t>
  </si>
  <si>
    <t>PIX QRS OXENTE BAR 30/03</t>
  </si>
  <si>
    <t>PIX QRS ERASMO CARL31/03</t>
  </si>
  <si>
    <t>PIX QRS RIO NEGRO C31/03</t>
  </si>
  <si>
    <t>PIX QRS LEONALDO MO29/03</t>
  </si>
  <si>
    <t>PIX TRANSF  MCS SER29/03</t>
  </si>
  <si>
    <t>PIX QRS ENHOLITA CA29/03</t>
  </si>
  <si>
    <t>PIX QRS ERASMO CARL01/04</t>
  </si>
  <si>
    <t>PIX TRANSF  ANA COS01/04</t>
  </si>
  <si>
    <t>PIX QRS RIO NEGRO C02/04</t>
  </si>
  <si>
    <t>PIX TRANSF  CARLOS 02/04</t>
  </si>
  <si>
    <t>IOF</t>
  </si>
  <si>
    <t>TAR PACOTE ITAU   MAR/25</t>
  </si>
  <si>
    <t>PIX QRS ERASMO CARL03/04</t>
  </si>
  <si>
    <t>PIX QRS ERASMO CARL04/04</t>
  </si>
  <si>
    <t>PIX TRANSF  FABRICI04/04</t>
  </si>
  <si>
    <t>PIX QRS ENHOLITA CA04/04</t>
  </si>
  <si>
    <t>PIX QRS SILVANO MOR04/04</t>
  </si>
  <si>
    <t>PIX QRS DANILLA CRI06/04</t>
  </si>
  <si>
    <t>PIX QRS BAR E CASA 05/04</t>
  </si>
  <si>
    <t>PIX QRS OXENTE BAR 06/04</t>
  </si>
  <si>
    <t>PIX QRS OXENTE BAR 05/04</t>
  </si>
  <si>
    <t>PIX TRANSF  CARLOS 06/04</t>
  </si>
  <si>
    <t>PIX QRS ERASMO CARL07/04</t>
  </si>
  <si>
    <t>PIX QRS TALISMA COM06/04</t>
  </si>
  <si>
    <t>INT  PAG TIT BANCO 001</t>
  </si>
  <si>
    <t>PIX QRS 58509876 IS05/04</t>
  </si>
  <si>
    <t>PIX QRS DANILLA CRI05/04</t>
  </si>
  <si>
    <t>CREDIARIO AUTOM   04/07</t>
  </si>
  <si>
    <t>PIX QRS ERASMO CARL08/04</t>
  </si>
  <si>
    <t>PIX QRS RIO NEGRO C08/04</t>
  </si>
  <si>
    <t>PIX QRS ERASMO CARL09/04</t>
  </si>
  <si>
    <t>PIX TRANSF  GB2 ENG10/04</t>
  </si>
  <si>
    <t>PIX QRS ERASMO CARL10/04</t>
  </si>
  <si>
    <t>PIX QRS PILOTO COM 10/04</t>
  </si>
  <si>
    <t>PIX TRANSF  SEBASTI10/04</t>
  </si>
  <si>
    <t>PIX TRANSF  JOAO DE11/04</t>
  </si>
  <si>
    <t>PIX TRANSF  DIEYLA 11/04</t>
  </si>
  <si>
    <t>PIX QRS ERASMO CARL11/04</t>
  </si>
  <si>
    <t>PIX QRS ALTAS HORAS11/04</t>
  </si>
  <si>
    <t>PIX QRS ENHOLITA CA11/04</t>
  </si>
  <si>
    <t>PIX TRANSF  FRANCIE11/04</t>
  </si>
  <si>
    <t>RENEGOCIACAO ITAU 04/18</t>
  </si>
  <si>
    <t>PIX QRS ERASMO CARL14/04</t>
  </si>
  <si>
    <t>PIX TRANSF  DIEYLA 13/04</t>
  </si>
  <si>
    <t>DEV PIX DIEYLA FERR13/04</t>
  </si>
  <si>
    <t>PIX QRS ERASMO CARL15/04</t>
  </si>
  <si>
    <t>PIX QRS ERASMO CARL16/04</t>
  </si>
  <si>
    <t>PIX QRS RIO NEGRO C16/04</t>
  </si>
  <si>
    <t>PIX QRS ERASMO CARL17/04</t>
  </si>
  <si>
    <t>PIX TRANSF  FABRICI17/04</t>
  </si>
  <si>
    <t>PIX QRS ALTAS HORAS17/04</t>
  </si>
  <si>
    <t>PIX QRS ENHOLITA CA17/04</t>
  </si>
  <si>
    <t>PIX QRS REGINALDO R17/04</t>
  </si>
  <si>
    <t>PIX QRS AUTO POSTO 20/04</t>
  </si>
  <si>
    <t>PIX QRS DANILLA CRI20/04</t>
  </si>
  <si>
    <t>PIX QRS OXENTE BAR 19/04</t>
  </si>
  <si>
    <t>PIX QRS SUPER GREGO22/04</t>
  </si>
  <si>
    <t>PIX QRS XERIFE EXPR18/04</t>
  </si>
  <si>
    <t>PIX QRS CLIENT CO S19/04</t>
  </si>
  <si>
    <t>PIX TRANSF  CARLOS 19/04</t>
  </si>
  <si>
    <t>PIX QRS KAIZEN GAMI22/04</t>
  </si>
  <si>
    <t>PIX QRS BANCO DIGIO22/04</t>
  </si>
  <si>
    <t>PIX QRS ERASMO CARL22/04</t>
  </si>
  <si>
    <t>PIX TRANSF  DIEYLA 22/04</t>
  </si>
  <si>
    <t>PIX QRS LAUDILENE N20/04</t>
  </si>
  <si>
    <t>PIX QRS DANILLA CRI18/04</t>
  </si>
  <si>
    <t>PIX TRANSF  WANDERS24/04</t>
  </si>
  <si>
    <t>PIX QRS ERASMO CARL25/04</t>
  </si>
  <si>
    <t>PIX QRS ERASMO CARL29/04</t>
  </si>
  <si>
    <t>PIX TRANSF  MCS SER30/04</t>
  </si>
  <si>
    <t>PIX QRS ERASMO CARL30/04</t>
  </si>
  <si>
    <t>INT /BRK GOIA 4081120363</t>
  </si>
  <si>
    <t>INT PAG TIT 328563315000</t>
  </si>
  <si>
    <t>PIX QRS RAMON ARAUJ30/04</t>
  </si>
  <si>
    <t>PIX TRANSF MCS SER02/05</t>
  </si>
  <si>
    <t>PIX TRANSF FRANCIE02/05</t>
  </si>
  <si>
    <t>PIX QRS RIO NEGRO C02/05</t>
  </si>
  <si>
    <t>TAR PACOTE ITAU   ABR/25</t>
  </si>
  <si>
    <t>PIX TRANSF Fabrici07/05</t>
  </si>
  <si>
    <t>PIX QRS RIO NEGRO C08/05</t>
  </si>
  <si>
    <t>PIX QRS Agnaldo Cos08/05</t>
  </si>
  <si>
    <t>PIX QRS DIEGO PEREI08/05</t>
  </si>
  <si>
    <t>Valor a devolver</t>
  </si>
  <si>
    <t>Total pago</t>
  </si>
  <si>
    <t>Paguei</t>
  </si>
  <si>
    <t>Paguei a mais neste mês</t>
  </si>
  <si>
    <t>Paguei a menos</t>
  </si>
  <si>
    <t>Paguei a menos neste mês</t>
  </si>
  <si>
    <t>Paguei a mais</t>
  </si>
  <si>
    <t>Saldo</t>
  </si>
  <si>
    <t>Deveria pagar</t>
  </si>
  <si>
    <t>status</t>
  </si>
  <si>
    <t>Valor Pago</t>
  </si>
  <si>
    <t>Pagamento</t>
  </si>
  <si>
    <t>Vencimento</t>
  </si>
  <si>
    <t>Referência</t>
  </si>
  <si>
    <t>Observação</t>
  </si>
  <si>
    <t>Eu paguei errado</t>
  </si>
  <si>
    <t>Seu João Pagou</t>
  </si>
  <si>
    <t>1065776-2</t>
  </si>
  <si>
    <t>RENEGOCIACAO ITAU 05/18</t>
  </si>
  <si>
    <t>Internet casa dos pais</t>
  </si>
  <si>
    <t>Empréstimo cheque especial</t>
  </si>
  <si>
    <t>Corte de cabelo</t>
  </si>
  <si>
    <t>Mensalidade do celular</t>
  </si>
  <si>
    <t>Ajuda de custo</t>
  </si>
  <si>
    <t>Ajuda de custo - combustível</t>
  </si>
  <si>
    <t>Empréstimo paga pagar contas atrasadas</t>
  </si>
  <si>
    <t>Supermercado</t>
  </si>
  <si>
    <t>Pensão - Gastos com remédios</t>
  </si>
  <si>
    <t>Pagamento de valor mínimo - Riachuelo</t>
  </si>
  <si>
    <t>PIX TRANSF  DIEYLA 09/05</t>
  </si>
  <si>
    <t>PIX QRS ILMA MARLEY10/05</t>
  </si>
  <si>
    <t>PIX TRANSF  DEUSINE10/05</t>
  </si>
  <si>
    <t>PIX TRANSF  UEMERSO10/05</t>
  </si>
  <si>
    <t>PIX QRS DANILLA CRI10/05</t>
  </si>
  <si>
    <t>PIX QRS ROSILENE NU11/05</t>
  </si>
  <si>
    <t>PIX QRS JMCOMERCIO 11/05</t>
  </si>
  <si>
    <t>RSCSS-MP  BEMBOLA-12/05</t>
  </si>
  <si>
    <t>RSCSS-MP  BEMBOLA-13/05</t>
  </si>
  <si>
    <t>RSCSS-AUTO POSTO -14/05</t>
  </si>
  <si>
    <t>RSCSS-FIORELLA PA-14/05</t>
  </si>
  <si>
    <t>RSCSS-MP  BEMBOLA-14/05</t>
  </si>
  <si>
    <t>RSCSS-MP  REALEZA-14/05</t>
  </si>
  <si>
    <t>RSCSS-VANDERLEIDA-14/05</t>
  </si>
  <si>
    <t>PIX TRANSF  JOAO DE14/05</t>
  </si>
  <si>
    <t>RSCSS-MP  BEMBOLA-15/05</t>
  </si>
  <si>
    <t>RSCSS-FIORELLA PA-15/05</t>
  </si>
  <si>
    <t>RSCSS-AGNALDOCOST-15/05</t>
  </si>
  <si>
    <t>RSCSS-VANDERLEIDA-15/05</t>
  </si>
  <si>
    <t>RSCSS-MP  BEMBOLA-16/05</t>
  </si>
  <si>
    <t>RSCSS-VANDERLEIDA-16/05</t>
  </si>
  <si>
    <t>RSCSS-XERIFE EXPR-16/05</t>
  </si>
  <si>
    <t>RSCSS-DROGARIA CR-17/05</t>
  </si>
  <si>
    <t>RSCSS-POSTO KARAK-17/05</t>
  </si>
  <si>
    <t>RSCSS-MP  BEMBOLA-19/05</t>
  </si>
  <si>
    <t>RSCSS-FIORELLA PA-20/05</t>
  </si>
  <si>
    <t>RSCSS-SIRLEYARAUJ-20/05</t>
  </si>
  <si>
    <t>RSCSS-MP *BEMBOLA-20/05</t>
  </si>
  <si>
    <t>RSCSS-VANDERLEIDA-20/05</t>
  </si>
  <si>
    <t>RSCSS FIORELLA PAN2105</t>
  </si>
  <si>
    <t>RSCSS MP  BEMBOLAD2105</t>
  </si>
  <si>
    <t>PIX TRANSF Fabrici21/05</t>
  </si>
  <si>
    <t>RSCSS POSTO KARAKA2105</t>
  </si>
  <si>
    <t>RSCSS VanderleiDaS2105</t>
  </si>
  <si>
    <t>RSCSS FIORELLA PAN2205</t>
  </si>
  <si>
    <t>RSCSS MP  BEMBOLAD2205</t>
  </si>
  <si>
    <t>RSCSS MP  REALEZA 2205</t>
  </si>
  <si>
    <t>PIX TRANSF Dieyla 22/05</t>
  </si>
  <si>
    <t>RSCSS EnholitaCard2205</t>
  </si>
  <si>
    <t>RSCSS MP  BEMBOLAD2305</t>
  </si>
  <si>
    <t>RSCSS EnholitaCard2305</t>
  </si>
  <si>
    <t>RSCSS POSTO NOVA A2305</t>
  </si>
  <si>
    <t>RSCSS DISTRIBUIDOR2305</t>
  </si>
  <si>
    <t>RSCSS MP  BARJR   2305</t>
  </si>
  <si>
    <t>RSCSS VanderleiDaS2405</t>
  </si>
  <si>
    <t>RSCSS ORIENTE BEBI2405</t>
  </si>
  <si>
    <t>RSCSS OXENTE BAR E2505</t>
  </si>
  <si>
    <t>RSCSS VanderleiDaS2505</t>
  </si>
  <si>
    <t>RSCSS FIORELLA PAN2605</t>
  </si>
  <si>
    <t>RSCSS MP  EMPRIOMA2605</t>
  </si>
  <si>
    <t>RSCSS AUTO POSTO B2605</t>
  </si>
  <si>
    <t>RSCSS MP  EMPORIOT2605</t>
  </si>
  <si>
    <t>RSCSS MP  BEMBOLAD2705</t>
  </si>
  <si>
    <t>RSCSS MP  BEMBOLAD2805</t>
  </si>
  <si>
    <t>RSCSS MP  REALEZA 2805</t>
  </si>
  <si>
    <t>RSCSS VanderleiDaS2805</t>
  </si>
  <si>
    <t>RSCSS POSTO SAO SE2805</t>
  </si>
  <si>
    <t>RSCSS MP  BEMBOLAD2905</t>
  </si>
  <si>
    <t>PIX TRANSF GILDACI29/05</t>
  </si>
  <si>
    <t>RSCSS VanderleiDaS2905</t>
  </si>
  <si>
    <t>RSCSS MP  BEMBOLAD3005</t>
  </si>
  <si>
    <t>RSCSS MP  EMPRIOMA3005</t>
  </si>
  <si>
    <t>RSCSS VanderleiDaS3005</t>
  </si>
  <si>
    <t>RSCSS DROGAMARYS  3105</t>
  </si>
  <si>
    <t>RSCSS Alexandra   0106</t>
  </si>
  <si>
    <t>RSCSS AUTO POSTO K0206</t>
  </si>
  <si>
    <t>TED 104.0000CAIXA ECON F</t>
  </si>
  <si>
    <t>RSCSS CLEITON RIBE0306</t>
  </si>
  <si>
    <t>RSCSS HIPERPOSTO A0306</t>
  </si>
  <si>
    <t>TAR PACOTE ITAU   MAI/25</t>
  </si>
  <si>
    <t>RSCSS EMPORIO VITO0506</t>
  </si>
  <si>
    <t>PIX TRANSF UEMERSO06/06</t>
  </si>
  <si>
    <t>PIX TRANSF FABRICI06/06</t>
  </si>
  <si>
    <t>RSCSS-VANDERLEIDA-06/06</t>
  </si>
  <si>
    <t>RSCSS-BAR DO CEAR-06/06</t>
  </si>
  <si>
    <t>RSCSS-DISTRIBUIDO-06/06</t>
  </si>
  <si>
    <t>RSCSS-MP *BARJR  -06/06</t>
  </si>
  <si>
    <t>RSCSS ORIENTE BEBI0706</t>
  </si>
  <si>
    <t>RSCSS Alexandra   0706</t>
  </si>
  <si>
    <t>INT /NIO  5669133950020</t>
  </si>
  <si>
    <t>RSCSS OXENTE BAR E0806</t>
  </si>
  <si>
    <t>RSCSS MP  LAPLACE 0806</t>
  </si>
  <si>
    <t>RSCSS MP  DISTRTOM0806</t>
  </si>
  <si>
    <t>RSCSS MP  LACASADE0806</t>
  </si>
  <si>
    <t>RSHOP MP  BEMBOLAD0906</t>
  </si>
  <si>
    <t>RSCSS POSTO RIO NE0906</t>
  </si>
  <si>
    <t>RSCSS VanderleiDaS0906</t>
  </si>
  <si>
    <t>RSCSS FIORELLA PAN1006</t>
  </si>
  <si>
    <t>PAG BOLETO PAG TIT BANCO 001</t>
  </si>
  <si>
    <t>PAG BOLETO PAG TIT 398563315000</t>
  </si>
  <si>
    <t>PAG BOLETO PAG TIT 358563315000</t>
  </si>
  <si>
    <t>PIX TRANSF JOAO DE10/06</t>
  </si>
  <si>
    <t>RENEGOCIACAO ITAU 06/18</t>
  </si>
  <si>
    <t>Internet casa dos meus pais</t>
  </si>
  <si>
    <t>Ficha de sinuca</t>
  </si>
  <si>
    <t>Lanche</t>
  </si>
  <si>
    <t>Ajuda de custo - Alimentação</t>
  </si>
  <si>
    <t>Panificadora</t>
  </si>
  <si>
    <t>Impressão de documentos</t>
  </si>
  <si>
    <t>Badoo - 1 semana</t>
  </si>
  <si>
    <t>Compras diversas no supermercado</t>
  </si>
  <si>
    <t>Sanduiche</t>
  </si>
  <si>
    <t>Pensão - internet</t>
  </si>
  <si>
    <t>Pensão - fatura de água</t>
  </si>
  <si>
    <t>seguro ref. 03/2025</t>
  </si>
  <si>
    <t>RSCSS ALTAS HORAS 1106</t>
  </si>
  <si>
    <t>RSCSS DISTRIBUIDOR1206 - BAR DO CEARÁ</t>
  </si>
  <si>
    <t>RSCSS AUTO POSTO D1206</t>
  </si>
  <si>
    <t>RSCSS ORIENTE BEBI1206</t>
  </si>
  <si>
    <t>RSCSS ORIENTE BEBI1306</t>
  </si>
  <si>
    <t>PIX TRANSF DEBORAH13/06</t>
  </si>
  <si>
    <t>RSCSS AUTO POSTO R1306</t>
  </si>
  <si>
    <t>Combustível - perto da rodoviária de Ap. Gyn buscar a Débora</t>
  </si>
  <si>
    <t>PIX TRANSF FABRICI13/06</t>
  </si>
  <si>
    <t>Receitas</t>
  </si>
  <si>
    <t>Nº Cliente</t>
  </si>
  <si>
    <t>Nome Cliente</t>
  </si>
  <si>
    <t>Nº Fatura</t>
  </si>
  <si>
    <t>Mês / Ano</t>
  </si>
  <si>
    <t>Tipo Fatura</t>
  </si>
  <si>
    <t>JOAO DE SOUZA LOBO SOBRINHO</t>
  </si>
  <si>
    <t>FATURA GRUPO B</t>
  </si>
  <si>
    <t>RSCSS R P A COMERC1406</t>
  </si>
  <si>
    <t>RSCSS POSTO TALISM1506</t>
  </si>
  <si>
    <t>RSCSS ORIENTE BEBI1506</t>
  </si>
  <si>
    <t>RSCSS DISTRIBUIDOR1506</t>
  </si>
  <si>
    <t>RSCSS OXENTE BAR E1506</t>
  </si>
  <si>
    <t>RSCSS VanderleiDaS1506</t>
  </si>
  <si>
    <t>PIX QRS Banco Digio16/06</t>
  </si>
  <si>
    <t>RSCSS MP  BEMBOLAD1606</t>
  </si>
  <si>
    <t>RSCSS VanderleiDaS1606</t>
  </si>
  <si>
    <t>PIX TRANSF CAIXA E17/06</t>
  </si>
  <si>
    <t>RSCSS POSTO VM LTD1806</t>
  </si>
  <si>
    <t>PIX TRANSF DIEGO P19/06</t>
  </si>
  <si>
    <t>PIX TRANSF EURISMA19/06</t>
  </si>
  <si>
    <t>PIX TRANSF Carlos 19/06</t>
  </si>
  <si>
    <t>RSCSS VanderleiDaS1906</t>
  </si>
  <si>
    <t>RSCSS RosimilsonMa2006</t>
  </si>
  <si>
    <t>PIX TRANSF DOMINGO20/06</t>
  </si>
  <si>
    <t>RSCSS VanderleiDaS2006</t>
  </si>
  <si>
    <t>RSHOP MP  BARJR   2006</t>
  </si>
  <si>
    <t>RSCSS BAR DO CEARA2106</t>
  </si>
  <si>
    <t>RSCSS IlmaMarleyXa2106</t>
  </si>
  <si>
    <t>RSCSS VanderleiDaS2106</t>
  </si>
  <si>
    <t>RSCSS Kekjeans    2106</t>
  </si>
  <si>
    <t>RSCSS ANTONIO     2106</t>
  </si>
  <si>
    <t>RSCSS ANTONIO     2206</t>
  </si>
  <si>
    <t>PIX TRANSF Beatriz22/06</t>
  </si>
  <si>
    <t>PIX TRANSF DÃ©borah22/06</t>
  </si>
  <si>
    <t>RSCSS MP  BEMBOLAD2306</t>
  </si>
  <si>
    <t>RSCSS POSTO KARAKA2306</t>
  </si>
  <si>
    <t>RSCSS Valori  MADR2306</t>
  </si>
  <si>
    <t>RSCSS FIORELLA PAN2406</t>
  </si>
  <si>
    <t>RSCSS FIORELLA PAN2506</t>
  </si>
  <si>
    <t>RSCSS POSTO RIO NE2506</t>
  </si>
  <si>
    <t>RSCSS FIORELLA PAN2606</t>
  </si>
  <si>
    <t>RSCSS POSTO KARAKA2706</t>
  </si>
  <si>
    <t>RSCSS VanderleiDaS2706</t>
  </si>
  <si>
    <t>RSCSS DROGAMARYS  2706</t>
  </si>
  <si>
    <t>RSCSS PARADA CERTA2706</t>
  </si>
  <si>
    <t>RSCSS BAR DO CEARA2806</t>
  </si>
  <si>
    <t>RSCSS OXENTE BAR E2806</t>
  </si>
  <si>
    <t>RSCSS ANTONIO     2806</t>
  </si>
  <si>
    <t>RSCSS R P A COMERC2806</t>
  </si>
  <si>
    <t>RSCSS GIFARMA DROG2806</t>
  </si>
  <si>
    <t>RSCSS MP  BEMBOLAD3006</t>
  </si>
  <si>
    <t>RSCSS AUTO POSTO D0107</t>
  </si>
  <si>
    <t>RSCSS MP  REALEZA 0107</t>
  </si>
  <si>
    <t>RSCSS VanderleiDaS0207</t>
  </si>
  <si>
    <t>RSCSS 60 373 469 E0207</t>
  </si>
  <si>
    <t>TAR PACOTE ITAU   JUN/25</t>
  </si>
  <si>
    <t>RSCSS FIORELLA PAN0307</t>
  </si>
  <si>
    <t>PIX TRANSF Fabrici03/07</t>
  </si>
  <si>
    <t>RSCSS POSTO RIO NE0307</t>
  </si>
  <si>
    <t>RSCSS VanderleiDaS0307</t>
  </si>
  <si>
    <t>RSCSS PgMix       0307</t>
  </si>
  <si>
    <t>PIX QRS CLIENT CO S04/07</t>
  </si>
  <si>
    <t>RSCSS RosimilsonMa0407</t>
  </si>
  <si>
    <t>RSCSS VanderleiDaS0407</t>
  </si>
  <si>
    <t>RSCSS Gabriela    0407</t>
  </si>
  <si>
    <t>RSCSS ORIENTE BEBI0507</t>
  </si>
  <si>
    <t>RSCSS OXENTE BAR E0507</t>
  </si>
  <si>
    <t>PIX TRANSF RAIMUND05/07</t>
  </si>
  <si>
    <t>RSCSS 56027960 RAP0507</t>
  </si>
  <si>
    <t>PIX TRANSF DÃ©borah05/07</t>
  </si>
  <si>
    <t>RSCSS POSTO SAO SE0507</t>
  </si>
  <si>
    <t>RSCSS HumbertoAlen0507</t>
  </si>
  <si>
    <t>ESTORNO            RSCSS  HumbertoAlen</t>
  </si>
  <si>
    <t>RSCSS DISTRIBUIDOR0507</t>
  </si>
  <si>
    <t>RSCSS OXENTE BAR E0607</t>
  </si>
  <si>
    <t>RSCSS ORIENTE BEBI0607</t>
  </si>
  <si>
    <t>RSCSS VanderleiDaS0607</t>
  </si>
  <si>
    <t>RSCSS AUTO POSTO G0607</t>
  </si>
  <si>
    <t>RSCSS FORT DISTRI 0607</t>
  </si>
  <si>
    <t>RSCSS MP  EMPORIOJ0607</t>
  </si>
  <si>
    <t>RSCSS MP  BEMBOLAD0707</t>
  </si>
  <si>
    <t>PAG BOLETO HAPVIDA ASSISTENCIA MEDICA S</t>
  </si>
  <si>
    <t>CREDIARIO AUTOM 07/07</t>
  </si>
  <si>
    <t>PIX TRANSF Dieyla 08/07</t>
  </si>
  <si>
    <t>bares</t>
  </si>
  <si>
    <t>Empréstimo</t>
  </si>
  <si>
    <t>Bares - Sinuca</t>
  </si>
  <si>
    <t>Refeição da semana</t>
  </si>
  <si>
    <t>Refeição da quinzena</t>
  </si>
  <si>
    <t>Bates - Derley</t>
  </si>
  <si>
    <t>Supermercado Store - Ajuda na feira</t>
  </si>
  <si>
    <t>Pensão - Farmácia - Fraldas para Davi</t>
  </si>
  <si>
    <t>Prêmio de melhor dança de forró com Beatriz</t>
  </si>
  <si>
    <t>Parcela do conserto do Celta</t>
  </si>
  <si>
    <t>RENEGOCIACAO ITAU 07/18</t>
  </si>
  <si>
    <t>Renegociação cheque especial</t>
  </si>
  <si>
    <t>Refeições para o mês</t>
  </si>
  <si>
    <t>PIX TRANSF Maria D09/07</t>
  </si>
  <si>
    <t>JULHO</t>
  </si>
  <si>
    <t>JUNHO</t>
  </si>
  <si>
    <t>Pensão - Plano de saúde de Alice e Davi ref. 06/2025</t>
  </si>
  <si>
    <t>Pensão - Conta de energia ref. 03/2025</t>
  </si>
  <si>
    <t>Pensão - Conta de energia ref. 04/2025</t>
  </si>
  <si>
    <t>Pensão - Aluguel ref. 06/2025</t>
  </si>
  <si>
    <t>Pensão - Plano de saúde de Alice e Davi</t>
  </si>
  <si>
    <t>Despesas pessoais recorrentes</t>
  </si>
  <si>
    <t>Pensão - Aluguel ref. 05/2025</t>
  </si>
  <si>
    <t>MAIO</t>
  </si>
  <si>
    <t>ABRIL</t>
  </si>
  <si>
    <t>MARÇO</t>
  </si>
  <si>
    <t>Pensão - Plano de saúde de Alice e Davi ref. 07/2025</t>
  </si>
  <si>
    <t>Pensão - supermercado</t>
  </si>
  <si>
    <t>Pensão - aluguel 07 2025</t>
  </si>
  <si>
    <t>Pensão - Plano de saúde Alice</t>
  </si>
  <si>
    <t>Pensão - Aluguel ref. 04/2025</t>
  </si>
  <si>
    <t>Pensão - Aluguel ref. 03/2025</t>
  </si>
  <si>
    <t>Pensão - Recebimento para comprar remédios</t>
  </si>
  <si>
    <t>Pensão - Conta de água ref. 03/2025</t>
  </si>
  <si>
    <t>Pensão - Plano de saúde de Alice</t>
  </si>
  <si>
    <t>Pensão - Conta de energia ref. 12/2024</t>
  </si>
  <si>
    <t>Pensão - Conta de energia ref. 01/2025</t>
  </si>
  <si>
    <t>Pensão - Conta de água ref. 01/2025</t>
  </si>
  <si>
    <t>Pensão - Conta de água ref. 02/2025</t>
  </si>
  <si>
    <t>Pensão - Compra de leite e fralda para Davi</t>
  </si>
  <si>
    <t>Pensão - Pagamento da internet - cancelamento</t>
  </si>
  <si>
    <t>Pensão - Aluguel de dois meses atrasados (01 e 02/2025)</t>
  </si>
  <si>
    <t>FEVEREIRO</t>
  </si>
  <si>
    <t>JANEIRO</t>
  </si>
  <si>
    <t>Pensão - Aluguel ref. 01/2025</t>
  </si>
  <si>
    <t>Pensão - Compras diversas no supermercado</t>
  </si>
  <si>
    <t>TOTAL DE DESPESAS COM PENSÃO</t>
  </si>
  <si>
    <t>Desempregado</t>
  </si>
  <si>
    <t>FGTS Inativo</t>
  </si>
  <si>
    <t>Prestação de serviço - declaração de IRPF</t>
  </si>
  <si>
    <t>Ajuda de custo - Combustível</t>
  </si>
  <si>
    <t>Ajuda de custo - Refeições</t>
  </si>
  <si>
    <t>PIX TRANSF Fabrici Aquila 27/05</t>
  </si>
  <si>
    <t>TOTAL ANO</t>
  </si>
  <si>
    <t>AGOSTO</t>
  </si>
  <si>
    <t>RSCSS GIFARMA DROG0907</t>
  </si>
  <si>
    <t>PIX QRS AUTO POSTO 10/07</t>
  </si>
  <si>
    <t>RSCSS VanderleiDaS1007</t>
  </si>
  <si>
    <t>RSCSS VanderleiDaS1107</t>
  </si>
  <si>
    <t>RSCSS RenatoLoiola1207</t>
  </si>
  <si>
    <t>RSCSS ORIENTE BEBI1207</t>
  </si>
  <si>
    <t>RSCSS ORIENTE BEBI1307</t>
  </si>
  <si>
    <t>RSCSS ANTONIO     1307</t>
  </si>
  <si>
    <t>RSCSS AUTO POSTO D1407</t>
  </si>
  <si>
    <t>RSCSS MP  BEMBOLAD1507</t>
  </si>
  <si>
    <t>RSCSS AUTO POSTO D1607</t>
  </si>
  <si>
    <t>PIX TRANSF FRANCIE17/07</t>
  </si>
  <si>
    <t>RSCSS FIORELLA PAN1707</t>
  </si>
  <si>
    <t>PIX TRANSF Aquila 17/07</t>
  </si>
  <si>
    <t>RSCSS FIORELLA PAN1807</t>
  </si>
  <si>
    <t>RSCSS RosimilsonMa1807</t>
  </si>
  <si>
    <t>RSCSS POSTO SAO SE1807</t>
  </si>
  <si>
    <t>RSCSS Kekjeans    1807</t>
  </si>
  <si>
    <t>RSCSS IlmaMarleyXa1807</t>
  </si>
  <si>
    <t>RSCSS MP  BARJR   1807</t>
  </si>
  <si>
    <t>RSCSS ORIENTE BEBI1807</t>
  </si>
  <si>
    <t>RSCSS ORIENTE BEBI1907</t>
  </si>
  <si>
    <t>RSCSS OXENTE BAR E1907</t>
  </si>
  <si>
    <t>RSCSS BAR DO CEARA1907</t>
  </si>
  <si>
    <t>RSCSS COMERCIAL NR1907</t>
  </si>
  <si>
    <t>RSCSS BAIUCA DISTR1907</t>
  </si>
  <si>
    <t>RSCSS ANTONIO     2007</t>
  </si>
  <si>
    <t>RSCSS BERTE BAR   2007</t>
  </si>
  <si>
    <t>RSCSS FIORELLA PAN2107</t>
  </si>
  <si>
    <t>RSCSS MP  BEMBOLAD2107</t>
  </si>
  <si>
    <t>PIX TRANSF Fabrici21/07</t>
  </si>
  <si>
    <t>RSCSS POSTO RIO NE2107</t>
  </si>
  <si>
    <t>RSCSS FIORELLA PAN2207</t>
  </si>
  <si>
    <t>RSCSS MP  BEMBOLAD2207</t>
  </si>
  <si>
    <t>PIX QRS Banco Digio22/07</t>
  </si>
  <si>
    <t>RSCSS FIORELLA PAN2307</t>
  </si>
  <si>
    <t>RSCSS FIORELLA PAN2407</t>
  </si>
  <si>
    <t>RSCSS POSTO RIO NE2407</t>
  </si>
  <si>
    <t>RSCSS AgnaldoCosta2407</t>
  </si>
  <si>
    <t>RSCSS VanderleiDaS2407</t>
  </si>
  <si>
    <t>RSCSS FIORELLA PAN2507</t>
  </si>
  <si>
    <t>RSCSS MP  MAISCELU2507</t>
  </si>
  <si>
    <t>PIX TRANSF BRUNO D25/07</t>
  </si>
  <si>
    <t>RSCSS VanderleiDaS2507</t>
  </si>
  <si>
    <t>RSCSS DROGAMARYS  2507</t>
  </si>
  <si>
    <t>RSCSS DANILLA CRIS2607</t>
  </si>
  <si>
    <t>RSCSS OXENTE BAR E2607</t>
  </si>
  <si>
    <t>RSCSS FIORELLA PAN2807</t>
  </si>
  <si>
    <t>RSCSS MP  BEMBOLAD2807</t>
  </si>
  <si>
    <t>PIX TRANSF Guilher29/07</t>
  </si>
  <si>
    <t>RSCSS FIORELLA PAN2907</t>
  </si>
  <si>
    <t>DEV PIX Guilherme H29/07</t>
  </si>
  <si>
    <t>RSCSS MP  BEMBOLAD2907</t>
  </si>
  <si>
    <t>PIX TRANSF Maria D29/07</t>
  </si>
  <si>
    <t>PIX QRS BRK AMBIENT29/07</t>
  </si>
  <si>
    <t>PIX TRANSF Dieyla 29/07</t>
  </si>
  <si>
    <t>Rcbto para comprar lanche para a Franciele</t>
  </si>
  <si>
    <t>Rcbto para comprar café no trabalho</t>
  </si>
  <si>
    <t>combustível</t>
  </si>
  <si>
    <t>Cartão de crédito - Parcelamento em 4x</t>
  </si>
  <si>
    <t>Rcbto para comprar lanche para o Guilherme</t>
  </si>
  <si>
    <t>Devolução do PIX para o Guilherme</t>
  </si>
  <si>
    <t>Pensão - Conta de água atrasada ref. 05/2025</t>
  </si>
  <si>
    <t>Pensão - Conta de água atrasada ref. 06/2025</t>
  </si>
  <si>
    <t>RENEGOCIACAO ITAU 08/18</t>
  </si>
  <si>
    <t>Cartão de crédito - ref. 07/2025</t>
  </si>
  <si>
    <t>SEX</t>
  </si>
  <si>
    <t>SÁB</t>
  </si>
  <si>
    <t>DOM</t>
  </si>
  <si>
    <t>SEG</t>
  </si>
  <si>
    <t>TER</t>
  </si>
  <si>
    <t>QUA</t>
  </si>
  <si>
    <t>QUI</t>
  </si>
  <si>
    <t>TT Km</t>
  </si>
  <si>
    <t>Qd dias</t>
  </si>
  <si>
    <t>TT Lt/ dia</t>
  </si>
  <si>
    <t>R$ / Litros</t>
  </si>
  <si>
    <t>Gasto dia</t>
  </si>
  <si>
    <t>Dia Sem</t>
  </si>
  <si>
    <t>Dia mês</t>
  </si>
  <si>
    <t>Km/L Celta</t>
  </si>
  <si>
    <t>Pensão - Conta de energia ref. 06/2025, vcto 02/07</t>
  </si>
  <si>
    <t>Pensão - Conta de energia ref. 07/2025, vcto 02/08</t>
  </si>
  <si>
    <t>Cartão Riachuelo - seguro ref. 07/2025</t>
  </si>
  <si>
    <t>Protocolo 2025062870331</t>
  </si>
  <si>
    <t>nascimento Dat    27/09/1945</t>
  </si>
  <si>
    <t xml:space="preserve">ZAP </t>
  </si>
  <si>
    <t>Pensão - Aluguel ref. 08/2025</t>
  </si>
  <si>
    <t>Pensão - Plano de saúde de Alice e Davi ref. 08/2025</t>
  </si>
  <si>
    <t>06/2025</t>
  </si>
  <si>
    <t>1º mês - Aquila</t>
  </si>
  <si>
    <t>2º mês - Aquila</t>
  </si>
  <si>
    <t>3º mês - Aquila</t>
  </si>
  <si>
    <t>4º mês - Aquila</t>
  </si>
  <si>
    <t>5º mês - Aquila</t>
  </si>
  <si>
    <t>6º mês - Aquila</t>
  </si>
  <si>
    <t>Centro de resultado</t>
  </si>
  <si>
    <t>CPF - Desp. Financeiras - Empréstimos</t>
  </si>
  <si>
    <t>FIN2</t>
  </si>
  <si>
    <t>CPF - Pensão - Energia</t>
  </si>
  <si>
    <t>CPF - Pensão - Água</t>
  </si>
  <si>
    <t>CPF - Pensão - Aluguel</t>
  </si>
  <si>
    <t>PENS1</t>
  </si>
  <si>
    <t>PENS2</t>
  </si>
  <si>
    <t>PENS3</t>
  </si>
  <si>
    <t>DESP1</t>
  </si>
  <si>
    <t>DESP2</t>
  </si>
  <si>
    <t>DESP3</t>
  </si>
  <si>
    <t>DESP4</t>
  </si>
  <si>
    <t>PENS4</t>
  </si>
  <si>
    <t>PENS5</t>
  </si>
  <si>
    <t>PENS6</t>
  </si>
  <si>
    <t>PENS7</t>
  </si>
  <si>
    <t>PENS8</t>
  </si>
  <si>
    <t>REC5</t>
  </si>
  <si>
    <t>X</t>
  </si>
  <si>
    <t>DESP5</t>
  </si>
  <si>
    <t>CPF - Desp. Cartão de crédito</t>
  </si>
  <si>
    <t>CPF - Transf. Da conta PJ para a conta PF</t>
  </si>
  <si>
    <t>CPF - Pensão - Outros Gastos</t>
  </si>
  <si>
    <t xml:space="preserve">CPF - Desp. com veículo - Manut. / Gastos </t>
  </si>
  <si>
    <t>CPF - Pensão - Internet</t>
  </si>
  <si>
    <t>PENS9</t>
  </si>
  <si>
    <t>CPF - Desp. Telefone / Internet</t>
  </si>
  <si>
    <t>CPF - Outras receitas</t>
  </si>
  <si>
    <t>CPF - Desp. Transporte / Combustível</t>
  </si>
  <si>
    <t>CPF - Desp. Lazer e Entretenimento - Bares</t>
  </si>
  <si>
    <t>CPF - Desp. Lazer e Entretenimento - Cigarro</t>
  </si>
  <si>
    <t>CPF - Desp. Alimentação / Refeição</t>
  </si>
  <si>
    <t>CPF - Remun. Salário / Pró-Labore</t>
  </si>
  <si>
    <t>CPF - Pensão - Plano de saúde</t>
  </si>
  <si>
    <t>PENS10</t>
  </si>
  <si>
    <t>CPF - Outros gastos</t>
  </si>
  <si>
    <t>CPF - Pensão - Supermercado</t>
  </si>
  <si>
    <t>PENS11</t>
  </si>
  <si>
    <t>CPF - Desp. Financeiras - Juros / Tarifas</t>
  </si>
  <si>
    <t>CPF - Transf. Da conta PF para a conta PJ</t>
  </si>
  <si>
    <t>CPF - Desp. Moradia</t>
  </si>
  <si>
    <t>Despesas com pensão</t>
  </si>
  <si>
    <t>CPF - Pensão - Outras receitas</t>
  </si>
  <si>
    <t>REC7</t>
  </si>
  <si>
    <t>Pensão - Transferência do excedente p/ Dieyla (200,00 - 176,59)</t>
  </si>
  <si>
    <t>Pensão - Rcbto para pagar conta de água atrasada ref. 05/2025</t>
  </si>
  <si>
    <t>Pensão - Rcbto para comprar Antibiótico para Alice</t>
  </si>
  <si>
    <t>PERCENTUAL DE PENSÃO %</t>
  </si>
  <si>
    <t>Z</t>
  </si>
  <si>
    <t>GAST1</t>
  </si>
  <si>
    <t>GAST2</t>
  </si>
  <si>
    <t>OUG1</t>
  </si>
  <si>
    <t>(=) SALDO ATUAL</t>
  </si>
  <si>
    <t>SALDO ANTERIOR</t>
  </si>
  <si>
    <t>CARGA % DA PENSÃO =&gt;</t>
  </si>
  <si>
    <t>COMPRA DÉBITO POSTO SAO SE2202 POSTO SAO SEBASTIAO</t>
  </si>
  <si>
    <t>COMPRA DÉBITO TABACARIA PU2202 TABACARIA PUB HOOKAH E</t>
  </si>
  <si>
    <t>Pensão - Conta de energia ref. 05/2025</t>
  </si>
  <si>
    <t>Pensão - Conta de energia ref. 06/2025</t>
  </si>
  <si>
    <t>Pensão - Conta de energia ref. 02/2025</t>
  </si>
  <si>
    <t>Pensão - Conta de energia ref. 11/2024</t>
  </si>
  <si>
    <t>CPF - Rec. Financeiras - Empréstimos</t>
  </si>
  <si>
    <t>CPF - Ajuda de custo - Combustível</t>
  </si>
  <si>
    <t>CPF - Ajuda de custo - Refeição</t>
  </si>
  <si>
    <t>TOTAL</t>
  </si>
  <si>
    <t>NATUREZA</t>
  </si>
  <si>
    <t>REC</t>
  </si>
  <si>
    <t>OPF</t>
  </si>
  <si>
    <t>DESP</t>
  </si>
  <si>
    <t>GAST</t>
  </si>
  <si>
    <t>FIN</t>
  </si>
  <si>
    <t>TRI</t>
  </si>
  <si>
    <t>OUG</t>
  </si>
  <si>
    <t>PENS</t>
  </si>
  <si>
    <t>Grupo</t>
  </si>
  <si>
    <t>GRUPO</t>
  </si>
  <si>
    <t>%</t>
  </si>
  <si>
    <t>% PARETO</t>
  </si>
  <si>
    <t>CPF.   02164566149</t>
  </si>
  <si>
    <t>Pensão - aluguel 08 2025</t>
  </si>
  <si>
    <t>Pensão - Conta de água atrasada ref. 07/2025</t>
  </si>
  <si>
    <t>Fone de ouvido</t>
  </si>
  <si>
    <t>PIX TRANSF Fabrici30/07</t>
  </si>
  <si>
    <t>PAG BOLETO EQUATORIAL GOIAS DISTR ENER</t>
  </si>
  <si>
    <t>INT /BRK GOIA 4084237190</t>
  </si>
  <si>
    <t>REC6</t>
  </si>
  <si>
    <t>Entidade</t>
  </si>
  <si>
    <r>
      <t xml:space="preserve">SELECIONE A ENTIDADE QUE </t>
    </r>
    <r>
      <rPr>
        <b/>
        <sz val="14"/>
        <color rgb="FFFF0000"/>
        <rFont val="Calibri"/>
        <family val="2"/>
        <scheme val="minor"/>
      </rPr>
      <t>PAGOU</t>
    </r>
    <r>
      <rPr>
        <b/>
        <sz val="14"/>
        <color rgb="FF0070C0"/>
        <rFont val="Calibri"/>
        <family val="2"/>
        <scheme val="minor"/>
      </rPr>
      <t xml:space="preserve"> OU </t>
    </r>
    <r>
      <rPr>
        <b/>
        <sz val="14"/>
        <color rgb="FF00B050"/>
        <rFont val="Calibri"/>
        <family val="2"/>
        <scheme val="minor"/>
      </rPr>
      <t>RECEBEU</t>
    </r>
    <r>
      <rPr>
        <b/>
        <sz val="14"/>
        <color rgb="FF0070C0"/>
        <rFont val="Calibri"/>
        <family val="2"/>
        <scheme val="minor"/>
      </rPr>
      <t xml:space="preserve"> =&gt;</t>
    </r>
  </si>
  <si>
    <t>RESUMO FLUXO CAIXA</t>
  </si>
  <si>
    <t>A.V. %</t>
  </si>
  <si>
    <t>SUPERÁVIT</t>
  </si>
  <si>
    <t>PIX TRANSF Josimar31/07</t>
  </si>
  <si>
    <t>RSCSS POSTO RIO NE3107</t>
  </si>
  <si>
    <t>RSCSS 54760370 MAI0108</t>
  </si>
  <si>
    <t>RSCSS DROGAZELO   0108</t>
  </si>
  <si>
    <t>RSCSS DANILLA CRIS0208</t>
  </si>
  <si>
    <t>RSCSS OXENTE BAR E0208</t>
  </si>
  <si>
    <t>RSCSS MONDALE PANI0208</t>
  </si>
  <si>
    <t>RSCSS POSTO TALISM0208</t>
  </si>
  <si>
    <t>RSCSS Gabriela    0208</t>
  </si>
  <si>
    <t>RSCSS ANTONIO     0308</t>
  </si>
  <si>
    <t>RSCSS MP  BARBOSAD0308</t>
  </si>
  <si>
    <t>RSCSS BAIUCA DISTR0308</t>
  </si>
  <si>
    <t>TAR PACOTE ITAU   JUL/25</t>
  </si>
  <si>
    <t>RSCSS AgnaldoCosta0608</t>
  </si>
  <si>
    <t>PIX TRANSF FABRICI06/08</t>
  </si>
  <si>
    <t>Empréstimo de Maurão paga pagar a contas atrasadas</t>
  </si>
  <si>
    <t>Antitranspirante na farmácia do Pq. Amazônia</t>
  </si>
  <si>
    <t>Bares - Som da Terra</t>
  </si>
  <si>
    <t>Bares - Bar da rua da feira do Serra Dourada</t>
  </si>
  <si>
    <t>ANO DE 2025</t>
  </si>
  <si>
    <t>Pago</t>
  </si>
  <si>
    <t>Adiantamento salarial</t>
  </si>
  <si>
    <t>DATA REAL</t>
  </si>
  <si>
    <t>DATA PREVISTA</t>
  </si>
  <si>
    <t>EMPRESA</t>
  </si>
  <si>
    <t>Data real</t>
  </si>
  <si>
    <t>Data prevista</t>
  </si>
  <si>
    <t>REAL</t>
  </si>
  <si>
    <t>PREVISTO</t>
  </si>
  <si>
    <t>Fluxo</t>
  </si>
  <si>
    <t>Empresa &amp; Natureza</t>
  </si>
  <si>
    <t>Empresa &amp; CR</t>
  </si>
  <si>
    <t>RSCSS MP  BEMBOLAD0708</t>
  </si>
  <si>
    <t>RSCSS MP  EMPRIOMA0708</t>
  </si>
  <si>
    <t>PIX TRANSF ANA COS07/08</t>
  </si>
  <si>
    <t>RSCSS ALTAS HORAS 0708</t>
  </si>
  <si>
    <t>RSCSS VanderleiDaS0708</t>
  </si>
  <si>
    <t>RSCSS FIORELLA PAN0808</t>
  </si>
  <si>
    <t>RSCSS POSTO SAO SE0808</t>
  </si>
  <si>
    <t>RSCSS MP  BARJR   0808</t>
  </si>
  <si>
    <t>RSCSS OXENTE BAR E0908</t>
  </si>
  <si>
    <t>PIX QRS Sandra Silv09/08</t>
  </si>
  <si>
    <t>RSCSS AUTO POSTO I0908</t>
  </si>
  <si>
    <t>RSCSS NovoTomShow 1008</t>
  </si>
  <si>
    <t>RSCSS AVAMTHE SUPE1008</t>
  </si>
  <si>
    <t>RSCSS POSTO SAO SE1008</t>
  </si>
  <si>
    <t>PIX TRANSF MCS SER11/08</t>
  </si>
  <si>
    <t>RSCSS ALTAS HORAS 1108</t>
  </si>
  <si>
    <t>RSCSS VanderleiDaS1108</t>
  </si>
  <si>
    <t>RSCSS VanderleiDaS1208</t>
  </si>
  <si>
    <t>Rcbto para pagar a internet. Não consegui pagar</t>
  </si>
  <si>
    <t>Refeição dos dias que estavam em aberto</t>
  </si>
  <si>
    <t>RSCSS DANCETERIA CHAVES1008</t>
  </si>
  <si>
    <t>Danceteria Chaves</t>
  </si>
  <si>
    <t>Oxente com a Kessia</t>
  </si>
  <si>
    <t>Renegociação cheque especial (parte do saldo)</t>
  </si>
  <si>
    <t>Carne para churrasco na casa da mãe do Deka</t>
  </si>
  <si>
    <t>Pensão - Aluguel 09/2025</t>
  </si>
  <si>
    <t>RENEGOCIACAO ITAU 09/18</t>
  </si>
  <si>
    <t>Bares - Com a Débora</t>
  </si>
  <si>
    <t>Bares (antes da meia noite) - Com a Débora</t>
  </si>
  <si>
    <t>Bares (depois da meia noite) - Com a Débora</t>
  </si>
  <si>
    <t>Bares - Som da Terra - Com a Meire</t>
  </si>
  <si>
    <t>Bares - Com a Danilla</t>
  </si>
  <si>
    <t>Juros do cheque especial</t>
  </si>
  <si>
    <t>Pensão - Conta de energia ref. 09/2025</t>
  </si>
  <si>
    <t>PIX TRANSF Maria D12/09</t>
  </si>
  <si>
    <t>EST CLARO CELULAR 92107</t>
  </si>
  <si>
    <t>DA CLARO CELULAR 92107</t>
  </si>
  <si>
    <t>PIX TRANSF LIDER O26/09</t>
  </si>
  <si>
    <t>RENEGOCIACAO ITAU /18</t>
  </si>
  <si>
    <t>DESPESA COBR SET/25 </t>
  </si>
  <si>
    <t>TAR PACOTE ITAU AGO/25</t>
  </si>
  <si>
    <t>Dias trabalhados na Líder Oxigênio</t>
  </si>
  <si>
    <t>Rcbto de Pix por engano da dona Darci</t>
  </si>
  <si>
    <t>Pensão - Plano de saúde de Alice e Davi ref. 11/2025</t>
  </si>
  <si>
    <t>RENEGOCIACAO ITAU 01/36</t>
  </si>
  <si>
    <t>PIX TRANSF  JOSIMAR24/10</t>
  </si>
  <si>
    <t>PIX TRANSF  MCS SER24/10</t>
  </si>
  <si>
    <t>PIX TRANSF MCS SER04/11</t>
  </si>
  <si>
    <t>PIX QRS Claro04/11</t>
  </si>
  <si>
    <t>RSCSS MP  MERCANTI0411</t>
  </si>
  <si>
    <t>PIX TRANSF DIEGO P04/11</t>
  </si>
  <si>
    <t>RSCSS LUIZ FERNAND0411</t>
  </si>
  <si>
    <t>EST RENEG ITAU 01/36</t>
  </si>
  <si>
    <t>TAR PACOTE ITAU   OUT/25</t>
  </si>
  <si>
    <t>TAR PACOTE ITAU   SET/25</t>
  </si>
  <si>
    <t>PIX TRANSF VALERIA05/11</t>
  </si>
  <si>
    <t>RSCSS TOSCANO GRIL0511</t>
  </si>
  <si>
    <t>RSCSS VanderleiDaS0511</t>
  </si>
  <si>
    <t>PIX QRS PAGBRASIL06/11</t>
  </si>
  <si>
    <t>RSCSS TOSCANO GRIL0611</t>
  </si>
  <si>
    <t>PIX TRANSF Josimar06/11</t>
  </si>
  <si>
    <t>PIX TRANSF UEMERSO06/11</t>
  </si>
  <si>
    <t>PIX TRANSF UENDER 06/11</t>
  </si>
  <si>
    <t>RSCSS VanderleiDaS0611</t>
  </si>
  <si>
    <t>RSCSS PDV GRANDE M0611</t>
  </si>
  <si>
    <t>RSCSS TOSCANO GRIL0711</t>
  </si>
  <si>
    <t>PIX TRANSF MCS SER07/11</t>
  </si>
  <si>
    <t>PIX QRS BRK AMBIENT07/11</t>
  </si>
  <si>
    <t>RSCSS POSTO SAO SE0711</t>
  </si>
  <si>
    <t>RSCSS VanderleiDaS0711</t>
  </si>
  <si>
    <t>RSCSS BAR DO CEARA0711</t>
  </si>
  <si>
    <t>RSCSS MP  BARJR   0711</t>
  </si>
  <si>
    <t>PIX TRANSF Manoel 07/11</t>
  </si>
  <si>
    <t>RSCSS MP  SERGIOLU0711</t>
  </si>
  <si>
    <t>RSCSS PARADA CERTA0711</t>
  </si>
  <si>
    <t>DESPESA COBR  OUT/25</t>
  </si>
  <si>
    <t>RSCSS NovoTomShow 0711</t>
  </si>
  <si>
    <t>RSCSS NovoTomShow 0811</t>
  </si>
  <si>
    <t>RSCSS MP  SERGIOLU0811</t>
  </si>
  <si>
    <t>PAG BOLETO ITAU UNIBANCO S.A.</t>
  </si>
  <si>
    <t>RSHOP IlmaMarleyXa0811</t>
  </si>
  <si>
    <t>RSHOP JIM COM  CHE0811</t>
  </si>
  <si>
    <t>RSCSS MP  DISTRIBU0811</t>
  </si>
  <si>
    <t>RSCSS RosimilsonMa0811</t>
  </si>
  <si>
    <t>RSCSS BAR DO CEARA0811</t>
  </si>
  <si>
    <t>RSCSS HIPERPOSTO A0811</t>
  </si>
  <si>
    <t>RSCSS NovoTomShow 0911</t>
  </si>
  <si>
    <t>RSCSS A TEM DE TUD0911</t>
  </si>
  <si>
    <t>PIX QRS OXENTE BAR 09/11</t>
  </si>
  <si>
    <t>PIX TRANSF MARCIO 09/11</t>
  </si>
  <si>
    <t>PAG BOLETO MIDWAY</t>
  </si>
  <si>
    <t>RSHOP IlmaMarleyXa0911</t>
  </si>
  <si>
    <t>PIX QRS EQUATORIAL 09/11</t>
  </si>
  <si>
    <t>RSCSS GABRIELA DIS0911</t>
  </si>
  <si>
    <t>RSCSS MP  DISTRIBU0911</t>
  </si>
  <si>
    <t>RSHOP MP  DISTRIBU0911</t>
  </si>
  <si>
    <t>RSCSS TOSCANO GRIL1011</t>
  </si>
  <si>
    <t>PIX QRS CLIENT CO S10/11</t>
  </si>
  <si>
    <t>PIX TRANSF MCS SER10/11</t>
  </si>
  <si>
    <t>PIX TRANSF JOAO DE10/11</t>
  </si>
  <si>
    <t>Bares - Tom Brasil com a Lidia</t>
  </si>
  <si>
    <t>Renegociação cheque especial - estorno</t>
  </si>
  <si>
    <t>FIN3</t>
  </si>
  <si>
    <t>CPF - Desp. Financeiras - Empréstimos bancários</t>
  </si>
  <si>
    <t>Mensalidade do celular - renegociação</t>
  </si>
  <si>
    <t>Recebimento para pagar multa do Detran</t>
  </si>
  <si>
    <t>Pensão - Lenço umedecido</t>
  </si>
  <si>
    <t>Retorno de empréstimo ao Maurão</t>
  </si>
  <si>
    <t>Retorno de empréstimo ao Parazinho</t>
  </si>
  <si>
    <t>Bares - Partida de sinuca para o Parazinho</t>
  </si>
  <si>
    <t>Pensão - Conta de água atrasada ref. 08/2025, 09/2025 e 10/2025</t>
  </si>
  <si>
    <t>Retorno de empréstimo - Deka</t>
  </si>
  <si>
    <t>Bares - Cerveja no meu padrinho</t>
  </si>
  <si>
    <t>Perfume Natura Homem Sagaz</t>
  </si>
  <si>
    <t>Limpador de prabrisas do celtinha</t>
  </si>
  <si>
    <t>Pensão - Aluguel ref. 09/2025</t>
  </si>
  <si>
    <t>Pensão - Conta de energia ref. 11/2025</t>
  </si>
  <si>
    <t>MÊS DE NOV/2025</t>
  </si>
  <si>
    <t>IPVA</t>
  </si>
  <si>
    <t>RSCSS TOSCANO GRIL1111</t>
  </si>
  <si>
    <t>RSCSS AUTO POSTO T1111</t>
  </si>
  <si>
    <t>RSCSS GOMES SILVA 1111</t>
  </si>
  <si>
    <t>RSCSS TOSCANO GRIL1211</t>
  </si>
  <si>
    <t>Camisinha, dormir na casa da Marivalda em Trindade</t>
  </si>
  <si>
    <t>RSCSS TOSCANO GRIL1311</t>
  </si>
  <si>
    <t>RSCSS POSTO KARAKA1311</t>
  </si>
  <si>
    <t>Pensão - Conta de energia ref. 12/2025</t>
  </si>
  <si>
    <t>RSCSS-TOSCANO GRI-14/11</t>
  </si>
  <si>
    <t>RSHOP-SYRON CAR P-14/11</t>
  </si>
  <si>
    <t>RSCSS-VANDERLEIDA-14/11</t>
  </si>
  <si>
    <t>RSCSS-GRANDE MARY-14/11</t>
  </si>
  <si>
    <t>RSHOP-POSTO TALIS-14/11</t>
  </si>
  <si>
    <t>RSHOP-GIFARMA DRO-14/11</t>
  </si>
  <si>
    <t>RSHOP-MP  SERGIOL-15/11</t>
  </si>
  <si>
    <t>RSHOP-MP  SERGIOL-16/11</t>
  </si>
  <si>
    <t>RSCSS-MARCOS PAUL-16/11</t>
  </si>
  <si>
    <t>RSHOP-ANTONIO    -16/11</t>
  </si>
  <si>
    <t>RSHOP-BRENDA DE O-16/11</t>
  </si>
  <si>
    <t>RSCSS-TOSCANO GRI-17/11</t>
  </si>
  <si>
    <t>RSCSS-POSTO SAO J-18/11</t>
  </si>
  <si>
    <t>RSCSS-TOSCANO GRI-18/11</t>
  </si>
  <si>
    <t>RSCSS-TOSCANO GRI-19/11</t>
  </si>
  <si>
    <t>RSCSS-POSTO BANDE-19/11</t>
  </si>
  <si>
    <t>RSCSS-VANDERLEIDA-19/11</t>
  </si>
  <si>
    <t>RSCSS-GABRIELA DI-19/11</t>
  </si>
  <si>
    <t>PIX TRANSF  MARIA L20/11</t>
  </si>
  <si>
    <t>RSCSS-VANDERLEIDA-20/11</t>
  </si>
  <si>
    <t>RSCSS-ARPOADORGRI-20/11</t>
  </si>
  <si>
    <t>RSCSS-SERGIOAIREI-20/11</t>
  </si>
  <si>
    <t>RSCSS-POSTO SAO S-21/11</t>
  </si>
  <si>
    <t>RSCSS-VANDERLEIDA-21/11</t>
  </si>
  <si>
    <t>RSCSS-MARCOS PAUL-21/11</t>
  </si>
  <si>
    <t>PIX TRANSF  MCS SER21/11</t>
  </si>
  <si>
    <t>RSHOP-MP  SERGIOL-22/11</t>
  </si>
  <si>
    <t>RSCSS-GABRIELA DI-23/11</t>
  </si>
  <si>
    <t>RSCSS-ANTONIO    -23/11</t>
  </si>
  <si>
    <t>PIX TRANSF  JOSIMAR23/11</t>
  </si>
  <si>
    <t>RSCSS-EMPORIO JG -23/11</t>
  </si>
  <si>
    <t>RSCSS-TOSCANO GRI-24/11</t>
  </si>
  <si>
    <t>RSCSS-POSTO TALIS-24/11</t>
  </si>
  <si>
    <t>RSCSS-TOSCANO GRI-25/11</t>
  </si>
  <si>
    <t>PIX TRANSF  DEBORAH25/11</t>
  </si>
  <si>
    <t>RSCSS-TOSCANO GRI-26/11</t>
  </si>
  <si>
    <t>RSCSS-MP  2433037-26/11</t>
  </si>
  <si>
    <t>RSCSS-POSTO SAO J-27/11</t>
  </si>
  <si>
    <t>RSCSS-TOSCANO GRI-27/11</t>
  </si>
  <si>
    <t>RSCSS-TOSCANO GRI-28/11</t>
  </si>
  <si>
    <t>RSCSS-POSTO TALIS-29/11</t>
  </si>
  <si>
    <t>RSCSS-XERIFE EXPR-29/11</t>
  </si>
  <si>
    <t>RSCSS-GABRIELA DI-29/11</t>
  </si>
  <si>
    <t>RSCSS-MP  2433037-29/11</t>
  </si>
  <si>
    <t>PIX TRANSF  UEMERSO01/12</t>
  </si>
  <si>
    <t>RSCSS-TOSCANO GRI-01/12</t>
  </si>
  <si>
    <t>RSCSS-MP  2433037-01/12</t>
  </si>
  <si>
    <t>RSCSS-TOSCANO GRI-02/12</t>
  </si>
  <si>
    <t>RSCSS-POSTOFLEX  -02/12</t>
  </si>
  <si>
    <t>RSCSS-MP  2433037-02/12</t>
  </si>
  <si>
    <t>PIX TRANSF  MCS SER03/12</t>
  </si>
  <si>
    <t>RSCSS-TOSCANO GRI-03/12</t>
  </si>
  <si>
    <t>RSCSS-MP  2433037-03/12</t>
  </si>
  <si>
    <t>TAR PACOTE ITAU   NOV/25</t>
  </si>
  <si>
    <t>RSCSS TOSCANO GRIL0412</t>
  </si>
  <si>
    <t>RSCSS MP  243303760412</t>
  </si>
  <si>
    <t>RSCSS TOSCANO GRIL0512</t>
  </si>
  <si>
    <t>PIX TRANSF MCS SER05/12</t>
  </si>
  <si>
    <t>RSCSS POSTO SAO SE0512</t>
  </si>
  <si>
    <t>RSCSS MP  243303760512</t>
  </si>
  <si>
    <t>RSCSS MARCOS PAULO0512</t>
  </si>
  <si>
    <t>RSHOP MP  SERGIOLU0512</t>
  </si>
  <si>
    <t>PIX TRANSF DHIONAT05/12</t>
  </si>
  <si>
    <t>RSCSS MP  SERGIOLU0512</t>
  </si>
  <si>
    <t>DESPESA COBR  NOV/25</t>
  </si>
  <si>
    <t>PIX QRS EQUATORIAL 06/12</t>
  </si>
  <si>
    <t>PIX QRS BRK AMBIENT06/12</t>
  </si>
  <si>
    <t>PIX QRS Sandra Silv06/12</t>
  </si>
  <si>
    <t>RSCSS KAREN DIAS A0612</t>
  </si>
  <si>
    <t>PIX QRS JOAO DIVINO06/12</t>
  </si>
  <si>
    <t>RSCSS NovoTomShow 0612</t>
  </si>
  <si>
    <t>RSCSS NovoTomShow 0712</t>
  </si>
  <si>
    <t>RSCCS MPL VAREJO  0712</t>
  </si>
  <si>
    <t>RSCSS GABRIELA DIS0712</t>
  </si>
  <si>
    <t>RSHOP LAYZADESOUZA0712</t>
  </si>
  <si>
    <t>RSCSS TOSCANO GRIL0812</t>
  </si>
  <si>
    <t>PIX TRANSF RIAN LE08/12</t>
  </si>
  <si>
    <t>RSCSS POSTO BANDEI0812</t>
  </si>
  <si>
    <t>PIX TRANSF RAQUEL 08/12</t>
  </si>
  <si>
    <t>PIX QRS GOOGLE BRAS08/12</t>
  </si>
  <si>
    <t>RSCSS TOSCANO GRIL0912</t>
  </si>
  <si>
    <t>RSCSS JIM COM  5010912</t>
  </si>
  <si>
    <t>RENEGOCIACAO ITAU 02/36</t>
  </si>
  <si>
    <t>PIX QRS PAGBRASIL10/12</t>
  </si>
  <si>
    <t>RSCSS TOSCANO GRIL1012</t>
  </si>
  <si>
    <t>RSCSS MP  243303761012</t>
  </si>
  <si>
    <t>RSCSS POSTO TALISM1012</t>
  </si>
  <si>
    <t>PIX TRANSF MCS SER10/12</t>
  </si>
  <si>
    <t>PIX TRANSF JOAO DE10/12</t>
  </si>
  <si>
    <t>RSCSS TOSCANO GRIL1112</t>
  </si>
  <si>
    <t>RSCSS TOSCANO GRIL1212</t>
  </si>
  <si>
    <t>RSCSS MP  243303761212</t>
  </si>
  <si>
    <t>RSHOP NovoTomShow 1212</t>
  </si>
  <si>
    <t>RSHOP NovoTomShow 1312</t>
  </si>
  <si>
    <t>RSCSS HichardRodri1312</t>
  </si>
  <si>
    <t>RSCSS PDV GRANDE M1312</t>
  </si>
  <si>
    <t>PIX QRS BYTEDANCE B13/12</t>
  </si>
  <si>
    <t>RSCSS POSTO TALISM1312</t>
  </si>
  <si>
    <t>RSHOP MP  SERGIOLU1412</t>
  </si>
  <si>
    <t>RSHOP MP  LAPLACE 1412</t>
  </si>
  <si>
    <t>RSCSS MP  243303761412</t>
  </si>
  <si>
    <t>RSHOP IlmaMarleyXa1412</t>
  </si>
  <si>
    <t>PIX QRS SHPP BRASIL14/12</t>
  </si>
  <si>
    <t>RSCSS TOSCANO GRIL1512</t>
  </si>
  <si>
    <t>RSCSS MP  EMPORIOR1512</t>
  </si>
  <si>
    <t>RSCSS TOSCANO GRIL1612</t>
  </si>
  <si>
    <t>RSCSS EmporioMaced1612</t>
  </si>
  <si>
    <t>RSCSS POSTO SAO JO1712</t>
  </si>
  <si>
    <t>RSCSS TOSCANO GRIL1712</t>
  </si>
  <si>
    <t>RSCSS MP  243303761712</t>
  </si>
  <si>
    <t>PIX TRANSF Carlos 17/12</t>
  </si>
  <si>
    <t>RSCSS UAI PAMONHAR1712</t>
  </si>
  <si>
    <t>RSCSS DROGARIA MEN1712</t>
  </si>
  <si>
    <t>RSHOP GT LTDA     1812</t>
  </si>
  <si>
    <t>RSCSS POSTO SAO JO1812</t>
  </si>
  <si>
    <t>RSCSS TOSCANO GRIL1812</t>
  </si>
  <si>
    <t>RSCSS MP  243303761812</t>
  </si>
  <si>
    <t>RSCSS TOSCANO GRIL1912</t>
  </si>
  <si>
    <t>RSHOP MP  243303761912</t>
  </si>
  <si>
    <t>RSHOP JORGE AUGUST1912</t>
  </si>
  <si>
    <t>PIX TRANSF Manoel 20/12</t>
  </si>
  <si>
    <t>PIX QRS SUPERMERCAD20/12</t>
  </si>
  <si>
    <t>RSCSS AUTO POSTO D2012</t>
  </si>
  <si>
    <t>RSCSS DAKIPRAKSA  2012</t>
  </si>
  <si>
    <t>PIX TRANSF Nilson 22/12</t>
  </si>
  <si>
    <t>RSCSS MP  243303762212</t>
  </si>
  <si>
    <t>RSCSS MP  243303762312</t>
  </si>
  <si>
    <t>RSCSS HIPERPOSTO A2512</t>
  </si>
  <si>
    <t>RSCSS COMERCIAL NR2512</t>
  </si>
  <si>
    <t>PIX QRS Ilma Marley25/12</t>
  </si>
  <si>
    <t>PIX QRS Rodrigo Per25/12</t>
  </si>
  <si>
    <t>PIX QRS IRACEMA MAY25/12</t>
  </si>
  <si>
    <t>RSCSS LindomarBarb2612</t>
  </si>
  <si>
    <t>RSCSS NovoTomShow 2712</t>
  </si>
  <si>
    <t>RSHOP NovoTomShow 2712</t>
  </si>
  <si>
    <t>PIX TRANSF THIAGO 27/12</t>
  </si>
  <si>
    <t>RSCSS BAR DO CEARA2712</t>
  </si>
  <si>
    <t>RSCSS MP  LINDALVA2712</t>
  </si>
  <si>
    <t>PIX TRANSF CAIXA E29/12</t>
  </si>
  <si>
    <t>RSCSS MP  DISTRIBU3012</t>
  </si>
  <si>
    <t>RSCSS AUTO POSTO I3012</t>
  </si>
  <si>
    <t>RSCSS MP  NAELTON 3112</t>
  </si>
  <si>
    <t>RSCSS MP  DISTIMPE0101</t>
  </si>
  <si>
    <t>PIX QRS Claro03/01</t>
  </si>
  <si>
    <t>INT /CLARO S.A 119210717</t>
  </si>
  <si>
    <t>Bomda d'água e correia dentada do celtinha</t>
  </si>
  <si>
    <t>Empréstimo à Débora a fundo perdido</t>
  </si>
  <si>
    <t>Retorno de Empréstimo do Parazin para mim</t>
  </si>
  <si>
    <t>Pamonha com a Simone Bd</t>
  </si>
  <si>
    <t>Pensão - Farmácia - lenço umedecido para Davi</t>
  </si>
  <si>
    <t>Pensão - Conta de água atrasada ref. 11/2025</t>
  </si>
  <si>
    <t>Roupas na MPolo para mim</t>
  </si>
  <si>
    <t>Chá de fraudas para colega do trabalho</t>
  </si>
  <si>
    <t>Renovação do certificado digital da MCS Serviços</t>
  </si>
  <si>
    <t>Badoo premium 1 semana</t>
  </si>
  <si>
    <t>Pensão - Plano de saúde de Alice e Davi ref. 12/2025</t>
  </si>
  <si>
    <t>Pensão - Aluguel 10/2025</t>
  </si>
  <si>
    <t>Motel Getan com a Simone Bd</t>
  </si>
  <si>
    <t>Complementar compra no supermercado em casa</t>
  </si>
  <si>
    <t>Motel AP  com a Lucineide Face</t>
  </si>
  <si>
    <t>Reembolso do Thiagão para mim, no baldinho no Tom Brasil</t>
  </si>
  <si>
    <t>Bares - Baldinho de cerveja no Tom Brasil</t>
  </si>
  <si>
    <t>Recebimento da Caixa Econômica - Juros de FGTS, MP 1331/2025</t>
  </si>
  <si>
    <t>Mensalidade do celular - em atraso</t>
  </si>
  <si>
    <t>Mensalidade do celular - em atraso - Parcela 1/5</t>
  </si>
  <si>
    <t>bares - Ganhei na sinuca</t>
  </si>
  <si>
    <t>Receita com prestação de serviços</t>
  </si>
  <si>
    <t>DAS - MCS Serviços ref. 09/2025 - Parcelar</t>
  </si>
  <si>
    <t>DAS - MCS Serviços ref. 10/2025 - Parcelar</t>
  </si>
  <si>
    <t>DAS - MCS Serviços ref. 11/2025 - Parcelar</t>
  </si>
  <si>
    <t>DAS - MCS Serviços ref. 12/2025 - Parcelar</t>
  </si>
  <si>
    <t>Multa Detran</t>
  </si>
  <si>
    <t>Despesa - Pensão</t>
  </si>
  <si>
    <t>Valor</t>
  </si>
  <si>
    <t>Qde pessoas</t>
  </si>
  <si>
    <t>Dependentes</t>
  </si>
  <si>
    <t>Vlr / pessoa</t>
  </si>
  <si>
    <t>Aluguel</t>
  </si>
  <si>
    <t>Energia</t>
  </si>
  <si>
    <t>Plano de saúde</t>
  </si>
  <si>
    <t>Água</t>
  </si>
  <si>
    <t>Parcela 1</t>
  </si>
  <si>
    <t>Farmácia e Saúde</t>
  </si>
  <si>
    <t>Parcela 2</t>
  </si>
  <si>
    <t>Parcela 3</t>
  </si>
  <si>
    <t>Renegociação cheque especial (50%)</t>
  </si>
  <si>
    <t>Parcela 4</t>
  </si>
  <si>
    <t>Total das despesas com pensão</t>
  </si>
  <si>
    <t>Parcela 5</t>
  </si>
  <si>
    <t>Parcela 6</t>
  </si>
  <si>
    <t>Parcela 7</t>
  </si>
  <si>
    <t>Parcela 8</t>
  </si>
  <si>
    <t>Despesas pessoais</t>
  </si>
  <si>
    <t>Parcela 9</t>
  </si>
  <si>
    <t>Desp. Alimentação / Refeição (26d)</t>
  </si>
  <si>
    <t>Parcela 10</t>
  </si>
  <si>
    <t>Desp. Transporte / Combustível (26d)</t>
  </si>
  <si>
    <t>Parcela 11</t>
  </si>
  <si>
    <t>Desp. Cartão de crédito - Dígio - renegociação</t>
  </si>
  <si>
    <t>Parcela 12</t>
  </si>
  <si>
    <t>Desp. Internet fixa - casa dos pais - mensal</t>
  </si>
  <si>
    <t>Desp. Telefone móvel pessoal - mensal</t>
  </si>
  <si>
    <t>Desp. Moradia - mensal</t>
  </si>
  <si>
    <t>Renegociação cheque especial mensal</t>
  </si>
  <si>
    <t>Manut. / Gastos do carro</t>
  </si>
  <si>
    <t>Pendente</t>
  </si>
  <si>
    <t>Guia do Simples Nacional ref. 10/2025</t>
  </si>
  <si>
    <t>Inadimplente</t>
  </si>
  <si>
    <t>Guia do Simples Nacional ref. 11/2025</t>
  </si>
  <si>
    <t>Guia do Simples Nacional do meu CNPJ ref. 12/2025</t>
  </si>
  <si>
    <t>IPVA 2024 -inadimplente</t>
  </si>
  <si>
    <t>Juros / Tarifas</t>
  </si>
  <si>
    <t>Variável</t>
  </si>
  <si>
    <t>Desp. Impostos e Obrigações</t>
  </si>
  <si>
    <t>Outros gastos</t>
  </si>
  <si>
    <t>Total das despesas pessoais</t>
  </si>
  <si>
    <t>Remuneração mensal</t>
  </si>
  <si>
    <t>Total despesas (pensão + pessoal)</t>
  </si>
  <si>
    <t>Lucro / Prejuízo</t>
  </si>
  <si>
    <t>Negociação</t>
  </si>
  <si>
    <t>Pensão - Aluguel 11/2025</t>
  </si>
  <si>
    <t>PIX QRS EQUATORIAL</t>
  </si>
  <si>
    <t>c</t>
  </si>
  <si>
    <t>Seu João é que pagou</t>
  </si>
  <si>
    <t>Comprovante na pasta</t>
  </si>
  <si>
    <t>2472693-1</t>
  </si>
  <si>
    <t>Pensão - Plano de saúde de Alice e Davi ref. 09/2025</t>
  </si>
  <si>
    <t>Pensão - Plano de saúde de Alice e Davi ref. 10/2025</t>
  </si>
  <si>
    <t>Pensão - Conta de energia ref. 08/2025 = 710,36 - Paguei pelo C6 Bank</t>
  </si>
  <si>
    <t>Ref</t>
  </si>
  <si>
    <t>Distribuição</t>
  </si>
  <si>
    <t>Transmissão</t>
  </si>
  <si>
    <t>Tributos</t>
  </si>
  <si>
    <t>Perdas</t>
  </si>
  <si>
    <t>ICMS</t>
  </si>
  <si>
    <t>PIS</t>
  </si>
  <si>
    <t>COFINS</t>
  </si>
  <si>
    <t>Demais Itens</t>
  </si>
  <si>
    <t>RSCSS RosimilsonMa0301</t>
  </si>
  <si>
    <t>RSCSS MARCOS PAULO0301</t>
  </si>
  <si>
    <t>RSCSS POSTO SAO JO0501</t>
  </si>
  <si>
    <t>RSCSS TOSCANO GRIL0501</t>
  </si>
  <si>
    <t>RSCSS MP  243303760501</t>
  </si>
  <si>
    <t>RSCSS DROGARIA MEN0501</t>
  </si>
  <si>
    <t>RSCSS LindomarBarb0501</t>
  </si>
  <si>
    <t>TAR PACOTE ITAU   DEZ/25</t>
  </si>
  <si>
    <t>RSCSS POSTO SAO JO0601</t>
  </si>
  <si>
    <t>RSCSS MP  243303760601</t>
  </si>
  <si>
    <t>PIX TRANSF MCS SER07/01</t>
  </si>
  <si>
    <t>RSCSS MP  243303760701</t>
  </si>
  <si>
    <t>RSCSS BAR ENCONTRO0701</t>
  </si>
  <si>
    <t>PIX QRS CLIENT CO S07/01</t>
  </si>
  <si>
    <t>RSCSS POSTO SAO JO0801</t>
  </si>
  <si>
    <t>RSCSS TOSCANO GRIL0801</t>
  </si>
  <si>
    <t>RSCSS MP  243303760801</t>
  </si>
  <si>
    <t>RSCSS TOSCANO GRIL0901</t>
  </si>
  <si>
    <t>RSCSS MP  243303760901</t>
  </si>
  <si>
    <t>PIX TRANSF VANESSA09/01</t>
  </si>
  <si>
    <t>RSCSS ESPETINHO BA0901</t>
  </si>
  <si>
    <t>RSHOP HIPERPOSTO A0901</t>
  </si>
  <si>
    <t>RSHOP BAR DO GAUCH1001</t>
  </si>
  <si>
    <t>RSCSS BAR DO GAUCH1001</t>
  </si>
  <si>
    <t>RSCSS MP  REIDASBU1001</t>
  </si>
  <si>
    <t>RSCSS MP  243303761001</t>
  </si>
  <si>
    <t>RSCSS POSTO TALISM1001</t>
  </si>
  <si>
    <t>RSCSS NovoTomShow 1001</t>
  </si>
  <si>
    <t>RSCSS NovoTomShow 1101</t>
  </si>
  <si>
    <t>RSCSS A TEM DE TUD1101</t>
  </si>
  <si>
    <t>PIX TRANSF Irapuan11/01</t>
  </si>
  <si>
    <t>PIX TRANSF JOSIMAR11/01</t>
  </si>
  <si>
    <t>RSCSS 61879511Layz1101</t>
  </si>
  <si>
    <t>RSCSS POSTO SAO JO1201</t>
  </si>
  <si>
    <t>RENEGOCIACAO ITAU 03/36</t>
  </si>
  <si>
    <t>RSCSS MP  EMPORIOR1201</t>
  </si>
  <si>
    <t>PIX TRANSF JOAO DE12/01</t>
  </si>
  <si>
    <t>PIX TRANSF MCS SER12/01</t>
  </si>
  <si>
    <t>PIX QRS EQUATORIAL 12/01</t>
  </si>
  <si>
    <t>RSCSS MP  243303761201</t>
  </si>
  <si>
    <t>RSCSS RESTAURANTE 1301</t>
  </si>
  <si>
    <t>RSCSS CAFE CENTRAL1401</t>
  </si>
  <si>
    <t>RSCSS 60 373 469 E1401</t>
  </si>
  <si>
    <t>RSCSS POSTO SAO JO1501</t>
  </si>
  <si>
    <t>RSCSS CAFE CENTRAL1501</t>
  </si>
  <si>
    <t>RSCSS CAFE CENTRAL1601</t>
  </si>
  <si>
    <t>RSCSS TIRADENTES M1601</t>
  </si>
  <si>
    <t>RSHOP RosimilsonMa1701</t>
  </si>
  <si>
    <t>RSHOP NovoTomShow 1701</t>
  </si>
  <si>
    <t>PIX TRANSF CICERO 17/01</t>
  </si>
  <si>
    <t>RSCSS NovoTomShow 1701</t>
  </si>
  <si>
    <t>RSCSS POSTO SAO SE1701</t>
  </si>
  <si>
    <t>RSCSS PDV GRANDE M1701</t>
  </si>
  <si>
    <t>RSCSS MP  243303761701</t>
  </si>
  <si>
    <t>RSCSS MP  ANDREIAC1801</t>
  </si>
  <si>
    <t>RSHOP POSTO SAO JO1901</t>
  </si>
  <si>
    <t>RSCSS CAFE CENTRAL1901</t>
  </si>
  <si>
    <t>RSCSS MP  243303761901</t>
  </si>
  <si>
    <t>RSCSS CAFE CENTRAL2001</t>
  </si>
  <si>
    <t>RSCSS MP  243303762001</t>
  </si>
  <si>
    <t>RSCSS POSTO SAO JO2101</t>
  </si>
  <si>
    <t>RSCSS CAFE CENTRAL2101</t>
  </si>
  <si>
    <t>RSCSS MP  243303762101</t>
  </si>
  <si>
    <t>RSCSS CAFE CENTRAL2201</t>
  </si>
  <si>
    <t>RSCSS MP  243303762201</t>
  </si>
  <si>
    <t>RSCSS POSTO SAO JO2301</t>
  </si>
  <si>
    <t>RSCSS COMIDA CASEI2301</t>
  </si>
  <si>
    <t>RSHOP SHEKINAH BOL2301</t>
  </si>
  <si>
    <t>RSCSS NovoTomShow 2301</t>
  </si>
  <si>
    <t>RSCSS NovoTomShow 2401</t>
  </si>
  <si>
    <t>RSCSS ALINE DA SIL2401</t>
  </si>
  <si>
    <t>RSCSS POSTO TALISM2401</t>
  </si>
  <si>
    <t>RSCSS 57493274Luiz2401</t>
  </si>
  <si>
    <t>RSHOP PAYGO JOAQUI2401</t>
  </si>
  <si>
    <t>PIX QRS Raimundo da25/01</t>
  </si>
  <si>
    <t>RSCSS ROUTE 40    2501</t>
  </si>
  <si>
    <t>RSCSS MP  DISTRIBA2501</t>
  </si>
  <si>
    <t>RSCSS 52501198Mari2501</t>
  </si>
  <si>
    <t>RSCSS CAFE CENTRAL2601</t>
  </si>
  <si>
    <t>RSCSS MP  243303762601</t>
  </si>
  <si>
    <t>RSCSS CAFE CENTRAL2701</t>
  </si>
  <si>
    <t>RSCSS MP  243303762701</t>
  </si>
  <si>
    <t>RSCSS POSTO SAO JO2801</t>
  </si>
  <si>
    <t>RSCSS CAFE CENTRAL2801</t>
  </si>
  <si>
    <t>RSCSS MP  243303762801</t>
  </si>
  <si>
    <t>RSCSS CAFE CENTRAL2901</t>
  </si>
  <si>
    <t>RSCSS JIM COM  MAR2901</t>
  </si>
  <si>
    <t>RSCSS POSTO TALISM2901</t>
  </si>
  <si>
    <t>RSCSS MP  243303762901</t>
  </si>
  <si>
    <t>RSHOP POSTO TALISM3001</t>
  </si>
  <si>
    <t>RSHOP Marcossobrin3001</t>
  </si>
  <si>
    <t>RSHOP MALIBU PREMI3001</t>
  </si>
  <si>
    <t>RSHOP MALIBU PREMI3101</t>
  </si>
  <si>
    <t>RSHOP DieleSouzaDo3101</t>
  </si>
  <si>
    <t>RSCSS BanquetasDeO0102</t>
  </si>
  <si>
    <t>RSCSS CAFE CENTRAL0202</t>
  </si>
  <si>
    <t>RSCSS rp3 PASTELAR0202</t>
  </si>
  <si>
    <t>RSCSS CAFE CENTRAL0302</t>
  </si>
  <si>
    <t>RSCSS SiriaVieiraV0302</t>
  </si>
  <si>
    <t>RSCSS POSTO BANDEI0302</t>
  </si>
  <si>
    <t>RSCSS RosimilsonMa0302</t>
  </si>
  <si>
    <t>PIX TRANSF DIEGO P04/02</t>
  </si>
  <si>
    <t>PIX TRANSF MCS SER06/02</t>
  </si>
  <si>
    <t>RSCSS POSTO BANDEI0602</t>
  </si>
  <si>
    <t>RSCSS MP  243303760602</t>
  </si>
  <si>
    <t>RSCSS NovoTomShow 0602</t>
  </si>
  <si>
    <t>TAR PACOTE ITAU   JAN/26</t>
  </si>
  <si>
    <t>RSCSS NovoTomShow 0702</t>
  </si>
  <si>
    <t>RSHOP R P A COMERC0702</t>
  </si>
  <si>
    <t>PIX TRANSF PRIME E07/02</t>
  </si>
  <si>
    <t>PIX QRS SUPERMERCAD07/02</t>
  </si>
  <si>
    <t>PIX QRS AIBR INSTIT07/02</t>
  </si>
  <si>
    <t>RSCSS CONTEINER BE0702</t>
  </si>
  <si>
    <t>RSCSS POSTO R1    0702</t>
  </si>
  <si>
    <t>RSCSS MP  FLAVIOMO0702</t>
  </si>
  <si>
    <t>RSCSS MP  FLAVIOMO0802</t>
  </si>
  <si>
    <t>RSCSS NovoTomShow 0802</t>
  </si>
  <si>
    <t>RSCSS RosimilsonMa0802</t>
  </si>
  <si>
    <t>DEV PIX AIBR INSTIT08/02</t>
  </si>
  <si>
    <t>RSCSS CAFE CENTRAL0902</t>
  </si>
  <si>
    <t>PIX QRS CLIENT CO S09/02</t>
  </si>
  <si>
    <t>PIX QRS EQUATORIAL 09/02</t>
  </si>
  <si>
    <t>PIX TRANSF JOAO DE09/02</t>
  </si>
  <si>
    <t>Pensão - Aluguel 12/2025</t>
  </si>
  <si>
    <t>Vaquejada - Caldo de feijão</t>
  </si>
  <si>
    <t>Vaquejada - Dose de Paratudo</t>
  </si>
  <si>
    <t>Vaquejada - Latinha de Amstel</t>
  </si>
  <si>
    <t>Vaquejada - Jantinha</t>
  </si>
  <si>
    <t>Devolução de compra de caneta pigmentadora</t>
  </si>
  <si>
    <t>Ajuda em casa - Supermercado</t>
  </si>
  <si>
    <t>Lavajato do Celta</t>
  </si>
  <si>
    <t>Wafer e suco no Sup Juliano no Cristal</t>
  </si>
  <si>
    <t>Compra de caneta pigmentadora</t>
  </si>
  <si>
    <t>Pensão - Plano de saúde de Alice e Davi ref. 01/2026</t>
  </si>
  <si>
    <t>Bares - Conta que estava em aberto no Derley</t>
  </si>
  <si>
    <t>Recebimento da Caixa Econômica - TED</t>
  </si>
  <si>
    <t>Suco de caju na Av. Goiás após o almoço no Café Central</t>
  </si>
  <si>
    <t>Palheiro - Barzinho na Av. Goiás após o almoço</t>
  </si>
  <si>
    <t>Bares - Show do Washington Brasileiro na Malibu</t>
  </si>
  <si>
    <t>Bares - Derley</t>
  </si>
  <si>
    <t>Bares - Independência Mansões</t>
  </si>
  <si>
    <t>Bares - Joaquim Bar</t>
  </si>
  <si>
    <t>Almoço</t>
  </si>
  <si>
    <t>Pensão - Luvas descartáveis para Alice - 2 pares</t>
  </si>
  <si>
    <t>Bares - na dúvida classifiquei assim</t>
  </si>
  <si>
    <t>Óculos escuro</t>
  </si>
  <si>
    <t>Tem de Tudo Show</t>
  </si>
  <si>
    <t>Rei das Bujingangas</t>
  </si>
  <si>
    <t>Espetinho</t>
  </si>
  <si>
    <t>Paguei o requeijão</t>
  </si>
  <si>
    <t>RENEGOCIACAO ITAU 04/36</t>
  </si>
  <si>
    <t>PIX TRANSF ABRAAO 10/02</t>
  </si>
  <si>
    <t>PIX QRS PPL DISTRIB10/02</t>
  </si>
  <si>
    <t>RSCSS CAFE CENTRAL1002</t>
  </si>
  <si>
    <t>RSCSS POSTO BANDEI1002</t>
  </si>
  <si>
    <t>PIX QRS BYTEDANCE B10/02</t>
  </si>
  <si>
    <t>RSCSS MP  243303761002</t>
  </si>
  <si>
    <t>PIX TRANSF Igor Ba11/02</t>
  </si>
  <si>
    <t>RSCSS EMPORIO 51  1102</t>
  </si>
  <si>
    <t>RSCSS EnholitaCard1102</t>
  </si>
  <si>
    <t>RSCSS CAFE CENTRAL1202</t>
  </si>
  <si>
    <t>RSCSS POSTO DE COM1202</t>
  </si>
  <si>
    <t>RSCSS MP  243303761202</t>
  </si>
  <si>
    <t>RSHOP MARCOS PAULO1202</t>
  </si>
  <si>
    <t>RSHOP CAFE CENTRAL1302</t>
  </si>
  <si>
    <t>PIX QRS DETRANGO13/02</t>
  </si>
  <si>
    <t>PIX TRANSF MCS SER13/02</t>
  </si>
  <si>
    <t>RSHOP MP  243303761302</t>
  </si>
  <si>
    <t>RSCSS PDV GRANDE M1402</t>
  </si>
  <si>
    <t>PIX QRS NU PAGAMENT14/02</t>
  </si>
  <si>
    <t>RSHOP NovoTomShow 1402</t>
  </si>
  <si>
    <t>RSCSS NovoTomShow 1502</t>
  </si>
  <si>
    <t>PIX QRS GOOGLE BRAS16/02</t>
  </si>
  <si>
    <t>PIX TRANSF JoÃ£o de17/02</t>
  </si>
  <si>
    <t>RSCSS MP  243303761702</t>
  </si>
  <si>
    <t>RSCSS MARCOS PAULO1702</t>
  </si>
  <si>
    <t>RSCSS POSTO GEMA  1702</t>
  </si>
  <si>
    <t>RSCSS CAFE CENTRAL1802</t>
  </si>
  <si>
    <t>RSCSS SiriaVieiraV1802</t>
  </si>
  <si>
    <t>RSCSS MP  243303761802</t>
  </si>
  <si>
    <t>RSCSS DISTRIBUIDOR1802</t>
  </si>
  <si>
    <t>RSCSS CAFE CENTRAL1902</t>
  </si>
  <si>
    <t>RSCSS MP  EMPORIOR1902</t>
  </si>
  <si>
    <t>RSCSS MP  243303761902</t>
  </si>
  <si>
    <t>PIX TRANSF DIEGO P19/02</t>
  </si>
  <si>
    <t>RSCSS POSTO SAO SE1902</t>
  </si>
  <si>
    <t>PIX QRS BAR DO CEAR19/02</t>
  </si>
  <si>
    <t>PIX QRS PAGBRASIL20/02</t>
  </si>
  <si>
    <t>RSHOP CAFE CENTRAL2002</t>
  </si>
  <si>
    <t>RSCSS EnholitaCard2002</t>
  </si>
  <si>
    <t>RSCSS RosimilsonMa2002</t>
  </si>
  <si>
    <t>RSCSS BAR DO CEARA2002</t>
  </si>
  <si>
    <t>RSCSS MP  SERGIOLU2002</t>
  </si>
  <si>
    <t>RSHOP NovoTomShow 2102</t>
  </si>
  <si>
    <t>RSCSS MP  243303762102</t>
  </si>
  <si>
    <t>RSCSS MARCOS PAULO2102</t>
  </si>
  <si>
    <t>RSCSS POSTO GEMA  2102</t>
  </si>
  <si>
    <t>RSCSS DISTRIBUIDOR2102</t>
  </si>
  <si>
    <t>RSCSS ALINE DA SIL2102</t>
  </si>
  <si>
    <t>RSCSS OXENTE BAR E2202</t>
  </si>
  <si>
    <t>RSHOP MP  SERGIOLU2202</t>
  </si>
  <si>
    <t>RSCSS MP  243303762202</t>
  </si>
  <si>
    <t>RSCSS ThiagoMarque2202</t>
  </si>
  <si>
    <t>RSCSS CAFE CENTRAL2302</t>
  </si>
  <si>
    <t>RSCSS POSTO DE COM2302</t>
  </si>
  <si>
    <t>RSCSS BAR DO CEARA2302</t>
  </si>
  <si>
    <t>RSCSS CAFE CENTRAL2402</t>
  </si>
  <si>
    <t>RSCSS MP  243303762402</t>
  </si>
  <si>
    <t>RSCSS MARCOS PAULO2402</t>
  </si>
  <si>
    <t>RSCSS CAFE CENTRAL2502</t>
  </si>
  <si>
    <t>RSCSS CAFE CENTRAL2602</t>
  </si>
  <si>
    <t>RSCSS PDV GRANDE M2602</t>
  </si>
  <si>
    <t>RSHOP AUTO POSTO C2702</t>
  </si>
  <si>
    <t>RSCSS RESTAURANTE 2702</t>
  </si>
  <si>
    <t>PIX TRANSF Manuell28/02</t>
  </si>
  <si>
    <t>PIX TRANSF Maykell28/02</t>
  </si>
  <si>
    <t>PIX TRANSF GABRIEL28/02</t>
  </si>
  <si>
    <t>PIX QRS Claro02/03</t>
  </si>
  <si>
    <t>PIX TRANSF LEANDRO02/03</t>
  </si>
  <si>
    <t>PIX TRANSF MCS SER02/03</t>
  </si>
  <si>
    <t>TAR PACOTE ITAU   FEV/26</t>
  </si>
  <si>
    <t>PIX TRANSF MCS SER06/03</t>
  </si>
  <si>
    <t>PIX TRANSF JOAO DE09/03</t>
  </si>
  <si>
    <t>PIX TRANSF MCS SER09/03</t>
  </si>
  <si>
    <t>PIX QRS EQUATORIAL 09/03</t>
  </si>
  <si>
    <t>Maquiagem capilar</t>
  </si>
  <si>
    <t>Vaquinha para ir no almoço da Abrao no interior</t>
  </si>
  <si>
    <t>IPVA ref. 2025</t>
  </si>
  <si>
    <t>Cartão de crédito NuBanc</t>
  </si>
  <si>
    <t>Badoo Premium 1 semana</t>
  </si>
  <si>
    <t>Pensão - Aluguel 01/2025</t>
  </si>
  <si>
    <t>Pensão - Aluguel 02/2025</t>
  </si>
  <si>
    <t>Pensão - Farmácia - Lenço umedecido para Davi</t>
  </si>
  <si>
    <t>Cerveja na casa de Deka - comemorar casamento de Manu</t>
  </si>
  <si>
    <t>Pensão - Plano de saúde de Alice e Davi ref. 02/2026</t>
  </si>
  <si>
    <t>Pensão - Conta de energia ref. 01/2026</t>
  </si>
  <si>
    <t>Pensão - Conta de energia ref. 02/2026</t>
  </si>
  <si>
    <t>PIX QRS CLIENT CO S09/03</t>
  </si>
  <si>
    <t>Internet casa dos meus pais ref. 02/2026</t>
  </si>
  <si>
    <t>Internet casa dos meus pais ref. 01/2026</t>
  </si>
  <si>
    <t>Internet casa dos meus pais ref. 12/2025</t>
  </si>
  <si>
    <t>PIX QRS SHPP BRASIL09/03</t>
  </si>
  <si>
    <t>RENEGOCIACAO ITAU 05/36</t>
  </si>
  <si>
    <t>PIX TRANSF MANUELL11/03</t>
  </si>
  <si>
    <t>PIX TRANSF DIEGO P12/03</t>
  </si>
  <si>
    <t>RSCSS NovoTomShow 1403</t>
  </si>
  <si>
    <t>RSCSS POSTO BANDEI1603</t>
  </si>
  <si>
    <t>PIX QRS DETRANGO17/03</t>
  </si>
  <si>
    <t>RSCSS LOJAS POTIGU2003</t>
  </si>
  <si>
    <t>RSCSS MP  SERGIOLU2003</t>
  </si>
  <si>
    <t>RSCSS MEGA BUTEKO 2003</t>
  </si>
  <si>
    <t>RSCSS ALINE DA SIL2003</t>
  </si>
  <si>
    <t>RSCSS OXENTE BAR E2003</t>
  </si>
  <si>
    <t>RSCSS NovoTomShow 2103</t>
  </si>
  <si>
    <t>RSCCS ATACADAO DIA2203</t>
  </si>
  <si>
    <t>RSCSS DROGATEM    2203</t>
  </si>
  <si>
    <t>RSCSS POSTO TALISM2203</t>
  </si>
  <si>
    <t>RSCSS BanquetasDeO2203</t>
  </si>
  <si>
    <t>RSCSS MP  RALFMANR2203</t>
  </si>
  <si>
    <t>PIX QRS PAGBRASIL22/03</t>
  </si>
  <si>
    <t>RSCSS POSTO BANDEI2603</t>
  </si>
  <si>
    <t>PIX TRANSF Fernand27/03</t>
  </si>
  <si>
    <t>PIX QRS CLARO28/03</t>
  </si>
  <si>
    <t>PIX TRANSF Eliana 28/03</t>
  </si>
  <si>
    <t>PIX TRANSF MANUELL28/03</t>
  </si>
  <si>
    <t>PIX TRANSF CARLOS 29/03</t>
  </si>
  <si>
    <t>RSCSS AUTO POSTO C2903</t>
  </si>
  <si>
    <t>PIX QRS BRK AMBIENT30/03</t>
  </si>
  <si>
    <t>RSCSS PDV GRANDE M3003</t>
  </si>
  <si>
    <t>RSCSS SUPER BOM AT3003</t>
  </si>
  <si>
    <t>PIX TRANSF Maria R31/03</t>
  </si>
  <si>
    <t>PIX QRS JOAO DIVINO31/03</t>
  </si>
  <si>
    <t>PIX QRS Alessandro 31/03</t>
  </si>
  <si>
    <t>PIX QRS Maria Raimu31/03</t>
  </si>
  <si>
    <t>PIX TRANSF Ãngelo 01/04</t>
  </si>
  <si>
    <t>RSCSS AUTO POSTO C0204</t>
  </si>
  <si>
    <t>RSCSS CAFE CENTRAL0204</t>
  </si>
  <si>
    <t>PIX TRANSF MCS SER02/04</t>
  </si>
  <si>
    <t>RSCSS BAIUCA DISTR0204</t>
  </si>
  <si>
    <t>TAR PACOTE ITAU   MAR/26</t>
  </si>
  <si>
    <t>RSHOP LOJAS AVENID0304</t>
  </si>
  <si>
    <t>RSHOP JIM COM  5010304</t>
  </si>
  <si>
    <t>PIX QRS CLIENT CO S04/04</t>
  </si>
  <si>
    <t>PIX QRS Moda Mundia04/04</t>
  </si>
  <si>
    <t>PIX QRS MODA MUNDIA04/04</t>
  </si>
  <si>
    <t>PIX QRS SHPP BRASIL04/04</t>
  </si>
  <si>
    <t>RSCSS POSTO GEMA  0404</t>
  </si>
  <si>
    <t>RSCSS BAIUCA DISTR0404</t>
  </si>
  <si>
    <t>RSCSS BERTE BAR   0404</t>
  </si>
  <si>
    <t>RSCSS BAR DO GAUCH0504</t>
  </si>
  <si>
    <t>RSCCS MERCADO TATI0504</t>
  </si>
  <si>
    <t>PIX TRANSF MCS SER05/04</t>
  </si>
  <si>
    <t>PIX TRANSF Irapuan05/04</t>
  </si>
  <si>
    <t>RSCSS-DISTRIBUIDO-05/04</t>
  </si>
  <si>
    <t>RSCSS-MP *PESQUEP-05/04</t>
  </si>
  <si>
    <t>RSCSS-TAYNARABARB-05/04</t>
  </si>
  <si>
    <t>RSCSS CAFE CENTRAL0704</t>
  </si>
  <si>
    <t>RSCSS CAFE CENTRAL0804</t>
  </si>
  <si>
    <t>RSCSS POSTO BANDEI0804</t>
  </si>
  <si>
    <t>RSCSS CAFE CENTRAL0904</t>
  </si>
  <si>
    <t>PIX TRANSF DIEGO P09/04</t>
  </si>
  <si>
    <t>RSCSS-GT LTDA    -09/04</t>
  </si>
  <si>
    <t>RSCSS-LOJAS POTIG-09/04</t>
  </si>
  <si>
    <t>RENEGOCIACAO ITAU 06/36</t>
  </si>
  <si>
    <t>PIX TRANSF MCS SER10/04</t>
  </si>
  <si>
    <t>RSCSS XERIFE EXPRE1004</t>
  </si>
  <si>
    <t>PIX TRANSF Manuell10/04</t>
  </si>
  <si>
    <t>RSCSS POSTO SAO SE1004</t>
  </si>
  <si>
    <t>RSCSS BAIUCA DISTR1104</t>
  </si>
  <si>
    <t>RSHOP MP  ORIENTEB1104</t>
  </si>
  <si>
    <t>RSCSS ALINE DA SIL1104</t>
  </si>
  <si>
    <t>RSCSS NovoTomShow 1104</t>
  </si>
  <si>
    <t>RSCSS MP  ORIENTEB1104</t>
  </si>
  <si>
    <t>RSCSS ATACADAO DIA1104</t>
  </si>
  <si>
    <t>RSCSS PDV GRANDE M1104</t>
  </si>
  <si>
    <t>RSCSS JIM COM  5011104</t>
  </si>
  <si>
    <t>RSCSS SUPERMERCADO1104</t>
  </si>
  <si>
    <t>PIX TRANSF Eliana 11/04</t>
  </si>
  <si>
    <t>RSCSS MARCOS PAULO1104</t>
  </si>
  <si>
    <t>RSCSS BERTE BAR   1104</t>
  </si>
  <si>
    <t>RSCSS-BAR DO GAUC-12/04</t>
  </si>
  <si>
    <t>PIX TRANSF Maykell12/04</t>
  </si>
  <si>
    <t>RSCSS EMPORIO PARA1204</t>
  </si>
  <si>
    <t>RSCSS POSTO TALISM1204</t>
  </si>
  <si>
    <t>RSCSS CAFE CENTRAL1304</t>
  </si>
  <si>
    <t>RSCSS MP  243303761304</t>
  </si>
  <si>
    <t>RSCSS MARCOS PAULO1304</t>
  </si>
  <si>
    <t>RSCSS 60 373 469 E1304</t>
  </si>
  <si>
    <t>PIX TRANSF MCS SER14/04</t>
  </si>
  <si>
    <t>RSHOP POSTO BANDEI1404</t>
  </si>
  <si>
    <t>PIX TRANSF JOAO DE14/04</t>
  </si>
  <si>
    <t>RSHOP VanderleiDaS1404</t>
  </si>
  <si>
    <t>RSHOP CAFE CENTRAL1504</t>
  </si>
  <si>
    <t>RSHOP BAIUCA DISTR1504</t>
  </si>
  <si>
    <t>RSHOP LOJAS POTIGU1504</t>
  </si>
  <si>
    <t>RSHOP CAFE CENTRAL1604</t>
  </si>
  <si>
    <t>RSHOP JINGXIANG   1604</t>
  </si>
  <si>
    <t>RSHOP MiniBoxHidro1604</t>
  </si>
  <si>
    <t>PIX TRANSF MANUELL16/04</t>
  </si>
  <si>
    <t>PIX TRANSF MCS SER16/04</t>
  </si>
  <si>
    <t>RSHOP POSTO DE COM1704</t>
  </si>
  <si>
    <t>RSHOP RosildaMaria1704</t>
  </si>
  <si>
    <t>RSHOP BAIUCA DISTR1804</t>
  </si>
  <si>
    <t>RSHOP MP  ORIENTEB1804</t>
  </si>
  <si>
    <t>RSHOP NovoTomShow 1804</t>
  </si>
  <si>
    <t>RSHOP MP  IARABIJU1804</t>
  </si>
  <si>
    <t>RSHOP PONTO DE APO1804</t>
  </si>
  <si>
    <t>RSHOP BAR ENCONTRO1904</t>
  </si>
  <si>
    <t>RSHOP MP  ORIENTEB1904</t>
  </si>
  <si>
    <t>RSHOP BAIUCA DISTR1904</t>
  </si>
  <si>
    <t>PIX TRANSF MCS SER19/04</t>
  </si>
  <si>
    <t>RSHOP AUTO POSTO C1904</t>
  </si>
  <si>
    <t>RSHOP RANCHO PAYOL1904</t>
  </si>
  <si>
    <t>RSHOP JUNIOR S DIS1904</t>
  </si>
  <si>
    <t>RSHOP TM LTDA     2004</t>
  </si>
  <si>
    <t>RSHOP MP  ORIENTEB2004</t>
  </si>
  <si>
    <t>RSHOP LOJAS POTIGU2004</t>
  </si>
  <si>
    <t>RSHOP PDV GRANDE M2104</t>
  </si>
  <si>
    <t>PIX QRS DALMA MARIA22/04</t>
  </si>
  <si>
    <t>PIX QRS GOOGLE BRAS22/04</t>
  </si>
  <si>
    <t>PIX QRS POSTO DE CO22/04</t>
  </si>
  <si>
    <t>PIX QRS DROGAMARYS22/04</t>
  </si>
  <si>
    <t>PIX QRS ATACADAO DI22/04</t>
  </si>
  <si>
    <t>PIX QRS RECEITA FED22/04</t>
  </si>
  <si>
    <t>INT /DARF 01261124993813</t>
  </si>
  <si>
    <t>RSHOP CAFE CENTRAL2304</t>
  </si>
  <si>
    <t>PIX QRS Bruno Alves23/04</t>
  </si>
  <si>
    <t>RSHOP MP  243303762304</t>
  </si>
  <si>
    <t>RSHOP BAR DO CEARA2304</t>
  </si>
  <si>
    <t>RSHOP CAFE CENTRAL2404</t>
  </si>
  <si>
    <t>RSHOP JINGXIANG JC2404</t>
  </si>
  <si>
    <t>RSHOP ElieteDosSan2404</t>
  </si>
  <si>
    <t>RSHOP RosildaMaria2404</t>
  </si>
  <si>
    <t>RSHOP MP  243303762404</t>
  </si>
  <si>
    <t>RSHOP IlmaMarleyXa2504</t>
  </si>
  <si>
    <t>PIX QRS EQUATORIAL 25/04</t>
  </si>
  <si>
    <t>PIX TRANSF MCS SER25/04</t>
  </si>
  <si>
    <t>RSHOP POSTO TALISM2504</t>
  </si>
  <si>
    <t>RSHOP BAR DO CEARA2504</t>
  </si>
  <si>
    <t>RSHOP Marcossobrin2504</t>
  </si>
  <si>
    <t>RSHOP DPS HOTEL SP2604</t>
  </si>
  <si>
    <t>RSHOP VALORI  OKTO2604</t>
  </si>
  <si>
    <t>Manu cuidar de Davi</t>
  </si>
  <si>
    <t>Maquiagem de cabelo marrom escuro</t>
  </si>
  <si>
    <t>IPVA ref. 2026</t>
  </si>
  <si>
    <t>Cha de fraldas Daniel AS</t>
  </si>
  <si>
    <t>Empréstimo à Eliana T a fundo perdido</t>
  </si>
  <si>
    <t>Empréstimo à Arubu</t>
  </si>
  <si>
    <t>Pensão - Conta de água atrasada - após cortar a água</t>
  </si>
  <si>
    <t>Bares - Baiuca</t>
  </si>
  <si>
    <t>Comrpa de sapatos</t>
  </si>
  <si>
    <t>Internet casa dos meus pais ref. 03/2026</t>
  </si>
  <si>
    <t>Compra na internet</t>
  </si>
  <si>
    <t>Óculos na feirinha da Cidade Livre</t>
  </si>
  <si>
    <t>Pesque pag 2 irmãs</t>
  </si>
  <si>
    <t>Pensão - Plano de saúde de Alice e Davi ref. 03/2026</t>
  </si>
  <si>
    <t>Reembolso de gastos do Gauchinho</t>
  </si>
  <si>
    <t>Pensão - Aluguel 03/2025</t>
  </si>
  <si>
    <t>Compra de lâminas de barbear</t>
  </si>
  <si>
    <t>Bares - Com a Mônica Tom</t>
  </si>
  <si>
    <t>Motel com a Mônica Tom</t>
  </si>
  <si>
    <t>Bares - Caixinha de Heineken antes do motel com a Mônica Tom</t>
  </si>
  <si>
    <t>Pagamento de DAS ref. 01/2026 atrasado</t>
  </si>
  <si>
    <t>Pagamento de DAS MEI atrasado</t>
  </si>
  <si>
    <t>Compra de caderno com a Natália</t>
  </si>
  <si>
    <t>Pensão - Conta de energia ref. 03/2026</t>
  </si>
  <si>
    <t>Pensão - Conta de energia ref. 04/2026</t>
  </si>
  <si>
    <t>Bares - Rancho do Barba com a Mônica Tom</t>
  </si>
  <si>
    <t>Chopp na feirinha da Cidade Livre</t>
  </si>
  <si>
    <t>Pensão - Conta de água ref. 04/2025</t>
  </si>
  <si>
    <t>Pensão - Aluguel 05/2025</t>
  </si>
  <si>
    <t>Pensão - Plano de saúde de Alice e Davi ref. 04/2025</t>
  </si>
  <si>
    <t>Renegociação cheque especial parcela 10/18</t>
  </si>
  <si>
    <t>RSHOP CAFE CENTRAL2704</t>
  </si>
  <si>
    <t>RSHOP PAPELARIA NA2704</t>
  </si>
  <si>
    <t>RSHOP MP  243303762704</t>
  </si>
  <si>
    <t>RSHOP CAFE CENTRAL2804</t>
  </si>
  <si>
    <t>RSHOP MP  243303762804</t>
  </si>
  <si>
    <t>RSHOP-AUTO POSTO -29/04</t>
  </si>
  <si>
    <t>RSHOP MP  EMPORIOH2904</t>
  </si>
  <si>
    <t>PIX TRANSF Ãngelo 29/04</t>
  </si>
  <si>
    <t>RSHOP CAFE CENTRAL3004</t>
  </si>
  <si>
    <t>RSHOP JINGXIANG   3004</t>
  </si>
  <si>
    <t>PIX TRANSF Carlos 01/05</t>
  </si>
  <si>
    <t>RSHOP AUTO POSTO G0105</t>
  </si>
  <si>
    <t>RSHOP AUTOZONE    0105</t>
  </si>
  <si>
    <t>INT PRE-PAGOXXXXX  9424</t>
  </si>
  <si>
    <t>PIX TRANSF SM PECA02/05</t>
  </si>
  <si>
    <t>PIX QRS HIDELBRANDO02/05</t>
  </si>
  <si>
    <t>PIX TRANSF Carlos 02/05</t>
  </si>
  <si>
    <t>RSHOP POSTO TALISM0305</t>
  </si>
  <si>
    <t>RSHOP CAFE CENTRAL0405</t>
  </si>
  <si>
    <t>RSHOP CAFE CENTRAL0505</t>
  </si>
  <si>
    <t>RSHOP RosildaMaria0505</t>
  </si>
  <si>
    <t>RSHOP-LOJAS POTIG-05/05</t>
  </si>
  <si>
    <t>TAR PACOTE ITAU   ABR/26</t>
  </si>
  <si>
    <t>RSHOP CAFE CENTRAL0605</t>
  </si>
  <si>
    <t>RSHOP SiriaVieiraV0605</t>
  </si>
  <si>
    <t>PIX TRANSF CARLOS 06/05</t>
  </si>
  <si>
    <t>RSHOP POSTO DE COM0605</t>
  </si>
  <si>
    <t>RSHOP MiniBoxHidro0605</t>
  </si>
  <si>
    <t>RSHOP LOJAS POTIGU0605</t>
  </si>
  <si>
    <t>RSHOP BAIUCA DISTR0605</t>
  </si>
  <si>
    <t>RSHOP CAFE CENTRAL0705</t>
  </si>
  <si>
    <t>PIX TRANSF MCS SER07/05</t>
  </si>
  <si>
    <t>PIX QRS Edmar Dias 08/05</t>
  </si>
  <si>
    <t>RSHOP CAFE CENTRAL0805</t>
  </si>
  <si>
    <t>ESTORNO            RSHOP  CAFE CENTRAL</t>
  </si>
  <si>
    <t>RSHOP EMPORIO DAS 0805</t>
  </si>
  <si>
    <t>RSHOP-BAIUCA DIST-08/05</t>
  </si>
  <si>
    <t>PIX TRANSF MS PECA09/05</t>
  </si>
  <si>
    <t>PIX TRANSF Alair C09/05</t>
  </si>
  <si>
    <t>RSHOP 63423858Dani0905</t>
  </si>
  <si>
    <t>PIX TRANSF PRIME E09/05</t>
  </si>
  <si>
    <t>RSHOP SUPERMERCADO0905</t>
  </si>
  <si>
    <t>RSHOP-MP  ORIENTE-09/05</t>
  </si>
  <si>
    <t>RSHOP ALINE DA SIL1005</t>
  </si>
  <si>
    <t>RSHOP NovoTomShow 1005</t>
  </si>
  <si>
    <t>RSHOP ATACADAO DIA1005</t>
  </si>
  <si>
    <t>PIX TRANSF MCS SER10/05</t>
  </si>
  <si>
    <t>RSHOP R P A COMERC1005</t>
  </si>
  <si>
    <t>RSHOP-PDV GRANDE -10/05</t>
  </si>
  <si>
    <t>RSHOP DONIZETE MAN1005</t>
  </si>
  <si>
    <t>RSHOP-POSTO KARAK-10/05</t>
  </si>
  <si>
    <t>RENEGOCIACAO ITAU 07/36</t>
  </si>
  <si>
    <t>RSHOP CAFE CENTRAL1105</t>
  </si>
  <si>
    <t>RSHOP MP  243303761105</t>
  </si>
  <si>
    <t>RSHOP CAFE CENTRAL1205</t>
  </si>
  <si>
    <t>PIX QRS CLARO12/05</t>
  </si>
  <si>
    <t>RSHOP ElieteDosSan1205</t>
  </si>
  <si>
    <t>RSHOP-ROSILDAMARI-12/05</t>
  </si>
  <si>
    <t>PIX TRANSF MCS SER12/05</t>
  </si>
  <si>
    <t>RSHOP-POSTO KARAK-12/05</t>
  </si>
  <si>
    <t>RSHOP CAFE CENTRAL1305</t>
  </si>
  <si>
    <t>PIX TRANSF  DIEGO P13/05</t>
  </si>
  <si>
    <t>PIX TRANSF Ãngelo 13/05</t>
  </si>
  <si>
    <t>RSHOP MP  243303761305</t>
  </si>
  <si>
    <t>PIX TRANSF JOAO DE13/05</t>
  </si>
  <si>
    <t>PIX TRANSF MCS SER14/05</t>
  </si>
  <si>
    <t>RSHOP AUTO POSTO C1405</t>
  </si>
  <si>
    <t>RSHOP CAFE CENTRAL1405</t>
  </si>
  <si>
    <t>RSHOP LOJAS POTIGU1405</t>
  </si>
  <si>
    <t>RSHOP JIM COM  5011405</t>
  </si>
  <si>
    <t>RSHOP CAFE CENTRAL1505</t>
  </si>
  <si>
    <t>RSHOP RosildaMaria1505</t>
  </si>
  <si>
    <t>RSHOP BAIUCA DISTR1505</t>
  </si>
  <si>
    <t>RSHOP POSTO JR    1505</t>
  </si>
  <si>
    <t>RSHOP-NOVOTOMSHOW-15/05</t>
  </si>
  <si>
    <t>RSHOP NovoTomShow 1505</t>
  </si>
  <si>
    <t>RSHOP NovoTomShow 1605</t>
  </si>
  <si>
    <t>RSHOP-MP *ORIENTE-16/05</t>
  </si>
  <si>
    <t>RSHOP VALORI  TROP1605</t>
  </si>
  <si>
    <t>PIX QRS CLIENT CO S16/05</t>
  </si>
  <si>
    <t>PIX TRANSF Abdias 16/05</t>
  </si>
  <si>
    <t>RSHOP-ALEXANDRA  -16/05</t>
  </si>
  <si>
    <t>RSHOP BAIUCA DISTR1605</t>
  </si>
  <si>
    <t>RSHOP NovoTomShow 1705</t>
  </si>
  <si>
    <t>RSHOP BAIUCA DISTR1705</t>
  </si>
  <si>
    <t>RSHOP DONIZETE MAN1705</t>
  </si>
  <si>
    <t>RSHOP CAFE CENTRAL1805</t>
  </si>
  <si>
    <t>RSHOP-POSTO TALIS-18/05</t>
  </si>
  <si>
    <t>RSHOP MP  243303761805</t>
  </si>
  <si>
    <t>RSHOP BAR DO CEARA1805</t>
  </si>
  <si>
    <t>RSHOP CAFE CENTRAL1905</t>
  </si>
  <si>
    <t>RSCSS-MP  2433037-19/05</t>
  </si>
  <si>
    <t>RSHOP-CAFE CENTRA-20/05</t>
  </si>
  <si>
    <t>RSHOP POSTO BANDEI2005</t>
  </si>
  <si>
    <t>RSHOP RosildaMaria2005</t>
  </si>
  <si>
    <t>RSHOP CAFE CENTRAL2105</t>
  </si>
  <si>
    <t>RSHOP MP  243303762105</t>
  </si>
  <si>
    <t>PIX TRANSF MCS SER21/05</t>
  </si>
  <si>
    <t>RSHOP POSTO KARAKA2105</t>
  </si>
  <si>
    <t>RSHOP RESTAURANTE 2205</t>
  </si>
  <si>
    <t>RSHOP MiniBoxHidro2205</t>
  </si>
  <si>
    <t>RSHOP RosildaMaria2205</t>
  </si>
  <si>
    <t>RSHOP SUPER MAIS S2205</t>
  </si>
  <si>
    <t>RSHOP-PDV GRANDE -22/05</t>
  </si>
  <si>
    <t>RSHOP ATACADAO DIA2305</t>
  </si>
  <si>
    <t>RSHOP MARCOS PAULO2305</t>
  </si>
  <si>
    <t>RSHOP BAIUCA DISTR2405</t>
  </si>
  <si>
    <t>RSHOP MP  ORIENTEB2405</t>
  </si>
  <si>
    <t>RSHOP-NOVOTOMSHOW-24/05</t>
  </si>
  <si>
    <t>RSHOP NovoTomShow 2405</t>
  </si>
  <si>
    <t>RSHOP DONIZETE MAN2405</t>
  </si>
  <si>
    <t>RSHOP DOCE1GOURMET2405</t>
  </si>
  <si>
    <t>RSHOP CAFE CENTRAL2505</t>
  </si>
  <si>
    <t>RSHOP MP  243303762505</t>
  </si>
  <si>
    <t>RSHOP POSTO KARAKA2505</t>
  </si>
  <si>
    <t>RSHOP MP  MADISTRI2505</t>
  </si>
  <si>
    <t>RSHOP-LOJAS POTIG-25/05</t>
  </si>
  <si>
    <t>RSHOP CAFE CENTRAL2605</t>
  </si>
  <si>
    <t>RSHOP MP  243303762605</t>
  </si>
  <si>
    <t>RSHOP CAFE CENTRAL2705</t>
  </si>
  <si>
    <t>RSHOP RosildaMaria2705</t>
  </si>
  <si>
    <t>PIX TRANSF FEDERIC27/05</t>
  </si>
  <si>
    <t>RSHOP JIM COM  5012705</t>
  </si>
  <si>
    <t>RSHOP POSTO TALISM2705</t>
  </si>
  <si>
    <t>RSHOP MP  LANCHONE2805</t>
  </si>
  <si>
    <t>PIX TRANSF DIEGO P28/05</t>
  </si>
  <si>
    <t>RSHOP RosildaMaria2805</t>
  </si>
  <si>
    <t>RSHOP-BAIUCA DIST-28/05</t>
  </si>
  <si>
    <t>RSHOP CAFE CENTRAL2905</t>
  </si>
  <si>
    <t>RSHOP EMPORIO RODA2905</t>
  </si>
  <si>
    <t>RSHOP RosildaMaria2905</t>
  </si>
  <si>
    <t>RSHOP MP  243303762905</t>
  </si>
  <si>
    <t>PIX TRANSF MCS SER29/05</t>
  </si>
  <si>
    <t>RSHOP POSTO TALISM2905</t>
  </si>
  <si>
    <t>RSHOP BAR DO CEARA2905</t>
  </si>
  <si>
    <t>RSHOP MP  BARJR   2905</t>
  </si>
  <si>
    <t>RSHOP BAIUCA DISTR2905</t>
  </si>
  <si>
    <t>RSHOP-ALINE DA SI-30/05</t>
  </si>
  <si>
    <t>RSHOP MP  ORIENTEB3005</t>
  </si>
  <si>
    <t>RSHOP BAIUCA DISTR3105</t>
  </si>
  <si>
    <t>RSHOP MP  ORIENTEB3105</t>
  </si>
  <si>
    <t>RSHOP CAFE CENTRAL0106</t>
  </si>
  <si>
    <t>RSHOP POSTO MUNDO 0106</t>
  </si>
  <si>
    <t>RSHOP CAFE CENTRAL0206</t>
  </si>
  <si>
    <t>RSHOP POSTO BANDEI0206</t>
  </si>
  <si>
    <t>TAR PACOTE ITAU   MAI/26</t>
  </si>
  <si>
    <t>RSHOP CAFE CENTRAL0306</t>
  </si>
  <si>
    <t>RSHOP MP  ORIENTEB0406</t>
  </si>
  <si>
    <t>PIX TRANSF ANA COS05/06</t>
  </si>
  <si>
    <t>PIX TRANSF MCS SER05/06</t>
  </si>
  <si>
    <t>PIX TRANSF GABRIEL05/06</t>
  </si>
  <si>
    <t>RSHOP PDV GRANDE M0506</t>
  </si>
  <si>
    <t>RSHOP ATACADAO DIA0506</t>
  </si>
  <si>
    <t>RSHOP POSTO GEMA  0506</t>
  </si>
  <si>
    <t>PIX TRANSF LEONARD05/06</t>
  </si>
  <si>
    <t>RSHOP MP  BARJR   0506</t>
  </si>
  <si>
    <t>RSHOP NovoTomShow 0506</t>
  </si>
  <si>
    <t>RSHOP 65437777AnaP0606</t>
  </si>
  <si>
    <t>RSHOP VIN3 ELETRON0606</t>
  </si>
  <si>
    <t>RSCSS Alexandra   0606</t>
  </si>
  <si>
    <t>RSHOP DROGARIA MEN0606</t>
  </si>
  <si>
    <t>RSHOP BAIUCA DISTR0606</t>
  </si>
  <si>
    <t>RSHOP LOJAS POTIGU0606</t>
  </si>
  <si>
    <t>RSHOP MP  ORIENTEB0706</t>
  </si>
  <si>
    <t>RSHOP POSTO TALISM0706</t>
  </si>
  <si>
    <t>RSHOP BAIUCA DISTR0706</t>
  </si>
  <si>
    <t>PIX TRANSF MCS SER07/06</t>
  </si>
  <si>
    <t>RSHOP WK BAR E RES0706</t>
  </si>
  <si>
    <t>RSHOP CAFE CENTRAL0806</t>
  </si>
  <si>
    <t>RSHOP MiniBoxHidro0806</t>
  </si>
  <si>
    <t>PIX TRANSF FEDERIC08/06</t>
  </si>
  <si>
    <t>RSHOP MP  243303760806</t>
  </si>
  <si>
    <t>RSHOP BAMBINAS GRI0806</t>
  </si>
  <si>
    <t>PIX QRS CLIENT CO S08/06</t>
  </si>
  <si>
    <t>RSHOP CAFE CENTRAL0906</t>
  </si>
  <si>
    <t>RSHOP MP  243303760906</t>
  </si>
  <si>
    <t>RSHOP BAMBINAS GRI0906</t>
  </si>
  <si>
    <t>RENEGOCIACAO ITAU 08/36</t>
  </si>
  <si>
    <t>PIX QRS BYTEDANCE B10/06</t>
  </si>
  <si>
    <t>RSHOP CAFE CENTRAL1006</t>
  </si>
  <si>
    <t>RSHOP MP  243303761006</t>
  </si>
  <si>
    <t>RSHOP BAMBINAS GRI1006</t>
  </si>
  <si>
    <t>RSHOP BAIUCA DISTR1106</t>
  </si>
  <si>
    <t>RSHOP CAFE CENTRAL1106</t>
  </si>
  <si>
    <t>PIX QRS Bruno Alves11/06</t>
  </si>
  <si>
    <t>RSHOP POSTO TALISM1106</t>
  </si>
  <si>
    <t>RSHOP CAFE CENTRAL1206</t>
  </si>
  <si>
    <t>RSHOP FEIRANTE    1206</t>
  </si>
  <si>
    <t>RSHOP BAIUCA DISTR1306</t>
  </si>
  <si>
    <t>RSHOP MP  ORIENTEB1306</t>
  </si>
  <si>
    <t>RSHOP ALINE DA SIL1306</t>
  </si>
  <si>
    <t>RSHOP OXENTE BAR E1306</t>
  </si>
  <si>
    <t>RSHOP AtelieDaLoh 1306</t>
  </si>
  <si>
    <t>PIX QRS GOOGLE BRAS13/06</t>
  </si>
  <si>
    <t>PIX TRANSF MCS SER13/06</t>
  </si>
  <si>
    <t>RSHOP MP  OSVAIR  1306</t>
  </si>
  <si>
    <t>RSHOP MARCOS PAULO1306</t>
  </si>
  <si>
    <t>RSHOP MP  JEANSDOH1306</t>
  </si>
  <si>
    <t>RSHOP PURA ESSENCI1306</t>
  </si>
  <si>
    <t>RSHOP MAIA E BORBA1306</t>
  </si>
  <si>
    <t>RSHOP POSTO TALISM1306</t>
  </si>
  <si>
    <t>RSHOP PARADA DAS B1306</t>
  </si>
  <si>
    <t>RSHOP NovoTomShow 1306</t>
  </si>
  <si>
    <t>RSHOP NovoTomShow 1406</t>
  </si>
  <si>
    <t>RSHOP JIM COM  A T1406</t>
  </si>
  <si>
    <t>RSHOP PAYGO KABANA1406</t>
  </si>
  <si>
    <t>RSHOP JIM COM  SIN1406</t>
  </si>
  <si>
    <t>RSHOP LOJAS POTIGU1406</t>
  </si>
  <si>
    <t>RSHOP MARCOS PAULO1406</t>
  </si>
  <si>
    <t>RSHOP CAFE CENTRAL1506</t>
  </si>
  <si>
    <t>RSHOP PAGUE MENOS 1506</t>
  </si>
  <si>
    <t>RSHOP LOJAS POTIGU1506</t>
  </si>
  <si>
    <t>PIX TRANSF CARLOS 15/06</t>
  </si>
  <si>
    <t>Caneta para meu trabalho</t>
  </si>
  <si>
    <t>Sinuca - Motoboy</t>
  </si>
  <si>
    <t>Prestobarba</t>
  </si>
  <si>
    <t>Recebimento por serviços prestados - Carlos Eduardo (Manezim)</t>
  </si>
  <si>
    <t>Troca de óleo do Celta</t>
  </si>
  <si>
    <t>Recarga de celular pré pago - mãe</t>
  </si>
  <si>
    <t>Troca da chave de seta do Celta</t>
  </si>
  <si>
    <t>Retorno de empréstimo de Arubu para mim</t>
  </si>
  <si>
    <t>Item de escritório para meu trabalho</t>
  </si>
  <si>
    <t>Estorno de pagamento que eu fiz. Não tinha a chave de seta</t>
  </si>
  <si>
    <t>Pensão - Plano de saúde de Alice e Davi ref. 04/2026</t>
  </si>
  <si>
    <t>Pensão - Plano de saúde de Alice e Davi ref. 05/2026</t>
  </si>
  <si>
    <t>Chave de seta do Celta</t>
  </si>
  <si>
    <t>Lavajato - Celta</t>
  </si>
  <si>
    <t>Compra de itens para casa</t>
  </si>
  <si>
    <t>Pensão - Compra de leite e fraldas para Davi</t>
  </si>
  <si>
    <t>Pensão - Aluguel 06/2025</t>
  </si>
  <si>
    <t>Alimentação</t>
  </si>
  <si>
    <t>Internet casa dos meus pais ref. 05/2026</t>
  </si>
  <si>
    <t>Internet casa dos meus pais ref. 04/2026</t>
  </si>
  <si>
    <t>Remendo de pneu do celta</t>
  </si>
  <si>
    <t>Restaurante</t>
  </si>
  <si>
    <t>Sinuca - recebimento</t>
  </si>
  <si>
    <t>Lanchonete</t>
  </si>
  <si>
    <t>Recebimento da Caixa Econômica - Juros de FGTS</t>
  </si>
  <si>
    <t>Ajuda para comprar itens para casa</t>
  </si>
  <si>
    <t>Pagamento para Gabi ajudar a cuidar de Davi</t>
  </si>
  <si>
    <t>Cinto para mim, na feira do Serra Dourada</t>
  </si>
  <si>
    <t>Conector de fone de ouvido</t>
  </si>
  <si>
    <t>Sinuca</t>
  </si>
  <si>
    <t>Máscara capilar</t>
  </si>
  <si>
    <t>Tinder</t>
  </si>
  <si>
    <t>Calça de sarja na Feira Hippie</t>
  </si>
  <si>
    <t>Estacionamento da feira da Estação</t>
  </si>
  <si>
    <t>Cerveja com a Nathy - Sinucas Bar no Colina Azul</t>
  </si>
  <si>
    <t>PIX TRANSF MCS SER15/06</t>
  </si>
  <si>
    <t>PIX QRS EQUATORIAL 15/06</t>
  </si>
  <si>
    <t>Remendo do pneu do celta</t>
  </si>
  <si>
    <t>Refeição - Estorno</t>
  </si>
  <si>
    <t>DAS - MCS Serviços ref. 01/2026 - Parcelar</t>
  </si>
  <si>
    <t>DAS - MCS Serviços ref. 02/2026 - Parcelar</t>
  </si>
  <si>
    <t>DAS - MCS Serviços ref. 03/2026 - Parcelar</t>
  </si>
  <si>
    <t>DAS - MCS Serviços ref. 04/2026 - Parcelar</t>
  </si>
  <si>
    <t>DAS - MCS Serviços ref. 05/2026 - Parcelar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</si>
</sst>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[$-416]d\-mmm;@"/>
    <numFmt numFmtId="167" formatCode="mm/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3A63"/>
      <name val="Montserrat"/>
    </font>
    <font>
      <sz val="11"/>
      <color rgb="FF606060"/>
      <name val="Montserrat"/>
    </font>
    <font>
      <b/>
      <sz val="11"/>
      <color rgb="FFC0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70C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/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auto="1"/>
      </left>
      <right/>
      <top style="thin">
        <color theme="0" tint="-0.14996795556505021"/>
      </top>
      <bottom/>
      <diagonal/>
    </border>
    <border>
      <left/>
      <right/>
      <top style="thin">
        <color theme="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1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3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8" borderId="0" xfId="0" applyFont="1" applyFill="1"/>
    <xf numFmtId="0" fontId="5" fillId="8" borderId="0" xfId="0" applyFont="1" applyFill="1" applyAlignment="1">
      <alignment horizontal="center" vertical="center"/>
    </xf>
    <xf numFmtId="0" fontId="11" fillId="8" borderId="0" xfId="0" applyFont="1" applyFill="1"/>
    <xf numFmtId="0" fontId="12" fillId="0" borderId="0" xfId="0" applyFont="1" applyAlignment="1">
      <alignment horizontal="right"/>
    </xf>
    <xf numFmtId="164" fontId="2" fillId="0" borderId="0" xfId="1" applyNumberFormat="1" applyFont="1"/>
    <xf numFmtId="164" fontId="0" fillId="0" borderId="0" xfId="0" applyNumberFormat="1"/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43" fontId="2" fillId="9" borderId="0" xfId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vertical="center"/>
    </xf>
    <xf numFmtId="14" fontId="0" fillId="4" borderId="0" xfId="0" applyNumberFormat="1" applyFill="1" applyAlignment="1">
      <alignment horizontal="center" vertical="center"/>
    </xf>
    <xf numFmtId="43" fontId="7" fillId="4" borderId="0" xfId="1" applyFont="1" applyFill="1" applyBorder="1" applyAlignment="1" applyProtection="1">
      <alignment vertical="center"/>
      <protection locked="0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/>
    <xf numFmtId="0" fontId="5" fillId="7" borderId="0" xfId="0" applyFont="1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17" fontId="0" fillId="0" borderId="0" xfId="0" applyNumberFormat="1"/>
    <xf numFmtId="43" fontId="0" fillId="0" borderId="0" xfId="1" applyFont="1" applyAlignment="1">
      <alignment horizontal="center" vertical="center"/>
    </xf>
    <xf numFmtId="9" fontId="4" fillId="0" borderId="0" xfId="2" applyFont="1" applyAlignment="1">
      <alignment horizontal="center"/>
    </xf>
    <xf numFmtId="43" fontId="4" fillId="0" borderId="0" xfId="1" applyFont="1"/>
    <xf numFmtId="0" fontId="16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14" fontId="0" fillId="4" borderId="0" xfId="0" applyNumberFormat="1" applyFill="1" applyAlignment="1">
      <alignment horizontal="left" vertical="center"/>
    </xf>
    <xf numFmtId="43" fontId="2" fillId="0" borderId="0" xfId="1" applyFont="1" applyAlignment="1">
      <alignment vertical="center"/>
    </xf>
    <xf numFmtId="0" fontId="2" fillId="9" borderId="0" xfId="0" applyFont="1" applyFill="1" applyAlignment="1">
      <alignment horizontal="left" vertical="center"/>
    </xf>
    <xf numFmtId="43" fontId="19" fillId="4" borderId="0" xfId="1" applyFont="1" applyFill="1" applyBorder="1" applyAlignment="1" applyProtection="1">
      <alignment vertical="center"/>
      <protection locked="0"/>
    </xf>
    <xf numFmtId="0" fontId="7" fillId="10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14" fontId="7" fillId="4" borderId="0" xfId="0" applyNumberFormat="1" applyFont="1" applyFill="1" applyAlignment="1">
      <alignment horizontal="center" vertical="center"/>
    </xf>
    <xf numFmtId="14" fontId="7" fillId="4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43" fontId="3" fillId="0" borderId="0" xfId="1" applyFont="1"/>
    <xf numFmtId="43" fontId="2" fillId="0" borderId="0" xfId="1" applyFont="1"/>
    <xf numFmtId="14" fontId="2" fillId="0" borderId="0" xfId="0" applyNumberFormat="1" applyFont="1"/>
    <xf numFmtId="17" fontId="2" fillId="0" borderId="0" xfId="0" applyNumberFormat="1" applyFont="1"/>
    <xf numFmtId="43" fontId="2" fillId="0" borderId="0" xfId="0" applyNumberFormat="1" applyFont="1"/>
    <xf numFmtId="43" fontId="0" fillId="0" borderId="0" xfId="0" applyNumberFormat="1"/>
    <xf numFmtId="43" fontId="0" fillId="0" borderId="0" xfId="1" applyFont="1"/>
    <xf numFmtId="14" fontId="0" fillId="0" borderId="0" xfId="0" applyNumberFormat="1"/>
    <xf numFmtId="0" fontId="21" fillId="0" borderId="0" xfId="0" applyFont="1"/>
    <xf numFmtId="43" fontId="22" fillId="0" borderId="0" xfId="0" applyNumberFormat="1" applyFont="1"/>
    <xf numFmtId="43" fontId="20" fillId="0" borderId="0" xfId="0" applyNumberFormat="1" applyFont="1"/>
    <xf numFmtId="0" fontId="20" fillId="0" borderId="0" xfId="0" applyFont="1"/>
    <xf numFmtId="43" fontId="3" fillId="0" borderId="0" xfId="0" applyNumberFormat="1" applyFont="1"/>
    <xf numFmtId="0" fontId="0" fillId="0" borderId="0" xfId="0" applyAlignment="1">
      <alignment horizontal="center"/>
    </xf>
    <xf numFmtId="43" fontId="20" fillId="4" borderId="0" xfId="1" applyFont="1" applyFill="1" applyBorder="1" applyAlignment="1" applyProtection="1">
      <alignment vertical="center"/>
      <protection locked="0"/>
    </xf>
    <xf numFmtId="0" fontId="21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vertical="center"/>
    </xf>
    <xf numFmtId="0" fontId="21" fillId="4" borderId="0" xfId="0" applyFont="1" applyFill="1" applyAlignment="1">
      <alignment horizontal="left" vertical="center"/>
    </xf>
    <xf numFmtId="14" fontId="21" fillId="4" borderId="0" xfId="0" applyNumberFormat="1" applyFont="1" applyFill="1" applyAlignment="1">
      <alignment horizontal="center" vertical="center"/>
    </xf>
    <xf numFmtId="14" fontId="21" fillId="4" borderId="0" xfId="0" applyNumberFormat="1" applyFont="1" applyFill="1" applyAlignment="1">
      <alignment horizontal="left" vertical="center"/>
    </xf>
    <xf numFmtId="43" fontId="21" fillId="4" borderId="0" xfId="1" applyFont="1" applyFill="1" applyBorder="1" applyAlignment="1" applyProtection="1">
      <alignment vertical="center"/>
      <protection locked="0"/>
    </xf>
    <xf numFmtId="1" fontId="0" fillId="0" borderId="0" xfId="0" applyNumberFormat="1"/>
    <xf numFmtId="0" fontId="23" fillId="13" borderId="2" xfId="0" applyFont="1" applyFill="1" applyBorder="1" applyAlignment="1">
      <alignment horizontal="center" vertical="center"/>
    </xf>
    <xf numFmtId="1" fontId="23" fillId="13" borderId="2" xfId="0" applyNumberFormat="1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center" vertical="center"/>
    </xf>
    <xf numFmtId="1" fontId="24" fillId="12" borderId="2" xfId="0" applyNumberFormat="1" applyFont="1" applyFill="1" applyBorder="1" applyAlignment="1">
      <alignment horizontal="center" vertical="center"/>
    </xf>
    <xf numFmtId="17" fontId="24" fillId="12" borderId="2" xfId="0" applyNumberFormat="1" applyFont="1" applyFill="1" applyBorder="1" applyAlignment="1">
      <alignment horizontal="center" vertical="center"/>
    </xf>
    <xf numFmtId="14" fontId="24" fillId="12" borderId="2" xfId="0" applyNumberFormat="1" applyFont="1" applyFill="1" applyBorder="1" applyAlignment="1">
      <alignment horizontal="center" vertical="center"/>
    </xf>
    <xf numFmtId="43" fontId="23" fillId="13" borderId="2" xfId="1" applyFont="1" applyFill="1" applyBorder="1" applyAlignment="1">
      <alignment horizontal="center" vertical="center"/>
    </xf>
    <xf numFmtId="43" fontId="24" fillId="12" borderId="2" xfId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 vertical="center"/>
    </xf>
    <xf numFmtId="14" fontId="20" fillId="4" borderId="0" xfId="0" applyNumberFormat="1" applyFont="1" applyFill="1" applyAlignment="1">
      <alignment horizontal="left" vertical="center"/>
    </xf>
    <xf numFmtId="43" fontId="3" fillId="4" borderId="0" xfId="1" applyFont="1" applyFill="1" applyBorder="1" applyAlignment="1" applyProtection="1">
      <alignment vertical="center"/>
      <protection locked="0"/>
    </xf>
    <xf numFmtId="14" fontId="22" fillId="4" borderId="0" xfId="0" applyNumberFormat="1" applyFont="1" applyFill="1" applyAlignment="1">
      <alignment horizontal="left" vertical="center"/>
    </xf>
    <xf numFmtId="43" fontId="22" fillId="4" borderId="0" xfId="1" applyFont="1" applyFill="1" applyBorder="1" applyAlignment="1" applyProtection="1">
      <alignment vertical="center"/>
      <protection locked="0"/>
    </xf>
    <xf numFmtId="0" fontId="21" fillId="8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14" fontId="20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0" fillId="0" borderId="7" xfId="0" applyBorder="1"/>
    <xf numFmtId="0" fontId="21" fillId="0" borderId="6" xfId="0" applyFont="1" applyBorder="1"/>
    <xf numFmtId="0" fontId="21" fillId="0" borderId="7" xfId="0" applyFont="1" applyBorder="1"/>
    <xf numFmtId="0" fontId="20" fillId="0" borderId="6" xfId="0" applyFont="1" applyBorder="1"/>
    <xf numFmtId="0" fontId="20" fillId="0" borderId="7" xfId="0" applyFont="1" applyBorder="1"/>
    <xf numFmtId="0" fontId="5" fillId="7" borderId="8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center" vertical="center"/>
    </xf>
    <xf numFmtId="164" fontId="6" fillId="9" borderId="8" xfId="1" applyNumberFormat="1" applyFont="1" applyFill="1" applyBorder="1" applyAlignment="1">
      <alignment horizontal="center"/>
    </xf>
    <xf numFmtId="0" fontId="5" fillId="7" borderId="10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2" fillId="0" borderId="10" xfId="0" applyFont="1" applyBorder="1"/>
    <xf numFmtId="164" fontId="13" fillId="0" borderId="8" xfId="1" applyNumberFormat="1" applyFont="1" applyBorder="1" applyAlignment="1">
      <alignment horizontal="center"/>
    </xf>
    <xf numFmtId="43" fontId="13" fillId="0" borderId="8" xfId="1" applyFont="1" applyBorder="1"/>
    <xf numFmtId="0" fontId="3" fillId="0" borderId="10" xfId="0" applyFont="1" applyBorder="1"/>
    <xf numFmtId="164" fontId="3" fillId="0" borderId="8" xfId="1" applyNumberFormat="1" applyFont="1" applyBorder="1" applyAlignment="1">
      <alignment horizontal="center"/>
    </xf>
    <xf numFmtId="43" fontId="8" fillId="0" borderId="8" xfId="1" applyFont="1" applyBorder="1"/>
    <xf numFmtId="0" fontId="2" fillId="2" borderId="10" xfId="0" applyFont="1" applyFill="1" applyBorder="1"/>
    <xf numFmtId="164" fontId="3" fillId="2" borderId="2" xfId="1" applyNumberFormat="1" applyFont="1" applyFill="1" applyBorder="1"/>
    <xf numFmtId="164" fontId="3" fillId="2" borderId="10" xfId="1" applyNumberFormat="1" applyFont="1" applyFill="1" applyBorder="1"/>
    <xf numFmtId="43" fontId="2" fillId="0" borderId="8" xfId="1" applyFont="1" applyBorder="1"/>
    <xf numFmtId="0" fontId="28" fillId="0" borderId="0" xfId="0" applyFont="1"/>
    <xf numFmtId="0" fontId="11" fillId="8" borderId="8" xfId="0" applyFont="1" applyFill="1" applyBorder="1" applyAlignment="1">
      <alignment horizontal="right" vertical="center"/>
    </xf>
    <xf numFmtId="165" fontId="29" fillId="0" borderId="2" xfId="2" applyNumberFormat="1" applyFont="1" applyBorder="1"/>
    <xf numFmtId="0" fontId="30" fillId="0" borderId="0" xfId="0" applyFont="1" applyAlignment="1">
      <alignment horizontal="center" vertical="center"/>
    </xf>
    <xf numFmtId="0" fontId="30" fillId="2" borderId="0" xfId="0" applyFont="1" applyFill="1"/>
    <xf numFmtId="164" fontId="30" fillId="2" borderId="0" xfId="1" applyNumberFormat="1" applyFont="1" applyFill="1" applyAlignment="1">
      <alignment horizontal="center"/>
    </xf>
    <xf numFmtId="0" fontId="31" fillId="0" borderId="0" xfId="0" applyFont="1"/>
    <xf numFmtId="0" fontId="32" fillId="0" borderId="0" xfId="0" applyFont="1"/>
    <xf numFmtId="0" fontId="12" fillId="2" borderId="0" xfId="0" applyFont="1" applyFill="1"/>
    <xf numFmtId="164" fontId="12" fillId="2" borderId="0" xfId="1" applyNumberFormat="1" applyFont="1" applyFill="1" applyAlignment="1">
      <alignment horizontal="center"/>
    </xf>
    <xf numFmtId="164" fontId="30" fillId="2" borderId="1" xfId="1" applyNumberFormat="1" applyFont="1" applyFill="1" applyBorder="1" applyProtection="1"/>
    <xf numFmtId="164" fontId="30" fillId="2" borderId="0" xfId="1" applyNumberFormat="1" applyFont="1" applyFill="1" applyProtection="1"/>
    <xf numFmtId="164" fontId="30" fillId="2" borderId="0" xfId="1" applyNumberFormat="1" applyFont="1" applyFill="1" applyBorder="1" applyProtection="1"/>
    <xf numFmtId="164" fontId="12" fillId="2" borderId="0" xfId="1" applyNumberFormat="1" applyFont="1" applyFill="1"/>
    <xf numFmtId="0" fontId="2" fillId="9" borderId="8" xfId="0" applyFont="1" applyFill="1" applyBorder="1"/>
    <xf numFmtId="0" fontId="2" fillId="9" borderId="10" xfId="0" applyFont="1" applyFill="1" applyBorder="1" applyAlignment="1">
      <alignment horizontal="center"/>
    </xf>
    <xf numFmtId="164" fontId="1" fillId="9" borderId="8" xfId="1" applyNumberFormat="1" applyFont="1" applyFill="1" applyBorder="1"/>
    <xf numFmtId="0" fontId="21" fillId="0" borderId="10" xfId="0" applyFont="1" applyBorder="1"/>
    <xf numFmtId="164" fontId="22" fillId="0" borderId="8" xfId="1" applyNumberFormat="1" applyFont="1" applyBorder="1" applyAlignment="1">
      <alignment horizontal="center"/>
    </xf>
    <xf numFmtId="43" fontId="22" fillId="0" borderId="8" xfId="1" applyFont="1" applyBorder="1"/>
    <xf numFmtId="0" fontId="30" fillId="2" borderId="0" xfId="0" applyFont="1" applyFill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3" borderId="10" xfId="0" applyFont="1" applyFill="1" applyBorder="1" applyAlignment="1">
      <alignment horizontal="center"/>
    </xf>
    <xf numFmtId="0" fontId="25" fillId="3" borderId="8" xfId="0" applyFont="1" applyFill="1" applyBorder="1"/>
    <xf numFmtId="164" fontId="25" fillId="3" borderId="8" xfId="1" applyNumberFormat="1" applyFont="1" applyFill="1" applyBorder="1" applyAlignment="1">
      <alignment horizontal="center"/>
    </xf>
    <xf numFmtId="164" fontId="19" fillId="3" borderId="9" xfId="1" applyNumberFormat="1" applyFont="1" applyFill="1" applyBorder="1"/>
    <xf numFmtId="164" fontId="19" fillId="3" borderId="8" xfId="1" applyNumberFormat="1" applyFont="1" applyFill="1" applyBorder="1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5" fillId="5" borderId="10" xfId="0" applyFont="1" applyFill="1" applyBorder="1" applyAlignment="1">
      <alignment horizontal="center"/>
    </xf>
    <xf numFmtId="0" fontId="25" fillId="5" borderId="8" xfId="0" applyFont="1" applyFill="1" applyBorder="1"/>
    <xf numFmtId="164" fontId="25" fillId="5" borderId="8" xfId="1" applyNumberFormat="1" applyFont="1" applyFill="1" applyBorder="1" applyAlignment="1">
      <alignment horizontal="center"/>
    </xf>
    <xf numFmtId="164" fontId="19" fillId="5" borderId="9" xfId="1" applyNumberFormat="1" applyFont="1" applyFill="1" applyBorder="1"/>
    <xf numFmtId="164" fontId="19" fillId="5" borderId="8" xfId="1" applyNumberFormat="1" applyFont="1" applyFill="1" applyBorder="1"/>
    <xf numFmtId="164" fontId="19" fillId="3" borderId="8" xfId="1" applyNumberFormat="1" applyFont="1" applyFill="1" applyBorder="1" applyProtection="1"/>
    <xf numFmtId="164" fontId="19" fillId="3" borderId="9" xfId="1" applyNumberFormat="1" applyFont="1" applyFill="1" applyBorder="1" applyProtection="1"/>
    <xf numFmtId="164" fontId="19" fillId="3" borderId="13" xfId="1" applyNumberFormat="1" applyFont="1" applyFill="1" applyBorder="1"/>
    <xf numFmtId="164" fontId="19" fillId="5" borderId="13" xfId="1" applyNumberFormat="1" applyFont="1" applyFill="1" applyBorder="1"/>
    <xf numFmtId="164" fontId="19" fillId="3" borderId="13" xfId="1" applyNumberFormat="1" applyFont="1" applyFill="1" applyBorder="1" applyProtection="1"/>
    <xf numFmtId="164" fontId="30" fillId="2" borderId="14" xfId="1" applyNumberFormat="1" applyFont="1" applyFill="1" applyBorder="1" applyProtection="1"/>
    <xf numFmtId="43" fontId="8" fillId="0" borderId="13" xfId="1" applyFont="1" applyBorder="1"/>
    <xf numFmtId="165" fontId="29" fillId="0" borderId="11" xfId="2" applyNumberFormat="1" applyFont="1" applyBorder="1"/>
    <xf numFmtId="165" fontId="29" fillId="0" borderId="13" xfId="2" applyNumberFormat="1" applyFont="1" applyBorder="1"/>
    <xf numFmtId="43" fontId="2" fillId="0" borderId="13" xfId="1" applyFont="1" applyBorder="1"/>
    <xf numFmtId="0" fontId="25" fillId="5" borderId="16" xfId="0" applyFont="1" applyFill="1" applyBorder="1" applyAlignment="1">
      <alignment horizontal="center"/>
    </xf>
    <xf numFmtId="0" fontId="25" fillId="5" borderId="17" xfId="0" applyFont="1" applyFill="1" applyBorder="1"/>
    <xf numFmtId="164" fontId="25" fillId="5" borderId="17" xfId="1" applyNumberFormat="1" applyFont="1" applyFill="1" applyBorder="1" applyAlignment="1">
      <alignment horizontal="center"/>
    </xf>
    <xf numFmtId="164" fontId="19" fillId="5" borderId="18" xfId="1" applyNumberFormat="1" applyFont="1" applyFill="1" applyBorder="1" applyProtection="1"/>
    <xf numFmtId="164" fontId="19" fillId="5" borderId="17" xfId="1" applyNumberFormat="1" applyFont="1" applyFill="1" applyBorder="1" applyProtection="1"/>
    <xf numFmtId="164" fontId="19" fillId="5" borderId="12" xfId="1" applyNumberFormat="1" applyFont="1" applyFill="1" applyBorder="1" applyProtection="1"/>
    <xf numFmtId="0" fontId="25" fillId="3" borderId="15" xfId="0" applyFont="1" applyFill="1" applyBorder="1" applyAlignment="1">
      <alignment horizontal="center"/>
    </xf>
    <xf numFmtId="0" fontId="25" fillId="3" borderId="19" xfId="0" applyFont="1" applyFill="1" applyBorder="1"/>
    <xf numFmtId="164" fontId="25" fillId="3" borderId="19" xfId="1" applyNumberFormat="1" applyFont="1" applyFill="1" applyBorder="1" applyAlignment="1">
      <alignment horizontal="center"/>
    </xf>
    <xf numFmtId="164" fontId="19" fillId="3" borderId="20" xfId="1" applyNumberFormat="1" applyFont="1" applyFill="1" applyBorder="1" applyProtection="1"/>
    <xf numFmtId="164" fontId="19" fillId="3" borderId="19" xfId="1" applyNumberFormat="1" applyFont="1" applyFill="1" applyBorder="1" applyProtection="1"/>
    <xf numFmtId="164" fontId="19" fillId="3" borderId="21" xfId="1" applyNumberFormat="1" applyFont="1" applyFill="1" applyBorder="1" applyProtection="1"/>
    <xf numFmtId="0" fontId="25" fillId="9" borderId="10" xfId="0" applyFont="1" applyFill="1" applyBorder="1" applyAlignment="1">
      <alignment horizontal="center"/>
    </xf>
    <xf numFmtId="0" fontId="25" fillId="9" borderId="8" xfId="0" applyFont="1" applyFill="1" applyBorder="1"/>
    <xf numFmtId="164" fontId="25" fillId="9" borderId="8" xfId="1" applyNumberFormat="1" applyFont="1" applyFill="1" applyBorder="1" applyAlignment="1">
      <alignment horizontal="center"/>
    </xf>
    <xf numFmtId="0" fontId="22" fillId="9" borderId="10" xfId="0" applyFont="1" applyFill="1" applyBorder="1" applyAlignment="1">
      <alignment horizontal="center"/>
    </xf>
    <xf numFmtId="0" fontId="22" fillId="9" borderId="8" xfId="0" applyFont="1" applyFill="1" applyBorder="1"/>
    <xf numFmtId="164" fontId="22" fillId="9" borderId="8" xfId="1" applyNumberFormat="1" applyFont="1" applyFill="1" applyBorder="1" applyAlignment="1">
      <alignment horizontal="center"/>
    </xf>
    <xf numFmtId="164" fontId="21" fillId="9" borderId="8" xfId="1" applyNumberFormat="1" applyFont="1" applyFill="1" applyBorder="1"/>
    <xf numFmtId="0" fontId="19" fillId="0" borderId="6" xfId="0" applyFont="1" applyBorder="1"/>
    <xf numFmtId="0" fontId="19" fillId="0" borderId="7" xfId="0" applyFont="1" applyBorder="1"/>
    <xf numFmtId="0" fontId="20" fillId="5" borderId="6" xfId="0" applyFont="1" applyFill="1" applyBorder="1"/>
    <xf numFmtId="0" fontId="20" fillId="5" borderId="7" xfId="0" applyFont="1" applyFill="1" applyBorder="1"/>
    <xf numFmtId="0" fontId="2" fillId="2" borderId="2" xfId="0" applyFont="1" applyFill="1" applyBorder="1"/>
    <xf numFmtId="0" fontId="0" fillId="0" borderId="2" xfId="0" applyBorder="1" applyAlignment="1">
      <alignment horizontal="center"/>
    </xf>
    <xf numFmtId="0" fontId="5" fillId="8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5" fillId="0" borderId="0" xfId="0" applyFont="1"/>
    <xf numFmtId="164" fontId="25" fillId="9" borderId="8" xfId="1" applyNumberFormat="1" applyFont="1" applyFill="1" applyBorder="1"/>
    <xf numFmtId="0" fontId="5" fillId="7" borderId="22" xfId="0" applyFont="1" applyFill="1" applyBorder="1" applyAlignment="1">
      <alignment horizontal="left" vertical="center"/>
    </xf>
    <xf numFmtId="43" fontId="5" fillId="7" borderId="22" xfId="1" applyFont="1" applyFill="1" applyBorder="1" applyAlignment="1">
      <alignment horizontal="left" vertical="center"/>
    </xf>
    <xf numFmtId="43" fontId="5" fillId="7" borderId="22" xfId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left"/>
    </xf>
    <xf numFmtId="9" fontId="0" fillId="0" borderId="22" xfId="0" applyNumberFormat="1" applyBorder="1"/>
    <xf numFmtId="0" fontId="2" fillId="2" borderId="22" xfId="0" applyFont="1" applyFill="1" applyBorder="1"/>
    <xf numFmtId="43" fontId="2" fillId="2" borderId="22" xfId="1" applyFont="1" applyFill="1" applyBorder="1"/>
    <xf numFmtId="9" fontId="2" fillId="2" borderId="22" xfId="2" applyFont="1" applyFill="1" applyBorder="1"/>
    <xf numFmtId="43" fontId="7" fillId="0" borderId="22" xfId="1" applyFont="1" applyFill="1" applyBorder="1"/>
    <xf numFmtId="9" fontId="7" fillId="0" borderId="22" xfId="2" applyFont="1" applyBorder="1"/>
    <xf numFmtId="0" fontId="2" fillId="2" borderId="22" xfId="0" applyFont="1" applyFill="1" applyBorder="1" applyAlignment="1">
      <alignment horizontal="center"/>
    </xf>
    <xf numFmtId="0" fontId="25" fillId="0" borderId="22" xfId="0" applyFont="1" applyBorder="1" applyAlignment="1">
      <alignment horizontal="left"/>
    </xf>
    <xf numFmtId="43" fontId="25" fillId="0" borderId="22" xfId="1" applyFont="1" applyFill="1" applyBorder="1"/>
    <xf numFmtId="9" fontId="25" fillId="0" borderId="22" xfId="2" applyFont="1" applyBorder="1"/>
    <xf numFmtId="9" fontId="25" fillId="0" borderId="22" xfId="0" applyNumberFormat="1" applyFont="1" applyBorder="1"/>
    <xf numFmtId="43" fontId="25" fillId="0" borderId="22" xfId="1" applyFont="1" applyBorder="1"/>
    <xf numFmtId="166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3" fontId="0" fillId="0" borderId="0" xfId="1" applyFont="1" applyAlignment="1">
      <alignment vertical="center"/>
    </xf>
    <xf numFmtId="0" fontId="20" fillId="0" borderId="2" xfId="0" applyFont="1" applyBorder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9" fontId="3" fillId="2" borderId="0" xfId="2" applyFont="1" applyFill="1" applyAlignment="1">
      <alignment vertical="center"/>
    </xf>
    <xf numFmtId="12" fontId="0" fillId="0" borderId="0" xfId="1" applyNumberFormat="1" applyFont="1" applyAlignment="1">
      <alignment vertical="center"/>
    </xf>
    <xf numFmtId="0" fontId="21" fillId="0" borderId="3" xfId="0" applyFont="1" applyBorder="1" applyAlignment="1">
      <alignment vertical="center"/>
    </xf>
    <xf numFmtId="17" fontId="5" fillId="7" borderId="9" xfId="0" applyNumberFormat="1" applyFont="1" applyFill="1" applyBorder="1" applyAlignment="1">
      <alignment horizontal="left" vertical="center"/>
    </xf>
    <xf numFmtId="17" fontId="5" fillId="7" borderId="8" xfId="0" applyNumberFormat="1" applyFont="1" applyFill="1" applyBorder="1" applyAlignment="1">
      <alignment horizontal="left" vertical="center"/>
    </xf>
    <xf numFmtId="17" fontId="5" fillId="7" borderId="13" xfId="0" applyNumberFormat="1" applyFont="1" applyFill="1" applyBorder="1" applyAlignment="1">
      <alignment horizontal="left" vertical="center"/>
    </xf>
    <xf numFmtId="17" fontId="5" fillId="6" borderId="0" xfId="0" applyNumberFormat="1" applyFont="1" applyFill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43" fontId="22" fillId="0" borderId="13" xfId="1" applyFont="1" applyBorder="1"/>
    <xf numFmtId="43" fontId="3" fillId="11" borderId="9" xfId="1" applyFont="1" applyFill="1" applyBorder="1"/>
    <xf numFmtId="0" fontId="5" fillId="8" borderId="17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left"/>
    </xf>
    <xf numFmtId="43" fontId="22" fillId="0" borderId="23" xfId="1" applyFont="1" applyBorder="1"/>
    <xf numFmtId="0" fontId="25" fillId="0" borderId="25" xfId="0" applyFont="1" applyBorder="1" applyAlignment="1">
      <alignment horizontal="left"/>
    </xf>
    <xf numFmtId="43" fontId="25" fillId="0" borderId="25" xfId="1" applyFont="1" applyBorder="1"/>
    <xf numFmtId="9" fontId="25" fillId="0" borderId="25" xfId="2" applyFont="1" applyBorder="1"/>
    <xf numFmtId="0" fontId="22" fillId="2" borderId="23" xfId="0" applyFont="1" applyFill="1" applyBorder="1"/>
    <xf numFmtId="43" fontId="22" fillId="2" borderId="23" xfId="1" applyFont="1" applyFill="1" applyBorder="1"/>
    <xf numFmtId="9" fontId="22" fillId="0" borderId="24" xfId="2" applyFont="1" applyBorder="1"/>
    <xf numFmtId="0" fontId="20" fillId="0" borderId="22" xfId="0" applyFont="1" applyBorder="1" applyAlignment="1">
      <alignment horizontal="left"/>
    </xf>
    <xf numFmtId="43" fontId="20" fillId="0" borderId="22" xfId="1" applyFont="1" applyBorder="1"/>
    <xf numFmtId="9" fontId="20" fillId="0" borderId="22" xfId="2" applyFont="1" applyBorder="1"/>
    <xf numFmtId="0" fontId="3" fillId="3" borderId="26" xfId="0" applyFont="1" applyFill="1" applyBorder="1"/>
    <xf numFmtId="43" fontId="3" fillId="3" borderId="26" xfId="1" applyFont="1" applyFill="1" applyBorder="1"/>
    <xf numFmtId="9" fontId="3" fillId="3" borderId="27" xfId="2" applyFont="1" applyFill="1" applyBorder="1"/>
    <xf numFmtId="9" fontId="22" fillId="2" borderId="24" xfId="2" applyFont="1" applyFill="1" applyBorder="1"/>
    <xf numFmtId="0" fontId="3" fillId="0" borderId="22" xfId="0" applyFont="1" applyBorder="1" applyAlignment="1">
      <alignment horizontal="left"/>
    </xf>
    <xf numFmtId="43" fontId="3" fillId="0" borderId="22" xfId="1" applyFont="1" applyBorder="1"/>
    <xf numFmtId="9" fontId="3" fillId="0" borderId="22" xfId="2" applyFont="1" applyBorder="1"/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vertical="center"/>
    </xf>
    <xf numFmtId="14" fontId="2" fillId="9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1" fillId="9" borderId="13" xfId="1" applyNumberFormat="1" applyFont="1" applyFill="1" applyBorder="1"/>
    <xf numFmtId="164" fontId="1" fillId="9" borderId="13" xfId="1" applyNumberFormat="1" applyFont="1" applyFill="1" applyBorder="1"/>
    <xf numFmtId="164" fontId="25" fillId="9" borderId="13" xfId="1" applyNumberFormat="1" applyFont="1" applyFill="1" applyBorder="1"/>
    <xf numFmtId="164" fontId="12" fillId="2" borderId="14" xfId="1" applyNumberFormat="1" applyFont="1" applyFill="1" applyBorder="1"/>
    <xf numFmtId="43" fontId="3" fillId="3" borderId="9" xfId="1" applyFont="1" applyFill="1" applyBorder="1"/>
    <xf numFmtId="164" fontId="2" fillId="2" borderId="3" xfId="1" applyNumberFormat="1" applyFont="1" applyFill="1" applyBorder="1" applyAlignment="1" applyProtection="1">
      <alignment horizontal="center" vertical="center"/>
    </xf>
    <xf numFmtId="164" fontId="22" fillId="3" borderId="3" xfId="1" applyNumberFormat="1" applyFont="1" applyFill="1" applyBorder="1" applyAlignment="1">
      <alignment vertical="center"/>
    </xf>
    <xf numFmtId="164" fontId="22" fillId="0" borderId="3" xfId="1" applyNumberFormat="1" applyFont="1" applyBorder="1" applyAlignment="1">
      <alignment vertical="center"/>
    </xf>
    <xf numFmtId="164" fontId="22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2" fillId="2" borderId="2" xfId="1" applyNumberFormat="1" applyFont="1" applyFill="1" applyBorder="1" applyAlignment="1" applyProtection="1">
      <alignment horizontal="center" vertical="center"/>
    </xf>
    <xf numFmtId="164" fontId="9" fillId="3" borderId="2" xfId="1" applyNumberFormat="1" applyFont="1" applyFill="1" applyBorder="1" applyAlignment="1" applyProtection="1">
      <alignment vertical="center"/>
    </xf>
    <xf numFmtId="164" fontId="7" fillId="0" borderId="2" xfId="1" applyNumberFormat="1" applyFont="1" applyFill="1" applyBorder="1" applyAlignment="1" applyProtection="1">
      <alignment vertical="center"/>
    </xf>
    <xf numFmtId="164" fontId="3" fillId="2" borderId="2" xfId="1" applyNumberFormat="1" applyFont="1" applyFill="1" applyBorder="1" applyAlignment="1" applyProtection="1">
      <alignment vertical="center"/>
    </xf>
    <xf numFmtId="17" fontId="9" fillId="11" borderId="9" xfId="0" applyNumberFormat="1" applyFont="1" applyFill="1" applyBorder="1" applyAlignment="1">
      <alignment horizontal="center" vertical="center"/>
    </xf>
    <xf numFmtId="17" fontId="9" fillId="2" borderId="9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1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165" fontId="29" fillId="0" borderId="8" xfId="2" applyNumberFormat="1" applyFont="1" applyBorder="1"/>
    <xf numFmtId="165" fontId="14" fillId="0" borderId="18" xfId="2" applyNumberFormat="1" applyFont="1" applyBorder="1"/>
    <xf numFmtId="14" fontId="0" fillId="0" borderId="0" xfId="0" applyNumberFormat="1" applyAlignment="1">
      <alignment horizontal="center"/>
    </xf>
    <xf numFmtId="43" fontId="2" fillId="0" borderId="0" xfId="1" applyFont="1" applyFill="1" applyAlignment="1">
      <alignment horizontal="left"/>
    </xf>
    <xf numFmtId="43" fontId="2" fillId="0" borderId="0" xfId="1" applyFont="1" applyFill="1"/>
    <xf numFmtId="43" fontId="0" fillId="0" borderId="0" xfId="1" applyFont="1" applyFill="1" applyAlignment="1">
      <alignment horizontal="center"/>
    </xf>
    <xf numFmtId="43" fontId="0" fillId="0" borderId="0" xfId="1" applyFont="1" applyFill="1"/>
    <xf numFmtId="43" fontId="2" fillId="0" borderId="0" xfId="1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0" fontId="0" fillId="2" borderId="0" xfId="0" applyFill="1"/>
    <xf numFmtId="43" fontId="0" fillId="2" borderId="0" xfId="1" applyFont="1" applyFill="1"/>
    <xf numFmtId="0" fontId="2" fillId="2" borderId="0" xfId="0" applyFont="1" applyFill="1"/>
    <xf numFmtId="43" fontId="2" fillId="2" borderId="0" xfId="1" applyFont="1" applyFill="1"/>
    <xf numFmtId="4" fontId="0" fillId="0" borderId="0" xfId="0" applyNumberFormat="1"/>
    <xf numFmtId="4" fontId="2" fillId="0" borderId="0" xfId="0" applyNumberFormat="1" applyFont="1"/>
    <xf numFmtId="43" fontId="20" fillId="0" borderId="0" xfId="1" applyFont="1"/>
    <xf numFmtId="43" fontId="1" fillId="0" borderId="0" xfId="1" applyFont="1"/>
    <xf numFmtId="43" fontId="3" fillId="2" borderId="0" xfId="1" applyFont="1" applyFill="1"/>
    <xf numFmtId="43" fontId="22" fillId="2" borderId="0" xfId="1" applyFont="1" applyFill="1"/>
    <xf numFmtId="4" fontId="2" fillId="2" borderId="0" xfId="0" applyNumberFormat="1" applyFont="1" applyFill="1"/>
    <xf numFmtId="43" fontId="0" fillId="0" borderId="28" xfId="1" applyFont="1" applyBorder="1" applyAlignment="1">
      <alignment horizontal="right"/>
    </xf>
    <xf numFmtId="43" fontId="0" fillId="0" borderId="29" xfId="1" applyFont="1" applyBorder="1" applyAlignment="1">
      <alignment horizontal="right"/>
    </xf>
    <xf numFmtId="0" fontId="21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17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167" fontId="0" fillId="0" borderId="28" xfId="1" applyNumberFormat="1" applyFont="1" applyBorder="1" applyAlignment="1">
      <alignment horizontal="right"/>
    </xf>
    <xf numFmtId="167" fontId="0" fillId="0" borderId="29" xfId="1" applyNumberFormat="1" applyFont="1" applyBorder="1" applyAlignment="1">
      <alignment horizontal="right"/>
    </xf>
    <xf numFmtId="167" fontId="0" fillId="0" borderId="0" xfId="0" applyNumberFormat="1"/>
    <xf numFmtId="167" fontId="2" fillId="0" borderId="0" xfId="0" applyNumberFormat="1" applyFont="1" applyAlignment="1">
      <alignment horizontal="center"/>
    </xf>
    <xf numFmtId="43" fontId="3" fillId="0" borderId="28" xfId="1" applyFont="1" applyBorder="1" applyAlignment="1">
      <alignment horizontal="right"/>
    </xf>
    <xf numFmtId="0" fontId="19" fillId="0" borderId="22" xfId="0" applyFont="1" applyBorder="1" applyAlignment="1">
      <alignment horizontal="left"/>
    </xf>
    <xf numFmtId="43" fontId="19" fillId="0" borderId="22" xfId="1" applyFont="1" applyBorder="1"/>
    <xf numFmtId="9" fontId="19" fillId="0" borderId="22" xfId="2" applyFont="1" applyBorder="1"/>
    <xf numFmtId="0" fontId="20" fillId="0" borderId="0" xfId="0" applyFont="1" applyAlignment="1">
      <alignment vertical="center"/>
    </xf>
    <xf numFmtId="0" fontId="20" fillId="10" borderId="0" xfId="0" applyFont="1" applyFill="1" applyAlignment="1">
      <alignment horizontal="center" vertical="center"/>
    </xf>
    <xf numFmtId="0" fontId="20" fillId="8" borderId="0" xfId="0" applyFont="1" applyFill="1" applyAlignment="1">
      <alignment vertical="center"/>
    </xf>
    <xf numFmtId="43" fontId="20" fillId="11" borderId="0" xfId="1" applyFont="1" applyFill="1" applyBorder="1" applyAlignment="1" applyProtection="1">
      <alignment vertical="center"/>
      <protection locked="0"/>
    </xf>
    <xf numFmtId="17" fontId="20" fillId="0" borderId="0" xfId="0" applyNumberFormat="1" applyFont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7" fontId="9" fillId="11" borderId="8" xfId="0" applyNumberFormat="1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164" fontId="22" fillId="9" borderId="30" xfId="1" applyNumberFormat="1" applyFont="1" applyFill="1" applyBorder="1" applyAlignment="1">
      <alignment horizontal="center"/>
    </xf>
    <xf numFmtId="164" fontId="6" fillId="9" borderId="30" xfId="1" applyNumberFormat="1" applyFont="1" applyFill="1" applyBorder="1" applyAlignment="1">
      <alignment horizontal="center"/>
    </xf>
    <xf numFmtId="164" fontId="25" fillId="9" borderId="30" xfId="1" applyNumberFormat="1" applyFont="1" applyFill="1" applyBorder="1" applyAlignment="1">
      <alignment horizontal="center"/>
    </xf>
    <xf numFmtId="164" fontId="12" fillId="2" borderId="31" xfId="1" applyNumberFormat="1" applyFont="1" applyFill="1" applyBorder="1" applyAlignment="1">
      <alignment horizontal="center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" xfId="5" xr:uid="{00000000-0005-0000-0000-000003000000}"/>
    <cellStyle name="Vírgula" xfId="1" builtinId="3"/>
    <cellStyle name="Vírgula 2" xfId="4" xr:uid="{00000000-0005-0000-0000-000005000000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CCFFCC"/>
      <color rgb="FFFF00FF"/>
      <color rgb="FF00FF00"/>
      <color rgb="FF66FF33"/>
      <color rgb="FFFF6699"/>
      <color rgb="FF6666FF"/>
      <color rgb="FFFF99FF"/>
      <color rgb="FFFF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8660498" cy="4380952"/>
    <xdr:pic>
      <xdr:nvPicPr>
        <xdr:cNvPr id="2" name="Imagem 1">
          <a:extLst>
            <a:ext uri="{FF2B5EF4-FFF2-40B4-BE49-F238E27FC236}">
              <a16:creationId xmlns:a16="http://schemas.microsoft.com/office/drawing/2014/main" id="{F51087C9-8B58-4C30-9C12-F98D00B5B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14500"/>
          <a:ext cx="8660498" cy="4380952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</xdr:row>
      <xdr:rowOff>0</xdr:rowOff>
    </xdr:from>
    <xdr:ext cx="8614554" cy="4800000"/>
    <xdr:pic>
      <xdr:nvPicPr>
        <xdr:cNvPr id="3" name="Imagem 2">
          <a:extLst>
            <a:ext uri="{FF2B5EF4-FFF2-40B4-BE49-F238E27FC236}">
              <a16:creationId xmlns:a16="http://schemas.microsoft.com/office/drawing/2014/main" id="{6DDB2856-FA1B-4EE1-8304-DA8C4E82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714500"/>
          <a:ext cx="8614554" cy="4800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Fluxo_Caixa\2025_Fluxo-de-Caixa_CR_MCS.xlsx" TargetMode="External"/><Relationship Id="rId1" Type="http://schemas.openxmlformats.org/officeDocument/2006/relationships/externalLinkPath" Target="2025_Fluxo-de-Caixa_CR_M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_Natureza"/>
      <sheetName val="BASE-PERIODO"/>
      <sheetName val="CAIXA_REAL"/>
      <sheetName val="CAIXA_PREVISTO"/>
      <sheetName val="PARETO"/>
      <sheetName val="2025_Pensao_INDICE"/>
      <sheetName val="Resumo - Ação"/>
      <sheetName val="Saneago"/>
      <sheetName val="Energia_Pgtos"/>
      <sheetName val="Prev_Combust_Refei"/>
    </sheetNames>
    <sheetDataSet>
      <sheetData sheetId="0">
        <row r="4">
          <cell r="C4" t="str">
            <v>TODOS CRs</v>
          </cell>
          <cell r="E4" t="str">
            <v>MCS</v>
          </cell>
          <cell r="G4" t="str">
            <v>REAL</v>
          </cell>
        </row>
        <row r="5">
          <cell r="C5" t="str">
            <v>CPF - Remun. Salário / Pró-Labore</v>
          </cell>
          <cell r="G5" t="str">
            <v>PREVISTO</v>
          </cell>
        </row>
        <row r="6">
          <cell r="C6" t="str">
            <v>CPF - Ajuda de custo - Combustível</v>
          </cell>
        </row>
        <row r="7">
          <cell r="C7" t="str">
            <v>CPF - Ajuda de custo - Refeição</v>
          </cell>
        </row>
        <row r="8">
          <cell r="C8" t="str">
            <v>CPF - Transf. Da conta PJ para a conta PF</v>
          </cell>
        </row>
        <row r="9">
          <cell r="C9" t="str">
            <v>CPF - Outras receitas</v>
          </cell>
        </row>
        <row r="10">
          <cell r="C10" t="str">
            <v>CPF - Pensão - Outras receitas</v>
          </cell>
        </row>
        <row r="11">
          <cell r="C11" t="str">
            <v>CPF - Rec. Financeiras - Empréstimos</v>
          </cell>
        </row>
        <row r="13">
          <cell r="C13" t="str">
            <v>CPF - Desp. Alimentação / Refeição</v>
          </cell>
        </row>
        <row r="14">
          <cell r="C14" t="str">
            <v>CPF - Desp. Transporte / Combustível</v>
          </cell>
        </row>
        <row r="15">
          <cell r="C15" t="str">
            <v>CPF - Desp. Cartão de crédito</v>
          </cell>
        </row>
        <row r="16">
          <cell r="C16" t="str">
            <v>CPF - Desp. Telefone / Internet</v>
          </cell>
        </row>
        <row r="17">
          <cell r="C17" t="str">
            <v xml:space="preserve">CPF - Desp. com veículo - Manut. / Gastos </v>
          </cell>
        </row>
        <row r="18">
          <cell r="C18" t="str">
            <v>CPF - Desp. Moradia</v>
          </cell>
        </row>
        <row r="19">
          <cell r="C19" t="str">
            <v>CPF - Transf. Da conta PF para a conta PJ</v>
          </cell>
        </row>
        <row r="20">
          <cell r="C20" t="str">
            <v>CPF - Desp. Lazer e Entretenimento - Bares</v>
          </cell>
        </row>
        <row r="21">
          <cell r="C21" t="str">
            <v>CPF - Desp. Lazer e Entretenimento - Cigarro</v>
          </cell>
        </row>
        <row r="22">
          <cell r="C22" t="str">
            <v>CPF - Desp. Financeiras - Empréstimos</v>
          </cell>
        </row>
        <row r="23">
          <cell r="C23" t="str">
            <v>CPF - Desp. Financeiras - Juros / Tarifas</v>
          </cell>
        </row>
        <row r="24">
          <cell r="C24" t="str">
            <v>CPF - Desp. Financeiras - Empréstimos bancários</v>
          </cell>
        </row>
        <row r="25">
          <cell r="C25" t="str">
            <v>CPF - Desp. Impostos e Obrigações</v>
          </cell>
        </row>
        <row r="26">
          <cell r="C26" t="str">
            <v>CPF - Outros gastos</v>
          </cell>
        </row>
        <row r="28">
          <cell r="C28" t="str">
            <v>CPF - Pensão - Aluguel</v>
          </cell>
        </row>
        <row r="29">
          <cell r="C29" t="str">
            <v>CPF - Pensão - Energia</v>
          </cell>
        </row>
        <row r="30">
          <cell r="C30" t="str">
            <v>CPF - Pensão - Plano de saúde</v>
          </cell>
        </row>
        <row r="31">
          <cell r="C31" t="str">
            <v>CPF - Pensão - Supermercado</v>
          </cell>
        </row>
        <row r="32">
          <cell r="C32" t="str">
            <v>CPF - Pensão - Água</v>
          </cell>
        </row>
        <row r="33">
          <cell r="C33" t="str">
            <v>CPF - Pensão - Farmácia e Saúde</v>
          </cell>
        </row>
        <row r="34">
          <cell r="C34" t="str">
            <v>CPF - Pensão - Internet</v>
          </cell>
        </row>
        <row r="35">
          <cell r="C35" t="str">
            <v>CPF - Pensão - Alimentação</v>
          </cell>
        </row>
        <row r="36">
          <cell r="C36" t="str">
            <v>CPF - Pensão - Outros Gastos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6FB7-FB37-48C8-B254-ECF8F8319422}">
  <sheetPr codeName="Planilha1"/>
  <dimension ref="B3:H53"/>
  <sheetViews>
    <sheetView showGridLines="0" zoomScale="85" zoomScaleNormal="85" workbookViewId="0">
      <pane ySplit="3" topLeftCell="A4" activePane="bottomLeft" state="frozen"/>
      <selection pane="bottomLeft" activeCell="B13" sqref="B13"/>
    </sheetView>
  </sheetViews>
  <sheetFormatPr defaultRowHeight="15" x14ac:dyDescent="0.25"/>
  <cols>
    <col min="1" max="1" width="3.42578125" customWidth="1"/>
    <col min="3" max="3" width="47" bestFit="1" customWidth="1"/>
    <col min="4" max="4" width="8.42578125" customWidth="1"/>
    <col min="5" max="5" width="11.140625" customWidth="1"/>
  </cols>
  <sheetData>
    <row r="3" spans="2:8" x14ac:dyDescent="0.25">
      <c r="B3" s="91" t="s">
        <v>32</v>
      </c>
      <c r="C3" s="92" t="s">
        <v>27</v>
      </c>
      <c r="E3" s="181" t="s">
        <v>799</v>
      </c>
      <c r="G3" s="181" t="s">
        <v>833</v>
      </c>
    </row>
    <row r="4" spans="2:8" x14ac:dyDescent="0.25">
      <c r="B4" s="94" t="s">
        <v>31</v>
      </c>
      <c r="C4" s="93" t="s">
        <v>28</v>
      </c>
      <c r="E4" s="182" t="s">
        <v>25</v>
      </c>
      <c r="F4" t="str">
        <f ca="1">OFFSET(Cad_Natureza!$E$4,0,0,COUNTA(Cad_Natureza!$E$4:$E$102))</f>
        <v>MCS</v>
      </c>
      <c r="G4" s="182" t="s">
        <v>831</v>
      </c>
      <c r="H4" t="str">
        <f ca="1">OFFSET(Cad_Natureza!$G$4,0,0,COUNTA(Cad_Natureza!$G$4:$G$102))</f>
        <v>REAL</v>
      </c>
    </row>
    <row r="5" spans="2:8" x14ac:dyDescent="0.25">
      <c r="B5" s="94" t="s">
        <v>12</v>
      </c>
      <c r="C5" s="95" t="s">
        <v>745</v>
      </c>
      <c r="E5" s="182"/>
      <c r="G5" s="182" t="s">
        <v>832</v>
      </c>
      <c r="H5" t="str">
        <f ca="1">OFFSET(Cad_Natureza!$G$4,0,0,COUNTA(Cad_Natureza!$G$4:$G$102))</f>
        <v>PREVISTO</v>
      </c>
    </row>
    <row r="6" spans="2:8" x14ac:dyDescent="0.25">
      <c r="B6" s="94" t="s">
        <v>13</v>
      </c>
      <c r="C6" s="95" t="s">
        <v>775</v>
      </c>
      <c r="E6" s="182"/>
    </row>
    <row r="7" spans="2:8" x14ac:dyDescent="0.25">
      <c r="B7" s="94" t="s">
        <v>14</v>
      </c>
      <c r="C7" s="95" t="s">
        <v>776</v>
      </c>
    </row>
    <row r="8" spans="2:8" x14ac:dyDescent="0.25">
      <c r="B8" s="94" t="s">
        <v>15</v>
      </c>
      <c r="C8" s="95" t="s">
        <v>734</v>
      </c>
    </row>
    <row r="9" spans="2:8" x14ac:dyDescent="0.25">
      <c r="B9" s="94" t="s">
        <v>730</v>
      </c>
      <c r="C9" s="95" t="s">
        <v>740</v>
      </c>
    </row>
    <row r="10" spans="2:8" x14ac:dyDescent="0.25">
      <c r="B10" s="94" t="s">
        <v>798</v>
      </c>
      <c r="C10" s="95" t="s">
        <v>755</v>
      </c>
    </row>
    <row r="11" spans="2:8" x14ac:dyDescent="0.25">
      <c r="B11" s="94" t="s">
        <v>756</v>
      </c>
      <c r="C11" s="95" t="s">
        <v>774</v>
      </c>
    </row>
    <row r="12" spans="2:8" x14ac:dyDescent="0.25">
      <c r="B12" s="96"/>
      <c r="C12" s="97"/>
    </row>
    <row r="13" spans="2:8" x14ac:dyDescent="0.25">
      <c r="B13" s="96" t="s">
        <v>8</v>
      </c>
      <c r="C13" s="97" t="s">
        <v>744</v>
      </c>
    </row>
    <row r="14" spans="2:8" x14ac:dyDescent="0.25">
      <c r="B14" s="96" t="s">
        <v>9</v>
      </c>
      <c r="C14" s="97" t="s">
        <v>741</v>
      </c>
    </row>
    <row r="15" spans="2:8" x14ac:dyDescent="0.25">
      <c r="B15" s="179" t="s">
        <v>721</v>
      </c>
      <c r="C15" s="180" t="s">
        <v>733</v>
      </c>
    </row>
    <row r="16" spans="2:8" x14ac:dyDescent="0.25">
      <c r="B16" s="179" t="s">
        <v>722</v>
      </c>
      <c r="C16" s="180" t="s">
        <v>739</v>
      </c>
      <c r="E16" s="56"/>
      <c r="F16" s="56"/>
    </row>
    <row r="17" spans="2:6" x14ac:dyDescent="0.25">
      <c r="B17" s="179" t="s">
        <v>723</v>
      </c>
      <c r="C17" s="180" t="s">
        <v>736</v>
      </c>
      <c r="E17" s="56"/>
      <c r="F17" s="56"/>
    </row>
    <row r="18" spans="2:6" x14ac:dyDescent="0.25">
      <c r="B18" s="179" t="s">
        <v>724</v>
      </c>
      <c r="C18" s="180" t="s">
        <v>753</v>
      </c>
      <c r="E18" s="56"/>
      <c r="F18" s="56"/>
    </row>
    <row r="19" spans="2:6" x14ac:dyDescent="0.25">
      <c r="B19" s="179" t="s">
        <v>732</v>
      </c>
      <c r="C19" s="180" t="s">
        <v>752</v>
      </c>
      <c r="E19" s="56"/>
      <c r="F19" s="56"/>
    </row>
    <row r="20" spans="2:6" x14ac:dyDescent="0.25">
      <c r="B20" s="97" t="s">
        <v>762</v>
      </c>
      <c r="C20" s="97" t="s">
        <v>742</v>
      </c>
      <c r="E20" s="56"/>
      <c r="F20" s="56"/>
    </row>
    <row r="21" spans="2:6" x14ac:dyDescent="0.25">
      <c r="B21" s="97" t="s">
        <v>763</v>
      </c>
      <c r="C21" s="97" t="s">
        <v>743</v>
      </c>
      <c r="E21" s="59"/>
      <c r="F21" s="59"/>
    </row>
    <row r="22" spans="2:6" x14ac:dyDescent="0.25">
      <c r="B22" s="179" t="s">
        <v>11</v>
      </c>
      <c r="C22" s="180" t="s">
        <v>713</v>
      </c>
      <c r="E22" s="59"/>
      <c r="F22" s="59"/>
    </row>
    <row r="23" spans="2:6" x14ac:dyDescent="0.25">
      <c r="B23" s="179" t="s">
        <v>714</v>
      </c>
      <c r="C23" s="180" t="s">
        <v>751</v>
      </c>
      <c r="E23" s="59"/>
      <c r="F23" s="59"/>
    </row>
    <row r="24" spans="2:6" x14ac:dyDescent="0.25">
      <c r="B24" s="179" t="s">
        <v>938</v>
      </c>
      <c r="C24" s="180" t="s">
        <v>939</v>
      </c>
      <c r="E24" s="59"/>
      <c r="F24" s="59"/>
    </row>
    <row r="25" spans="2:6" x14ac:dyDescent="0.25">
      <c r="B25" s="96" t="s">
        <v>10</v>
      </c>
      <c r="C25" s="97" t="s">
        <v>35</v>
      </c>
      <c r="E25" s="59"/>
      <c r="F25" s="59"/>
    </row>
    <row r="26" spans="2:6" x14ac:dyDescent="0.25">
      <c r="B26" s="179" t="s">
        <v>764</v>
      </c>
      <c r="C26" s="180" t="s">
        <v>748</v>
      </c>
      <c r="E26" s="59"/>
      <c r="F26" s="59"/>
    </row>
    <row r="27" spans="2:6" x14ac:dyDescent="0.25">
      <c r="B27" s="96"/>
      <c r="C27" s="97"/>
      <c r="E27" s="59"/>
      <c r="F27" s="59"/>
    </row>
    <row r="28" spans="2:6" x14ac:dyDescent="0.25">
      <c r="B28" s="96" t="s">
        <v>718</v>
      </c>
      <c r="C28" s="97" t="s">
        <v>717</v>
      </c>
      <c r="E28" s="59"/>
      <c r="F28" s="59"/>
    </row>
    <row r="29" spans="2:6" x14ac:dyDescent="0.25">
      <c r="B29" s="96" t="s">
        <v>719</v>
      </c>
      <c r="C29" s="97" t="s">
        <v>715</v>
      </c>
      <c r="E29" s="59"/>
      <c r="F29" s="59"/>
    </row>
    <row r="30" spans="2:6" x14ac:dyDescent="0.25">
      <c r="B30" s="96" t="s">
        <v>720</v>
      </c>
      <c r="C30" s="97" t="s">
        <v>746</v>
      </c>
      <c r="E30" s="59"/>
      <c r="F30" s="59"/>
    </row>
    <row r="31" spans="2:6" x14ac:dyDescent="0.25">
      <c r="B31" s="96" t="s">
        <v>725</v>
      </c>
      <c r="C31" s="97" t="s">
        <v>749</v>
      </c>
      <c r="E31" s="59"/>
      <c r="F31" s="59"/>
    </row>
    <row r="32" spans="2:6" x14ac:dyDescent="0.25">
      <c r="B32" s="96" t="s">
        <v>726</v>
      </c>
      <c r="C32" s="97" t="s">
        <v>716</v>
      </c>
      <c r="E32" s="59"/>
      <c r="F32" s="59"/>
    </row>
    <row r="33" spans="2:6" x14ac:dyDescent="0.25">
      <c r="B33" s="96" t="s">
        <v>727</v>
      </c>
      <c r="C33" s="97" t="s">
        <v>37</v>
      </c>
      <c r="E33" s="59"/>
      <c r="F33" s="59"/>
    </row>
    <row r="34" spans="2:6" x14ac:dyDescent="0.25">
      <c r="B34" s="96" t="s">
        <v>728</v>
      </c>
      <c r="C34" s="97" t="s">
        <v>737</v>
      </c>
      <c r="E34" s="59"/>
      <c r="F34" s="59"/>
    </row>
    <row r="35" spans="2:6" x14ac:dyDescent="0.25">
      <c r="B35" s="96" t="s">
        <v>729</v>
      </c>
      <c r="C35" s="97" t="s">
        <v>36</v>
      </c>
      <c r="E35" s="59"/>
      <c r="F35" s="59"/>
    </row>
    <row r="36" spans="2:6" x14ac:dyDescent="0.25">
      <c r="B36" s="96" t="s">
        <v>738</v>
      </c>
      <c r="C36" s="97" t="s">
        <v>735</v>
      </c>
      <c r="E36" s="59"/>
      <c r="F36" s="59"/>
    </row>
    <row r="37" spans="2:6" x14ac:dyDescent="0.25">
      <c r="B37" s="96"/>
      <c r="C37" s="97"/>
    </row>
    <row r="38" spans="2:6" x14ac:dyDescent="0.25">
      <c r="B38" s="96"/>
      <c r="C38" s="97"/>
    </row>
    <row r="39" spans="2:6" x14ac:dyDescent="0.25">
      <c r="B39" s="96"/>
      <c r="C39" s="97"/>
      <c r="D39" s="59"/>
      <c r="E39" s="59"/>
      <c r="F39" s="59"/>
    </row>
    <row r="40" spans="2:6" x14ac:dyDescent="0.25">
      <c r="B40" s="177"/>
      <c r="C40" s="178"/>
      <c r="D40" s="59"/>
      <c r="E40" s="59"/>
      <c r="F40" s="59"/>
    </row>
    <row r="41" spans="2:6" x14ac:dyDescent="0.25">
      <c r="B41" s="177"/>
      <c r="C41" s="178"/>
      <c r="D41" s="59"/>
      <c r="E41" s="59"/>
      <c r="F41" s="59"/>
    </row>
    <row r="42" spans="2:6" x14ac:dyDescent="0.25">
      <c r="B42" s="177"/>
      <c r="C42" s="178"/>
      <c r="E42" s="59"/>
      <c r="F42" s="59"/>
    </row>
    <row r="43" spans="2:6" x14ac:dyDescent="0.25">
      <c r="B43" s="177"/>
      <c r="C43" s="178"/>
      <c r="E43" s="59"/>
      <c r="F43" s="59"/>
    </row>
    <row r="44" spans="2:6" x14ac:dyDescent="0.25">
      <c r="B44" s="177"/>
      <c r="C44" s="178"/>
      <c r="E44" s="59"/>
      <c r="F44" s="59"/>
    </row>
    <row r="45" spans="2:6" x14ac:dyDescent="0.25">
      <c r="B45" s="177"/>
      <c r="C45" s="178"/>
      <c r="E45" s="59"/>
      <c r="F45" s="59"/>
    </row>
    <row r="46" spans="2:6" x14ac:dyDescent="0.25">
      <c r="B46" s="177"/>
      <c r="C46" s="178"/>
      <c r="E46" s="59"/>
      <c r="F46" s="59"/>
    </row>
    <row r="47" spans="2:6" x14ac:dyDescent="0.25">
      <c r="B47" s="177"/>
      <c r="C47" s="178"/>
      <c r="E47" s="59"/>
      <c r="F47" s="59"/>
    </row>
    <row r="48" spans="2:6" x14ac:dyDescent="0.25">
      <c r="B48" s="177"/>
      <c r="C48" s="178"/>
      <c r="E48" s="59"/>
      <c r="F48" s="59"/>
    </row>
    <row r="49" spans="2:3" x14ac:dyDescent="0.25">
      <c r="B49" s="177"/>
      <c r="C49" s="178"/>
    </row>
    <row r="50" spans="2:3" x14ac:dyDescent="0.25">
      <c r="B50" s="177"/>
      <c r="C50" s="178"/>
    </row>
    <row r="51" spans="2:3" x14ac:dyDescent="0.25">
      <c r="B51" s="177"/>
      <c r="C51" s="178"/>
    </row>
    <row r="52" spans="2:3" x14ac:dyDescent="0.25">
      <c r="B52" s="177"/>
      <c r="C52" s="178"/>
    </row>
    <row r="53" spans="2:3" x14ac:dyDescent="0.25">
      <c r="B53" s="183" t="s">
        <v>731</v>
      </c>
      <c r="C53" s="183" t="s">
        <v>731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61CC-3DE7-4E6E-BDAB-335760B3D941}">
  <sheetPr codeName="Planilha4">
    <tabColor rgb="FFFF0000"/>
  </sheetPr>
  <dimension ref="B1:V941"/>
  <sheetViews>
    <sheetView showGridLines="0" zoomScale="85" zoomScaleNormal="85" workbookViewId="0">
      <pane xSplit="2" ySplit="2" topLeftCell="C3" activePane="bottomRight" state="frozen"/>
      <selection activeCell="X47" sqref="X47"/>
      <selection pane="topRight" activeCell="X47" sqref="X47"/>
      <selection pane="bottomLeft" activeCell="X47" sqref="X47"/>
      <selection pane="bottomRight" activeCell="B2" sqref="B2"/>
    </sheetView>
  </sheetViews>
  <sheetFormatPr defaultColWidth="9.140625" defaultRowHeight="15" outlineLevelCol="1" x14ac:dyDescent="0.25"/>
  <cols>
    <col min="1" max="1" width="1.85546875" style="14" customWidth="1"/>
    <col min="2" max="2" width="9.85546875" style="16" customWidth="1"/>
    <col min="3" max="3" width="2.28515625" style="14" customWidth="1"/>
    <col min="4" max="4" width="11" style="16" customWidth="1"/>
    <col min="5" max="5" width="59.7109375" style="14" bestFit="1" customWidth="1"/>
    <col min="6" max="6" width="47" style="21" bestFit="1" customWidth="1"/>
    <col min="7" max="7" width="13.7109375" style="16" bestFit="1" customWidth="1"/>
    <col min="8" max="8" width="15.28515625" style="16" customWidth="1"/>
    <col min="9" max="9" width="17.85546875" style="241" bestFit="1" customWidth="1"/>
    <col min="10" max="10" width="55.28515625" style="16" customWidth="1"/>
    <col min="11" max="11" width="15.85546875" style="14" bestFit="1" customWidth="1"/>
    <col min="12" max="12" width="17.42578125" style="14" customWidth="1"/>
    <col min="13" max="13" width="1.7109375" style="14" customWidth="1"/>
    <col min="14" max="14" width="16.5703125" style="21" hidden="1" customWidth="1" outlineLevel="1"/>
    <col min="15" max="15" width="10.85546875" style="21" hidden="1" customWidth="1" outlineLevel="1"/>
    <col min="16" max="16" width="14.85546875" style="21" hidden="1" customWidth="1" outlineLevel="1"/>
    <col min="17" max="17" width="12.7109375" style="21" hidden="1" customWidth="1" outlineLevel="1"/>
    <col min="18" max="18" width="21.5703125" style="21" hidden="1" customWidth="1" outlineLevel="1"/>
    <col min="19" max="19" width="2.85546875" style="14" hidden="1" customWidth="1" outlineLevel="1"/>
    <col min="20" max="20" width="16" style="16" bestFit="1" customWidth="1" collapsed="1"/>
    <col min="21" max="21" width="20" bestFit="1" customWidth="1"/>
    <col min="22" max="16384" width="9.140625" style="14"/>
  </cols>
  <sheetData>
    <row r="1" spans="2:22" x14ac:dyDescent="0.25">
      <c r="B1" s="31"/>
      <c r="K1" s="34">
        <f>SUBTOTAL(9,K3:K940)</f>
        <v>6120.4800000000196</v>
      </c>
      <c r="L1" s="25">
        <v>-1</v>
      </c>
      <c r="T1" s="27"/>
    </row>
    <row r="2" spans="2:22" s="16" customFormat="1" x14ac:dyDescent="0.25">
      <c r="B2" s="32" t="s">
        <v>828</v>
      </c>
      <c r="C2" s="8" t="s">
        <v>18</v>
      </c>
      <c r="D2" s="13" t="s">
        <v>32</v>
      </c>
      <c r="E2" s="35" t="s">
        <v>17</v>
      </c>
      <c r="F2" s="35" t="s">
        <v>24</v>
      </c>
      <c r="G2" s="13" t="s">
        <v>799</v>
      </c>
      <c r="H2" s="13" t="s">
        <v>829</v>
      </c>
      <c r="I2" s="242" t="s">
        <v>830</v>
      </c>
      <c r="J2" s="13" t="s">
        <v>16</v>
      </c>
      <c r="K2" s="15" t="s">
        <v>33</v>
      </c>
      <c r="L2" s="15" t="s">
        <v>179</v>
      </c>
      <c r="M2" s="8" t="s">
        <v>18</v>
      </c>
      <c r="N2" s="3" t="s">
        <v>835</v>
      </c>
      <c r="O2" s="3" t="s">
        <v>19</v>
      </c>
      <c r="P2" s="3" t="s">
        <v>20</v>
      </c>
      <c r="Q2" s="3" t="s">
        <v>20</v>
      </c>
      <c r="R2" s="3" t="s">
        <v>834</v>
      </c>
      <c r="S2" s="8" t="s">
        <v>18</v>
      </c>
      <c r="T2" s="23" t="s">
        <v>826</v>
      </c>
      <c r="U2" s="23" t="s">
        <v>827</v>
      </c>
      <c r="V2" s="16" t="s">
        <v>731</v>
      </c>
    </row>
    <row r="3" spans="2:22" x14ac:dyDescent="0.25">
      <c r="B3" s="20" t="s">
        <v>25</v>
      </c>
      <c r="C3" s="17"/>
      <c r="D3" s="86" t="str">
        <f>INDEX(Cad_Natureza!$B$3:$C$52,MATCH('2025'!F3,Cad_Natureza!$C$3:$C$52,0),MATCH('2025'!D$2,Cad_Natureza!$B$3:$C$3,0))</f>
        <v>FIN2</v>
      </c>
      <c r="E3" s="84" t="s">
        <v>46</v>
      </c>
      <c r="F3" s="85" t="s">
        <v>751</v>
      </c>
      <c r="G3" s="86" t="s">
        <v>25</v>
      </c>
      <c r="H3" s="87">
        <v>45659</v>
      </c>
      <c r="I3" s="87"/>
      <c r="J3" s="79" t="s">
        <v>193</v>
      </c>
      <c r="K3" s="62">
        <v>-24.15</v>
      </c>
      <c r="L3" s="62">
        <v>-5921.44</v>
      </c>
      <c r="M3" s="17"/>
      <c r="N3" s="21" t="str">
        <f t="shared" ref="N3:N66" si="0">B3&amp;D3&amp;F3</f>
        <v>MCSFIN2CPF - Desp. Financeiras - Juros / Tarifas</v>
      </c>
      <c r="O3" s="21" t="str">
        <f t="shared" ref="O3:O66" si="1">D3&amp;F3</f>
        <v>FIN2CPF - Desp. Financeiras - Juros / Tarifas</v>
      </c>
      <c r="P3" s="21" t="str">
        <f t="shared" ref="P3:P66" si="2">"MCS"&amp;D3&amp;F3</f>
        <v>MCSFIN2CPF - Desp. Financeiras - Juros / Tarifas</v>
      </c>
      <c r="Q3" s="21" t="str">
        <f t="shared" ref="Q3:Q66" si="3">"MCS"&amp;D3</f>
        <v>MCSFIN2</v>
      </c>
      <c r="R3" s="21" t="str">
        <f t="shared" ref="R3:R66" si="4">B3&amp;D3</f>
        <v>MCSFIN2</v>
      </c>
      <c r="S3" s="17"/>
      <c r="T3" s="24">
        <f t="shared" ref="T3:T66" si="5">(1&amp;"/"&amp;MONTH(H3)&amp;"/"&amp;YEAR(H3))*1</f>
        <v>45658</v>
      </c>
      <c r="U3" s="24" t="str">
        <f t="shared" ref="U3:U66" si="6">IF(I3="","",(1&amp;"/"&amp;MONTH(I3)&amp;"/"&amp;YEAR(I3))*1)</f>
        <v/>
      </c>
      <c r="V3" s="14" t="s">
        <v>761</v>
      </c>
    </row>
    <row r="4" spans="2:22" x14ac:dyDescent="0.25">
      <c r="B4" s="20" t="s">
        <v>25</v>
      </c>
      <c r="C4" s="17"/>
      <c r="D4" s="86" t="str">
        <f>INDEX(Cad_Natureza!$B$3:$C$52,MATCH('2025'!F4,Cad_Natureza!$C$3:$C$52,0),MATCH('2025'!D$2,Cad_Natureza!$B$3:$C$3,0))</f>
        <v>FIN2</v>
      </c>
      <c r="E4" s="84" t="s">
        <v>46</v>
      </c>
      <c r="F4" s="85" t="s">
        <v>751</v>
      </c>
      <c r="G4" s="86" t="s">
        <v>25</v>
      </c>
      <c r="H4" s="87">
        <v>45659</v>
      </c>
      <c r="I4" s="87"/>
      <c r="J4" s="79" t="s">
        <v>193</v>
      </c>
      <c r="K4" s="62">
        <v>-17.09</v>
      </c>
      <c r="L4" s="62">
        <v>-5938.53</v>
      </c>
      <c r="M4" s="17"/>
      <c r="N4" s="21" t="str">
        <f t="shared" si="0"/>
        <v>MCSFIN2CPF - Desp. Financeiras - Juros / Tarifas</v>
      </c>
      <c r="O4" s="21" t="str">
        <f t="shared" si="1"/>
        <v>FIN2CPF - Desp. Financeiras - Juros / Tarifas</v>
      </c>
      <c r="P4" s="21" t="str">
        <f t="shared" si="2"/>
        <v>MCSFIN2CPF - Desp. Financeiras - Juros / Tarifas</v>
      </c>
      <c r="Q4" s="21" t="str">
        <f t="shared" si="3"/>
        <v>MCSFIN2</v>
      </c>
      <c r="R4" s="21" t="str">
        <f t="shared" si="4"/>
        <v>MCSFIN2</v>
      </c>
      <c r="S4" s="17"/>
      <c r="T4" s="24">
        <f t="shared" si="5"/>
        <v>45658</v>
      </c>
      <c r="U4" s="24" t="str">
        <f t="shared" si="6"/>
        <v/>
      </c>
      <c r="V4" s="14" t="s">
        <v>761</v>
      </c>
    </row>
    <row r="5" spans="2:22" x14ac:dyDescent="0.25">
      <c r="B5" s="20" t="s">
        <v>25</v>
      </c>
      <c r="C5" s="17"/>
      <c r="D5" s="86" t="str">
        <f>INDEX(Cad_Natureza!$B$3:$C$52,MATCH('2025'!F5,Cad_Natureza!$C$3:$C$52,0),MATCH('2025'!D$2,Cad_Natureza!$B$3:$C$3,0))</f>
        <v>FIN2</v>
      </c>
      <c r="E5" s="84" t="s">
        <v>40</v>
      </c>
      <c r="F5" s="85" t="s">
        <v>751</v>
      </c>
      <c r="G5" s="86" t="s">
        <v>25</v>
      </c>
      <c r="H5" s="87">
        <v>45660</v>
      </c>
      <c r="I5" s="87"/>
      <c r="J5" s="79" t="s">
        <v>189</v>
      </c>
      <c r="K5" s="62">
        <v>-17.02</v>
      </c>
      <c r="L5" s="62">
        <v>-5955.55</v>
      </c>
      <c r="M5" s="17"/>
      <c r="N5" s="21" t="str">
        <f t="shared" si="0"/>
        <v>MCSFIN2CPF - Desp. Financeiras - Juros / Tarifas</v>
      </c>
      <c r="O5" s="21" t="str">
        <f t="shared" si="1"/>
        <v>FIN2CPF - Desp. Financeiras - Juros / Tarifas</v>
      </c>
      <c r="P5" s="21" t="str">
        <f t="shared" si="2"/>
        <v>MCSFIN2CPF - Desp. Financeiras - Juros / Tarifas</v>
      </c>
      <c r="Q5" s="21" t="str">
        <f t="shared" si="3"/>
        <v>MCSFIN2</v>
      </c>
      <c r="R5" s="21" t="str">
        <f t="shared" si="4"/>
        <v>MCSFIN2</v>
      </c>
      <c r="S5" s="17"/>
      <c r="T5" s="24">
        <f t="shared" si="5"/>
        <v>45658</v>
      </c>
      <c r="U5" s="24" t="str">
        <f t="shared" si="6"/>
        <v/>
      </c>
      <c r="V5" s="14" t="s">
        <v>761</v>
      </c>
    </row>
    <row r="6" spans="2:22" x14ac:dyDescent="0.25">
      <c r="B6" s="20" t="s">
        <v>25</v>
      </c>
      <c r="C6" s="17"/>
      <c r="D6" s="86" t="str">
        <f>INDEX(Cad_Natureza!$B$3:$C$52,MATCH('2025'!F6,Cad_Natureza!$C$3:$C$52,0),MATCH('2025'!D$2,Cad_Natureza!$B$3:$C$3,0))</f>
        <v>FIN1</v>
      </c>
      <c r="E6" s="84" t="s">
        <v>48</v>
      </c>
      <c r="F6" s="85" t="s">
        <v>713</v>
      </c>
      <c r="G6" s="86" t="s">
        <v>25</v>
      </c>
      <c r="H6" s="87">
        <v>45665</v>
      </c>
      <c r="I6" s="87"/>
      <c r="J6" s="79" t="s">
        <v>353</v>
      </c>
      <c r="K6" s="62">
        <v>-127.18</v>
      </c>
      <c r="L6" s="62">
        <v>-6082.7300000000005</v>
      </c>
      <c r="M6" s="17"/>
      <c r="N6" s="21" t="str">
        <f t="shared" si="0"/>
        <v>MCSFIN1CPF - Desp. Financeiras - Empréstimos</v>
      </c>
      <c r="O6" s="21" t="str">
        <f t="shared" si="1"/>
        <v>FIN1CPF - Desp. Financeiras - Empréstimos</v>
      </c>
      <c r="P6" s="21" t="str">
        <f t="shared" si="2"/>
        <v>MCSFIN1CPF - Desp. Financeiras - Empréstimos</v>
      </c>
      <c r="Q6" s="21" t="str">
        <f t="shared" si="3"/>
        <v>MCSFIN1</v>
      </c>
      <c r="R6" s="21" t="str">
        <f t="shared" si="4"/>
        <v>MCSFIN1</v>
      </c>
      <c r="S6" s="17"/>
      <c r="T6" s="24">
        <f t="shared" si="5"/>
        <v>45658</v>
      </c>
      <c r="U6" s="24" t="str">
        <f t="shared" si="6"/>
        <v/>
      </c>
      <c r="V6" s="14" t="s">
        <v>761</v>
      </c>
    </row>
    <row r="7" spans="2:22" x14ac:dyDescent="0.25">
      <c r="B7" s="20" t="s">
        <v>25</v>
      </c>
      <c r="C7" s="17"/>
      <c r="D7" s="86" t="str">
        <f>INDEX(Cad_Natureza!$B$3:$C$52,MATCH('2025'!F7,Cad_Natureza!$C$3:$C$52,0),MATCH('2025'!D$2,Cad_Natureza!$B$3:$C$3,0))</f>
        <v>DESP1</v>
      </c>
      <c r="E7" s="84" t="s">
        <v>43</v>
      </c>
      <c r="F7" s="85" t="s">
        <v>733</v>
      </c>
      <c r="G7" s="86" t="s">
        <v>25</v>
      </c>
      <c r="H7" s="87">
        <v>45665</v>
      </c>
      <c r="I7" s="87"/>
      <c r="J7" s="79" t="s">
        <v>361</v>
      </c>
      <c r="K7" s="62">
        <v>-5.9</v>
      </c>
      <c r="L7" s="62">
        <v>-6088.63</v>
      </c>
      <c r="M7" s="17"/>
      <c r="N7" s="21" t="str">
        <f t="shared" si="0"/>
        <v>MCSDESP1CPF - Desp. Cartão de crédito</v>
      </c>
      <c r="O7" s="21" t="str">
        <f t="shared" si="1"/>
        <v>DESP1CPF - Desp. Cartão de crédito</v>
      </c>
      <c r="P7" s="21" t="str">
        <f t="shared" si="2"/>
        <v>MCSDESP1CPF - Desp. Cartão de crédito</v>
      </c>
      <c r="Q7" s="21" t="str">
        <f t="shared" si="3"/>
        <v>MCSDESP1</v>
      </c>
      <c r="R7" s="21" t="str">
        <f t="shared" si="4"/>
        <v>MCSDESP1</v>
      </c>
      <c r="S7" s="17"/>
      <c r="T7" s="24">
        <f t="shared" si="5"/>
        <v>45658</v>
      </c>
      <c r="U7" s="24" t="str">
        <f t="shared" si="6"/>
        <v/>
      </c>
      <c r="V7" s="14" t="s">
        <v>761</v>
      </c>
    </row>
    <row r="8" spans="2:22" x14ac:dyDescent="0.25">
      <c r="B8" s="20" t="s">
        <v>25</v>
      </c>
      <c r="C8" s="17"/>
      <c r="D8" s="63" t="str">
        <f>INDEX(Cad_Natureza!$B$3:$C$52,MATCH('2025'!F8,Cad_Natureza!$C$3:$C$52,0),MATCH('2025'!D$2,Cad_Natureza!$B$3:$C$3,0))</f>
        <v>REC4</v>
      </c>
      <c r="E8" s="64" t="s">
        <v>49</v>
      </c>
      <c r="F8" s="65" t="s">
        <v>734</v>
      </c>
      <c r="G8" s="63" t="s">
        <v>25</v>
      </c>
      <c r="H8" s="66">
        <v>45665</v>
      </c>
      <c r="I8" s="66"/>
      <c r="J8" s="67" t="s">
        <v>183</v>
      </c>
      <c r="K8" s="68">
        <v>1000</v>
      </c>
      <c r="L8" s="62">
        <v>-5088.63</v>
      </c>
      <c r="M8" s="17"/>
      <c r="N8" s="21" t="str">
        <f t="shared" si="0"/>
        <v>MCSREC4CPF - Transf. Da conta PJ para a conta PF</v>
      </c>
      <c r="O8" s="21" t="str">
        <f t="shared" si="1"/>
        <v>REC4CPF - Transf. Da conta PJ para a conta PF</v>
      </c>
      <c r="P8" s="21" t="str">
        <f t="shared" si="2"/>
        <v>MCSREC4CPF - Transf. Da conta PJ para a conta PF</v>
      </c>
      <c r="Q8" s="21" t="str">
        <f t="shared" si="3"/>
        <v>MCSREC4</v>
      </c>
      <c r="R8" s="21" t="str">
        <f t="shared" si="4"/>
        <v>MCSREC4</v>
      </c>
      <c r="S8" s="17"/>
      <c r="T8" s="24">
        <f t="shared" si="5"/>
        <v>45658</v>
      </c>
      <c r="U8" s="24" t="str">
        <f t="shared" si="6"/>
        <v/>
      </c>
      <c r="V8" s="14" t="s">
        <v>761</v>
      </c>
    </row>
    <row r="9" spans="2:22" x14ac:dyDescent="0.25">
      <c r="B9" s="20" t="s">
        <v>25</v>
      </c>
      <c r="C9" s="17"/>
      <c r="D9" s="86" t="str">
        <f>INDEX(Cad_Natureza!$B$3:$C$52,MATCH('2025'!F9,Cad_Natureza!$C$3:$C$52,0),MATCH('2025'!D$2,Cad_Natureza!$B$3:$C$3,0))</f>
        <v>PENS5</v>
      </c>
      <c r="E9" s="84" t="s">
        <v>50</v>
      </c>
      <c r="F9" s="85" t="s">
        <v>716</v>
      </c>
      <c r="G9" s="86" t="s">
        <v>25</v>
      </c>
      <c r="H9" s="87">
        <v>45665</v>
      </c>
      <c r="I9" s="87"/>
      <c r="J9" s="78" t="s">
        <v>465</v>
      </c>
      <c r="K9" s="62">
        <v>-205.22</v>
      </c>
      <c r="L9" s="62">
        <v>-5293.85</v>
      </c>
      <c r="M9" s="17"/>
      <c r="N9" s="21" t="str">
        <f t="shared" si="0"/>
        <v>MCSPENS5CPF - Pensão - Água</v>
      </c>
      <c r="O9" s="21" t="str">
        <f t="shared" si="1"/>
        <v>PENS5CPF - Pensão - Água</v>
      </c>
      <c r="P9" s="21" t="str">
        <f t="shared" si="2"/>
        <v>MCSPENS5CPF - Pensão - Água</v>
      </c>
      <c r="Q9" s="21" t="str">
        <f t="shared" si="3"/>
        <v>MCSPENS5</v>
      </c>
      <c r="R9" s="21" t="str">
        <f t="shared" si="4"/>
        <v>MCSPENS5</v>
      </c>
      <c r="S9" s="17"/>
      <c r="T9" s="24">
        <f t="shared" si="5"/>
        <v>45658</v>
      </c>
      <c r="U9" s="24" t="str">
        <f t="shared" si="6"/>
        <v/>
      </c>
      <c r="V9" s="14" t="s">
        <v>731</v>
      </c>
    </row>
    <row r="10" spans="2:22" x14ac:dyDescent="0.25">
      <c r="B10" s="20" t="s">
        <v>25</v>
      </c>
      <c r="C10" s="17"/>
      <c r="D10" s="86" t="str">
        <f>INDEX(Cad_Natureza!$B$3:$C$52,MATCH('2025'!F10,Cad_Natureza!$C$3:$C$52,0),MATCH('2025'!D$2,Cad_Natureza!$B$3:$C$3,0))</f>
        <v>PENS2</v>
      </c>
      <c r="E10" s="84" t="s">
        <v>51</v>
      </c>
      <c r="F10" s="85" t="s">
        <v>715</v>
      </c>
      <c r="G10" s="86" t="s">
        <v>25</v>
      </c>
      <c r="H10" s="87">
        <v>45665</v>
      </c>
      <c r="I10" s="87"/>
      <c r="J10" s="78" t="s">
        <v>773</v>
      </c>
      <c r="K10" s="62">
        <v>-277.69</v>
      </c>
      <c r="L10" s="62">
        <v>-5571.54</v>
      </c>
      <c r="M10" s="17"/>
      <c r="N10" s="21" t="str">
        <f t="shared" si="0"/>
        <v>MCSPENS2CPF - Pensão - Energia</v>
      </c>
      <c r="O10" s="21" t="str">
        <f t="shared" si="1"/>
        <v>PENS2CPF - Pensão - Energia</v>
      </c>
      <c r="P10" s="21" t="str">
        <f t="shared" si="2"/>
        <v>MCSPENS2CPF - Pensão - Energia</v>
      </c>
      <c r="Q10" s="21" t="str">
        <f t="shared" si="3"/>
        <v>MCSPENS2</v>
      </c>
      <c r="R10" s="21" t="str">
        <f t="shared" si="4"/>
        <v>MCSPENS2</v>
      </c>
      <c r="S10" s="17"/>
      <c r="T10" s="24">
        <f t="shared" si="5"/>
        <v>45658</v>
      </c>
      <c r="U10" s="24" t="str">
        <f t="shared" si="6"/>
        <v/>
      </c>
      <c r="V10" s="14" t="s">
        <v>731</v>
      </c>
    </row>
    <row r="11" spans="2:22" x14ac:dyDescent="0.25">
      <c r="B11" s="20" t="s">
        <v>25</v>
      </c>
      <c r="C11" s="17"/>
      <c r="D11" s="63" t="str">
        <f>INDEX(Cad_Natureza!$B$3:$C$52,MATCH('2025'!F11,Cad_Natureza!$C$3:$C$52,0),MATCH('2025'!D$2,Cad_Natureza!$B$3:$C$3,0))</f>
        <v>FIN3</v>
      </c>
      <c r="E11" s="64" t="s">
        <v>52</v>
      </c>
      <c r="F11" s="65" t="s">
        <v>939</v>
      </c>
      <c r="G11" s="63" t="s">
        <v>25</v>
      </c>
      <c r="H11" s="66">
        <v>45665</v>
      </c>
      <c r="I11" s="66"/>
      <c r="J11" s="67" t="s">
        <v>572</v>
      </c>
      <c r="K11" s="68">
        <v>6270.89</v>
      </c>
      <c r="L11" s="68">
        <v>699.35000000000036</v>
      </c>
      <c r="M11" s="17"/>
      <c r="N11" s="21" t="str">
        <f t="shared" si="0"/>
        <v>MCSFIN3CPF - Desp. Financeiras - Empréstimos bancários</v>
      </c>
      <c r="O11" s="21" t="str">
        <f t="shared" si="1"/>
        <v>FIN3CPF - Desp. Financeiras - Empréstimos bancários</v>
      </c>
      <c r="P11" s="21" t="str">
        <f t="shared" si="2"/>
        <v>MCSFIN3CPF - Desp. Financeiras - Empréstimos bancários</v>
      </c>
      <c r="Q11" s="21" t="str">
        <f t="shared" si="3"/>
        <v>MCSFIN3</v>
      </c>
      <c r="R11" s="21" t="str">
        <f t="shared" si="4"/>
        <v>MCSFIN3</v>
      </c>
      <c r="S11" s="17"/>
      <c r="T11" s="24">
        <f t="shared" si="5"/>
        <v>45658</v>
      </c>
      <c r="U11" s="24" t="str">
        <f t="shared" si="6"/>
        <v/>
      </c>
      <c r="V11" s="14" t="s">
        <v>761</v>
      </c>
    </row>
    <row r="12" spans="2:22" x14ac:dyDescent="0.25">
      <c r="B12" s="20" t="s">
        <v>25</v>
      </c>
      <c r="C12" s="17"/>
      <c r="D12" s="86" t="str">
        <f>INDEX(Cad_Natureza!$B$3:$C$52,MATCH('2025'!F12,Cad_Natureza!$C$3:$C$52,0),MATCH('2025'!D$2,Cad_Natureza!$B$3:$C$3,0))</f>
        <v>TRI1</v>
      </c>
      <c r="E12" s="84" t="s">
        <v>53</v>
      </c>
      <c r="F12" s="85" t="s">
        <v>35</v>
      </c>
      <c r="G12" s="86" t="s">
        <v>25</v>
      </c>
      <c r="H12" s="87">
        <v>45665</v>
      </c>
      <c r="I12" s="87"/>
      <c r="J12" s="79" t="s">
        <v>188</v>
      </c>
      <c r="K12" s="62">
        <v>-28</v>
      </c>
      <c r="L12" s="68">
        <v>671.35000000000036</v>
      </c>
      <c r="M12" s="17"/>
      <c r="N12" s="21" t="str">
        <f t="shared" si="0"/>
        <v>MCSTRI1CPF - Desp. Impostos e Obrigações</v>
      </c>
      <c r="O12" s="21" t="str">
        <f t="shared" si="1"/>
        <v>TRI1CPF - Desp. Impostos e Obrigações</v>
      </c>
      <c r="P12" s="21" t="str">
        <f t="shared" si="2"/>
        <v>MCSTRI1CPF - Desp. Impostos e Obrigações</v>
      </c>
      <c r="Q12" s="21" t="str">
        <f t="shared" si="3"/>
        <v>MCSTRI1</v>
      </c>
      <c r="R12" s="21" t="str">
        <f t="shared" si="4"/>
        <v>MCSTRI1</v>
      </c>
      <c r="S12" s="17"/>
      <c r="T12" s="24">
        <f t="shared" si="5"/>
        <v>45658</v>
      </c>
      <c r="U12" s="24" t="str">
        <f t="shared" si="6"/>
        <v/>
      </c>
      <c r="V12" s="14" t="s">
        <v>761</v>
      </c>
    </row>
    <row r="13" spans="2:22" x14ac:dyDescent="0.25">
      <c r="B13" s="20" t="s">
        <v>25</v>
      </c>
      <c r="C13" s="17"/>
      <c r="D13" s="86" t="str">
        <f>INDEX(Cad_Natureza!$B$3:$C$52,MATCH('2025'!F13,Cad_Natureza!$C$3:$C$52,0),MATCH('2025'!D$2,Cad_Natureza!$B$3:$C$3,0))</f>
        <v>OPF2</v>
      </c>
      <c r="E13" s="84" t="s">
        <v>54</v>
      </c>
      <c r="F13" s="85" t="s">
        <v>741</v>
      </c>
      <c r="G13" s="86" t="s">
        <v>25</v>
      </c>
      <c r="H13" s="87">
        <v>45666</v>
      </c>
      <c r="I13" s="87"/>
      <c r="J13" s="79" t="s">
        <v>184</v>
      </c>
      <c r="K13" s="62">
        <v>-50</v>
      </c>
      <c r="L13" s="68">
        <v>621.35000000000036</v>
      </c>
      <c r="M13" s="17"/>
      <c r="N13" s="21" t="str">
        <f t="shared" si="0"/>
        <v>MCSOPF2CPF - Desp. Transporte / Combustível</v>
      </c>
      <c r="O13" s="21" t="str">
        <f t="shared" si="1"/>
        <v>OPF2CPF - Desp. Transporte / Combustível</v>
      </c>
      <c r="P13" s="21" t="str">
        <f t="shared" si="2"/>
        <v>MCSOPF2CPF - Desp. Transporte / Combustível</v>
      </c>
      <c r="Q13" s="21" t="str">
        <f t="shared" si="3"/>
        <v>MCSOPF2</v>
      </c>
      <c r="R13" s="21" t="str">
        <f t="shared" si="4"/>
        <v>MCSOPF2</v>
      </c>
      <c r="S13" s="17"/>
      <c r="T13" s="24">
        <f t="shared" si="5"/>
        <v>45658</v>
      </c>
      <c r="U13" s="24" t="str">
        <f t="shared" si="6"/>
        <v/>
      </c>
      <c r="V13" s="14" t="s">
        <v>761</v>
      </c>
    </row>
    <row r="14" spans="2:22" x14ac:dyDescent="0.25">
      <c r="B14" s="20" t="s">
        <v>25</v>
      </c>
      <c r="C14" s="17"/>
      <c r="D14" s="86" t="str">
        <f>INDEX(Cad_Natureza!$B$3:$C$52,MATCH('2025'!F14,Cad_Natureza!$C$3:$C$52,0),MATCH('2025'!D$2,Cad_Natureza!$B$3:$C$3,0))</f>
        <v>PENS9</v>
      </c>
      <c r="E14" s="84" t="s">
        <v>55</v>
      </c>
      <c r="F14" s="85" t="s">
        <v>735</v>
      </c>
      <c r="G14" s="86" t="s">
        <v>25</v>
      </c>
      <c r="H14" s="87">
        <v>45666</v>
      </c>
      <c r="I14" s="87"/>
      <c r="J14" s="78" t="s">
        <v>199</v>
      </c>
      <c r="K14" s="62">
        <v>-10</v>
      </c>
      <c r="L14" s="68">
        <v>611.35000000000036</v>
      </c>
      <c r="M14" s="17"/>
      <c r="N14" s="21" t="str">
        <f t="shared" si="0"/>
        <v>MCSPENS9CPF - Pensão - Outros Gastos</v>
      </c>
      <c r="O14" s="21" t="str">
        <f t="shared" si="1"/>
        <v>PENS9CPF - Pensão - Outros Gastos</v>
      </c>
      <c r="P14" s="21" t="str">
        <f t="shared" si="2"/>
        <v>MCSPENS9CPF - Pensão - Outros Gastos</v>
      </c>
      <c r="Q14" s="21" t="str">
        <f t="shared" si="3"/>
        <v>MCSPENS9</v>
      </c>
      <c r="R14" s="21" t="str">
        <f t="shared" si="4"/>
        <v>MCSPENS9</v>
      </c>
      <c r="S14" s="17"/>
      <c r="T14" s="24">
        <f t="shared" si="5"/>
        <v>45658</v>
      </c>
      <c r="U14" s="24" t="str">
        <f t="shared" si="6"/>
        <v/>
      </c>
      <c r="V14" s="14" t="s">
        <v>731</v>
      </c>
    </row>
    <row r="15" spans="2:22" x14ac:dyDescent="0.25">
      <c r="B15" s="20" t="s">
        <v>25</v>
      </c>
      <c r="C15" s="17"/>
      <c r="D15" s="86" t="str">
        <f>INDEX(Cad_Natureza!$B$3:$C$52,MATCH('2025'!F15,Cad_Natureza!$C$3:$C$52,0),MATCH('2025'!D$2,Cad_Natureza!$B$3:$C$3,0))</f>
        <v>PENS1</v>
      </c>
      <c r="E15" s="84" t="s">
        <v>55</v>
      </c>
      <c r="F15" s="85" t="s">
        <v>717</v>
      </c>
      <c r="G15" s="86" t="s">
        <v>25</v>
      </c>
      <c r="H15" s="87">
        <v>45666</v>
      </c>
      <c r="I15" s="87"/>
      <c r="J15" s="78" t="s">
        <v>605</v>
      </c>
      <c r="K15" s="62">
        <v>-550</v>
      </c>
      <c r="L15" s="68">
        <v>61.350000000000364</v>
      </c>
      <c r="M15" s="17"/>
      <c r="N15" s="21" t="str">
        <f t="shared" si="0"/>
        <v>MCSPENS1CPF - Pensão - Aluguel</v>
      </c>
      <c r="O15" s="21" t="str">
        <f t="shared" si="1"/>
        <v>PENS1CPF - Pensão - Aluguel</v>
      </c>
      <c r="P15" s="21" t="str">
        <f t="shared" si="2"/>
        <v>MCSPENS1CPF - Pensão - Aluguel</v>
      </c>
      <c r="Q15" s="21" t="str">
        <f t="shared" si="3"/>
        <v>MCSPENS1</v>
      </c>
      <c r="R15" s="21" t="str">
        <f t="shared" si="4"/>
        <v>MCSPENS1</v>
      </c>
      <c r="S15" s="17"/>
      <c r="T15" s="24">
        <f t="shared" si="5"/>
        <v>45658</v>
      </c>
      <c r="U15" s="24" t="str">
        <f t="shared" si="6"/>
        <v/>
      </c>
      <c r="V15" s="14" t="s">
        <v>731</v>
      </c>
    </row>
    <row r="16" spans="2:22" x14ac:dyDescent="0.25">
      <c r="B16" s="20" t="s">
        <v>25</v>
      </c>
      <c r="C16" s="17"/>
      <c r="D16" s="86" t="str">
        <f>INDEX(Cad_Natureza!$B$3:$C$52,MATCH('2025'!F16,Cad_Natureza!$C$3:$C$52,0),MATCH('2025'!D$2,Cad_Natureza!$B$3:$C$3,0))</f>
        <v>PENS9</v>
      </c>
      <c r="E16" s="84" t="s">
        <v>55</v>
      </c>
      <c r="F16" s="85" t="s">
        <v>735</v>
      </c>
      <c r="G16" s="86" t="s">
        <v>25</v>
      </c>
      <c r="H16" s="87">
        <v>45666</v>
      </c>
      <c r="I16" s="87"/>
      <c r="J16" s="78" t="s">
        <v>199</v>
      </c>
      <c r="K16" s="62">
        <v>-40</v>
      </c>
      <c r="L16" s="68">
        <v>21.350000000000364</v>
      </c>
      <c r="M16" s="17"/>
      <c r="N16" s="21" t="str">
        <f t="shared" si="0"/>
        <v>MCSPENS9CPF - Pensão - Outros Gastos</v>
      </c>
      <c r="O16" s="21" t="str">
        <f t="shared" si="1"/>
        <v>PENS9CPF - Pensão - Outros Gastos</v>
      </c>
      <c r="P16" s="21" t="str">
        <f t="shared" si="2"/>
        <v>MCSPENS9CPF - Pensão - Outros Gastos</v>
      </c>
      <c r="Q16" s="21" t="str">
        <f t="shared" si="3"/>
        <v>MCSPENS9</v>
      </c>
      <c r="R16" s="21" t="str">
        <f t="shared" si="4"/>
        <v>MCSPENS9</v>
      </c>
      <c r="S16" s="17"/>
      <c r="T16" s="24">
        <f t="shared" si="5"/>
        <v>45658</v>
      </c>
      <c r="U16" s="24" t="str">
        <f t="shared" si="6"/>
        <v/>
      </c>
      <c r="V16" s="14" t="s">
        <v>731</v>
      </c>
    </row>
    <row r="17" spans="2:22" x14ac:dyDescent="0.25">
      <c r="B17" s="20" t="s">
        <v>25</v>
      </c>
      <c r="C17" s="17"/>
      <c r="D17" s="63" t="str">
        <f>INDEX(Cad_Natureza!$B$3:$C$52,MATCH('2025'!F17,Cad_Natureza!$C$3:$C$52,0),MATCH('2025'!D$2,Cad_Natureza!$B$3:$C$3,0))</f>
        <v>REC4</v>
      </c>
      <c r="E17" s="64" t="s">
        <v>56</v>
      </c>
      <c r="F17" s="65" t="s">
        <v>734</v>
      </c>
      <c r="G17" s="63" t="s">
        <v>25</v>
      </c>
      <c r="H17" s="66">
        <v>45666</v>
      </c>
      <c r="I17" s="66"/>
      <c r="J17" s="67" t="s">
        <v>183</v>
      </c>
      <c r="K17" s="68">
        <v>1000</v>
      </c>
      <c r="L17" s="68">
        <v>1021.3500000000004</v>
      </c>
      <c r="M17" s="17"/>
      <c r="N17" s="21" t="str">
        <f t="shared" si="0"/>
        <v>MCSREC4CPF - Transf. Da conta PJ para a conta PF</v>
      </c>
      <c r="O17" s="21" t="str">
        <f t="shared" si="1"/>
        <v>REC4CPF - Transf. Da conta PJ para a conta PF</v>
      </c>
      <c r="P17" s="21" t="str">
        <f t="shared" si="2"/>
        <v>MCSREC4CPF - Transf. Da conta PJ para a conta PF</v>
      </c>
      <c r="Q17" s="21" t="str">
        <f t="shared" si="3"/>
        <v>MCSREC4</v>
      </c>
      <c r="R17" s="21" t="str">
        <f t="shared" si="4"/>
        <v>MCSREC4</v>
      </c>
      <c r="S17" s="17"/>
      <c r="T17" s="24">
        <f t="shared" si="5"/>
        <v>45658</v>
      </c>
      <c r="U17" s="24" t="str">
        <f t="shared" si="6"/>
        <v/>
      </c>
      <c r="V17" s="14" t="s">
        <v>761</v>
      </c>
    </row>
    <row r="18" spans="2:22" x14ac:dyDescent="0.25">
      <c r="B18" s="20" t="s">
        <v>25</v>
      </c>
      <c r="C18" s="17"/>
      <c r="D18" s="86" t="str">
        <f>INDEX(Cad_Natureza!$B$3:$C$52,MATCH('2025'!F18,Cad_Natureza!$C$3:$C$52,0),MATCH('2025'!D$2,Cad_Natureza!$B$3:$C$3,0))</f>
        <v>DESP3</v>
      </c>
      <c r="E18" s="84" t="s">
        <v>57</v>
      </c>
      <c r="F18" s="85" t="s">
        <v>736</v>
      </c>
      <c r="G18" s="86" t="s">
        <v>25</v>
      </c>
      <c r="H18" s="87">
        <v>45666</v>
      </c>
      <c r="I18" s="87"/>
      <c r="J18" s="79" t="s">
        <v>570</v>
      </c>
      <c r="K18" s="62">
        <v>-190.27</v>
      </c>
      <c r="L18" s="68">
        <v>831.08000000000038</v>
      </c>
      <c r="M18" s="17"/>
      <c r="N18" s="21" t="str">
        <f t="shared" si="0"/>
        <v xml:space="preserve">MCSDESP3CPF - Desp. com veículo - Manut. / Gastos </v>
      </c>
      <c r="O18" s="21" t="str">
        <f t="shared" si="1"/>
        <v xml:space="preserve">DESP3CPF - Desp. com veículo - Manut. / Gastos </v>
      </c>
      <c r="P18" s="21" t="str">
        <f t="shared" si="2"/>
        <v xml:space="preserve">MCSDESP3CPF - Desp. com veículo - Manut. / Gastos </v>
      </c>
      <c r="Q18" s="21" t="str">
        <f t="shared" si="3"/>
        <v>MCSDESP3</v>
      </c>
      <c r="R18" s="21" t="str">
        <f t="shared" si="4"/>
        <v>MCSDESP3</v>
      </c>
      <c r="S18" s="17"/>
      <c r="T18" s="24">
        <f t="shared" si="5"/>
        <v>45658</v>
      </c>
      <c r="U18" s="24" t="str">
        <f t="shared" si="6"/>
        <v/>
      </c>
      <c r="V18" s="14" t="s">
        <v>761</v>
      </c>
    </row>
    <row r="19" spans="2:22" x14ac:dyDescent="0.25">
      <c r="B19" s="20" t="s">
        <v>25</v>
      </c>
      <c r="C19" s="17"/>
      <c r="D19" s="86" t="str">
        <f>INDEX(Cad_Natureza!$B$3:$C$52,MATCH('2025'!F19,Cad_Natureza!$C$3:$C$52,0),MATCH('2025'!D$2,Cad_Natureza!$B$3:$C$3,0))</f>
        <v>GAST1</v>
      </c>
      <c r="E19" s="84" t="s">
        <v>58</v>
      </c>
      <c r="F19" s="85" t="s">
        <v>742</v>
      </c>
      <c r="G19" s="86" t="s">
        <v>25</v>
      </c>
      <c r="H19" s="87">
        <v>45666</v>
      </c>
      <c r="I19" s="87"/>
      <c r="J19" s="79" t="s">
        <v>185</v>
      </c>
      <c r="K19" s="62">
        <v>-23</v>
      </c>
      <c r="L19" s="68">
        <v>808.08000000000038</v>
      </c>
      <c r="M19" s="17"/>
      <c r="N19" s="21" t="str">
        <f t="shared" si="0"/>
        <v>MCSGAST1CPF - Desp. Lazer e Entretenimento - Bares</v>
      </c>
      <c r="O19" s="21" t="str">
        <f t="shared" si="1"/>
        <v>GAST1CPF - Desp. Lazer e Entretenimento - Bares</v>
      </c>
      <c r="P19" s="21" t="str">
        <f t="shared" si="2"/>
        <v>MCSGAST1CPF - Desp. Lazer e Entretenimento - Bares</v>
      </c>
      <c r="Q19" s="21" t="str">
        <f t="shared" si="3"/>
        <v>MCSGAST1</v>
      </c>
      <c r="R19" s="21" t="str">
        <f t="shared" si="4"/>
        <v>MCSGAST1</v>
      </c>
      <c r="S19" s="17"/>
      <c r="T19" s="24">
        <f t="shared" si="5"/>
        <v>45658</v>
      </c>
      <c r="U19" s="24" t="str">
        <f t="shared" si="6"/>
        <v/>
      </c>
      <c r="V19" s="14" t="s">
        <v>761</v>
      </c>
    </row>
    <row r="20" spans="2:22" x14ac:dyDescent="0.25">
      <c r="B20" s="20" t="s">
        <v>25</v>
      </c>
      <c r="C20" s="17"/>
      <c r="D20" s="86" t="str">
        <f>INDEX(Cad_Natureza!$B$3:$C$52,MATCH('2025'!F20,Cad_Natureza!$C$3:$C$52,0),MATCH('2025'!D$2,Cad_Natureza!$B$3:$C$3,0))</f>
        <v>GAST1</v>
      </c>
      <c r="E20" s="84" t="s">
        <v>59</v>
      </c>
      <c r="F20" s="85" t="s">
        <v>742</v>
      </c>
      <c r="G20" s="86" t="s">
        <v>25</v>
      </c>
      <c r="H20" s="87">
        <v>45666</v>
      </c>
      <c r="I20" s="87"/>
      <c r="J20" s="79" t="s">
        <v>185</v>
      </c>
      <c r="K20" s="62">
        <v>-20</v>
      </c>
      <c r="L20" s="68">
        <v>788.08000000000038</v>
      </c>
      <c r="M20" s="17"/>
      <c r="N20" s="21" t="str">
        <f t="shared" si="0"/>
        <v>MCSGAST1CPF - Desp. Lazer e Entretenimento - Bares</v>
      </c>
      <c r="O20" s="21" t="str">
        <f t="shared" si="1"/>
        <v>GAST1CPF - Desp. Lazer e Entretenimento - Bares</v>
      </c>
      <c r="P20" s="21" t="str">
        <f t="shared" si="2"/>
        <v>MCSGAST1CPF - Desp. Lazer e Entretenimento - Bares</v>
      </c>
      <c r="Q20" s="21" t="str">
        <f t="shared" si="3"/>
        <v>MCSGAST1</v>
      </c>
      <c r="R20" s="21" t="str">
        <f t="shared" si="4"/>
        <v>MCSGAST1</v>
      </c>
      <c r="S20" s="17"/>
      <c r="T20" s="24">
        <f t="shared" si="5"/>
        <v>45658</v>
      </c>
      <c r="U20" s="24" t="str">
        <f t="shared" si="6"/>
        <v/>
      </c>
      <c r="V20" s="14" t="s">
        <v>761</v>
      </c>
    </row>
    <row r="21" spans="2:22" x14ac:dyDescent="0.25">
      <c r="B21" s="20" t="s">
        <v>25</v>
      </c>
      <c r="C21" s="17"/>
      <c r="D21" s="86" t="str">
        <f>INDEX(Cad_Natureza!$B$3:$C$52,MATCH('2025'!F21,Cad_Natureza!$C$3:$C$52,0),MATCH('2025'!D$2,Cad_Natureza!$B$3:$C$3,0))</f>
        <v>GAST1</v>
      </c>
      <c r="E21" s="84" t="s">
        <v>60</v>
      </c>
      <c r="F21" s="85" t="s">
        <v>742</v>
      </c>
      <c r="G21" s="86" t="s">
        <v>25</v>
      </c>
      <c r="H21" s="87">
        <v>45666</v>
      </c>
      <c r="I21" s="87"/>
      <c r="J21" s="79" t="s">
        <v>185</v>
      </c>
      <c r="K21" s="62">
        <v>-19</v>
      </c>
      <c r="L21" s="68">
        <v>769.08000000000038</v>
      </c>
      <c r="M21" s="17"/>
      <c r="N21" s="21" t="str">
        <f t="shared" si="0"/>
        <v>MCSGAST1CPF - Desp. Lazer e Entretenimento - Bares</v>
      </c>
      <c r="O21" s="21" t="str">
        <f t="shared" si="1"/>
        <v>GAST1CPF - Desp. Lazer e Entretenimento - Bares</v>
      </c>
      <c r="P21" s="21" t="str">
        <f t="shared" si="2"/>
        <v>MCSGAST1CPF - Desp. Lazer e Entretenimento - Bares</v>
      </c>
      <c r="Q21" s="21" t="str">
        <f t="shared" si="3"/>
        <v>MCSGAST1</v>
      </c>
      <c r="R21" s="21" t="str">
        <f t="shared" si="4"/>
        <v>MCSGAST1</v>
      </c>
      <c r="S21" s="17"/>
      <c r="T21" s="24">
        <f t="shared" si="5"/>
        <v>45658</v>
      </c>
      <c r="U21" s="24" t="str">
        <f t="shared" si="6"/>
        <v/>
      </c>
      <c r="V21" s="14" t="s">
        <v>761</v>
      </c>
    </row>
    <row r="22" spans="2:22" x14ac:dyDescent="0.25">
      <c r="B22" s="20" t="s">
        <v>25</v>
      </c>
      <c r="C22" s="17"/>
      <c r="D22" s="86" t="str">
        <f>INDEX(Cad_Natureza!$B$3:$C$52,MATCH('2025'!F22,Cad_Natureza!$C$3:$C$52,0),MATCH('2025'!D$2,Cad_Natureza!$B$3:$C$3,0))</f>
        <v>GAST1</v>
      </c>
      <c r="E22" s="84" t="s">
        <v>61</v>
      </c>
      <c r="F22" s="85" t="s">
        <v>742</v>
      </c>
      <c r="G22" s="86" t="s">
        <v>25</v>
      </c>
      <c r="H22" s="87">
        <v>45666</v>
      </c>
      <c r="I22" s="87"/>
      <c r="J22" s="79" t="s">
        <v>185</v>
      </c>
      <c r="K22" s="62">
        <v>-30</v>
      </c>
      <c r="L22" s="68">
        <v>739.08000000000038</v>
      </c>
      <c r="M22" s="17"/>
      <c r="N22" s="21" t="str">
        <f t="shared" si="0"/>
        <v>MCSGAST1CPF - Desp. Lazer e Entretenimento - Bares</v>
      </c>
      <c r="O22" s="21" t="str">
        <f t="shared" si="1"/>
        <v>GAST1CPF - Desp. Lazer e Entretenimento - Bares</v>
      </c>
      <c r="P22" s="21" t="str">
        <f t="shared" si="2"/>
        <v>MCSGAST1CPF - Desp. Lazer e Entretenimento - Bares</v>
      </c>
      <c r="Q22" s="21" t="str">
        <f t="shared" si="3"/>
        <v>MCSGAST1</v>
      </c>
      <c r="R22" s="21" t="str">
        <f t="shared" si="4"/>
        <v>MCSGAST1</v>
      </c>
      <c r="S22" s="17"/>
      <c r="T22" s="24">
        <f t="shared" si="5"/>
        <v>45658</v>
      </c>
      <c r="U22" s="24" t="str">
        <f t="shared" si="6"/>
        <v/>
      </c>
      <c r="V22" s="14" t="s">
        <v>761</v>
      </c>
    </row>
    <row r="23" spans="2:22" x14ac:dyDescent="0.25">
      <c r="B23" s="20" t="s">
        <v>25</v>
      </c>
      <c r="C23" s="17"/>
      <c r="D23" s="86" t="str">
        <f>INDEX(Cad_Natureza!$B$3:$C$52,MATCH('2025'!F23,Cad_Natureza!$C$3:$C$52,0),MATCH('2025'!D$2,Cad_Natureza!$B$3:$C$3,0))</f>
        <v>PENS7</v>
      </c>
      <c r="E23" s="84" t="s">
        <v>62</v>
      </c>
      <c r="F23" s="85" t="s">
        <v>737</v>
      </c>
      <c r="G23" s="86" t="s">
        <v>25</v>
      </c>
      <c r="H23" s="87">
        <v>45667</v>
      </c>
      <c r="I23" s="87"/>
      <c r="J23" s="78" t="s">
        <v>464</v>
      </c>
      <c r="K23" s="62">
        <v>-94.9</v>
      </c>
      <c r="L23" s="68">
        <v>644.1800000000004</v>
      </c>
      <c r="M23" s="17"/>
      <c r="N23" s="21" t="str">
        <f t="shared" si="0"/>
        <v>MCSPENS7CPF - Pensão - Internet</v>
      </c>
      <c r="O23" s="21" t="str">
        <f t="shared" si="1"/>
        <v>PENS7CPF - Pensão - Internet</v>
      </c>
      <c r="P23" s="21" t="str">
        <f t="shared" si="2"/>
        <v>MCSPENS7CPF - Pensão - Internet</v>
      </c>
      <c r="Q23" s="21" t="str">
        <f t="shared" si="3"/>
        <v>MCSPENS7</v>
      </c>
      <c r="R23" s="21" t="str">
        <f t="shared" si="4"/>
        <v>MCSPENS7</v>
      </c>
      <c r="S23" s="17"/>
      <c r="T23" s="24">
        <f t="shared" si="5"/>
        <v>45658</v>
      </c>
      <c r="U23" s="24" t="str">
        <f t="shared" si="6"/>
        <v/>
      </c>
      <c r="V23" s="14" t="s">
        <v>731</v>
      </c>
    </row>
    <row r="24" spans="2:22" x14ac:dyDescent="0.25">
      <c r="B24" s="20" t="s">
        <v>25</v>
      </c>
      <c r="C24" s="17"/>
      <c r="D24" s="86" t="str">
        <f>INDEX(Cad_Natureza!$B$3:$C$52,MATCH('2025'!F24,Cad_Natureza!$C$3:$C$52,0),MATCH('2025'!D$2,Cad_Natureza!$B$3:$C$3,0))</f>
        <v>GAST1</v>
      </c>
      <c r="E24" s="84" t="s">
        <v>63</v>
      </c>
      <c r="F24" s="85" t="s">
        <v>742</v>
      </c>
      <c r="G24" s="86" t="s">
        <v>25</v>
      </c>
      <c r="H24" s="87">
        <v>45667</v>
      </c>
      <c r="I24" s="87"/>
      <c r="J24" s="79" t="s">
        <v>185</v>
      </c>
      <c r="K24" s="62">
        <v>-5</v>
      </c>
      <c r="L24" s="68">
        <v>639.1800000000004</v>
      </c>
      <c r="M24" s="17"/>
      <c r="N24" s="21" t="str">
        <f t="shared" si="0"/>
        <v>MCSGAST1CPF - Desp. Lazer e Entretenimento - Bares</v>
      </c>
      <c r="O24" s="21" t="str">
        <f t="shared" si="1"/>
        <v>GAST1CPF - Desp. Lazer e Entretenimento - Bares</v>
      </c>
      <c r="P24" s="21" t="str">
        <f t="shared" si="2"/>
        <v>MCSGAST1CPF - Desp. Lazer e Entretenimento - Bares</v>
      </c>
      <c r="Q24" s="21" t="str">
        <f t="shared" si="3"/>
        <v>MCSGAST1</v>
      </c>
      <c r="R24" s="21" t="str">
        <f t="shared" si="4"/>
        <v>MCSGAST1</v>
      </c>
      <c r="S24" s="17"/>
      <c r="T24" s="24">
        <f t="shared" si="5"/>
        <v>45658</v>
      </c>
      <c r="U24" s="24" t="str">
        <f t="shared" si="6"/>
        <v/>
      </c>
      <c r="V24" s="14" t="s">
        <v>761</v>
      </c>
    </row>
    <row r="25" spans="2:22" x14ac:dyDescent="0.25">
      <c r="B25" s="20" t="s">
        <v>25</v>
      </c>
      <c r="C25" s="17"/>
      <c r="D25" s="86" t="str">
        <f>INDEX(Cad_Natureza!$B$3:$C$52,MATCH('2025'!F25,Cad_Natureza!$C$3:$C$52,0),MATCH('2025'!D$2,Cad_Natureza!$B$3:$C$3,0))</f>
        <v>GAST1</v>
      </c>
      <c r="E25" s="84" t="s">
        <v>64</v>
      </c>
      <c r="F25" s="85" t="s">
        <v>742</v>
      </c>
      <c r="G25" s="86" t="s">
        <v>25</v>
      </c>
      <c r="H25" s="87">
        <v>45667</v>
      </c>
      <c r="I25" s="87"/>
      <c r="J25" s="79" t="s">
        <v>185</v>
      </c>
      <c r="K25" s="62">
        <v>-7</v>
      </c>
      <c r="L25" s="68">
        <v>632.1800000000004</v>
      </c>
      <c r="M25" s="17"/>
      <c r="N25" s="21" t="str">
        <f t="shared" si="0"/>
        <v>MCSGAST1CPF - Desp. Lazer e Entretenimento - Bares</v>
      </c>
      <c r="O25" s="21" t="str">
        <f t="shared" si="1"/>
        <v>GAST1CPF - Desp. Lazer e Entretenimento - Bares</v>
      </c>
      <c r="P25" s="21" t="str">
        <f t="shared" si="2"/>
        <v>MCSGAST1CPF - Desp. Lazer e Entretenimento - Bares</v>
      </c>
      <c r="Q25" s="21" t="str">
        <f t="shared" si="3"/>
        <v>MCSGAST1</v>
      </c>
      <c r="R25" s="21" t="str">
        <f t="shared" si="4"/>
        <v>MCSGAST1</v>
      </c>
      <c r="S25" s="17"/>
      <c r="T25" s="24">
        <f t="shared" si="5"/>
        <v>45658</v>
      </c>
      <c r="U25" s="24" t="str">
        <f t="shared" si="6"/>
        <v/>
      </c>
      <c r="V25" s="14" t="s">
        <v>761</v>
      </c>
    </row>
    <row r="26" spans="2:22" x14ac:dyDescent="0.25">
      <c r="B26" s="20" t="s">
        <v>25</v>
      </c>
      <c r="C26" s="17"/>
      <c r="D26" s="86" t="str">
        <f>INDEX(Cad_Natureza!$B$3:$C$52,MATCH('2025'!F26,Cad_Natureza!$C$3:$C$52,0),MATCH('2025'!D$2,Cad_Natureza!$B$3:$C$3,0))</f>
        <v>GAST1</v>
      </c>
      <c r="E26" s="84" t="s">
        <v>65</v>
      </c>
      <c r="F26" s="85" t="s">
        <v>742</v>
      </c>
      <c r="G26" s="86" t="s">
        <v>25</v>
      </c>
      <c r="H26" s="87">
        <v>45667</v>
      </c>
      <c r="I26" s="87"/>
      <c r="J26" s="79" t="s">
        <v>185</v>
      </c>
      <c r="K26" s="62">
        <v>-5</v>
      </c>
      <c r="L26" s="68">
        <v>627.1800000000004</v>
      </c>
      <c r="M26" s="17"/>
      <c r="N26" s="21" t="str">
        <f t="shared" si="0"/>
        <v>MCSGAST1CPF - Desp. Lazer e Entretenimento - Bares</v>
      </c>
      <c r="O26" s="21" t="str">
        <f t="shared" si="1"/>
        <v>GAST1CPF - Desp. Lazer e Entretenimento - Bares</v>
      </c>
      <c r="P26" s="21" t="str">
        <f t="shared" si="2"/>
        <v>MCSGAST1CPF - Desp. Lazer e Entretenimento - Bares</v>
      </c>
      <c r="Q26" s="21" t="str">
        <f t="shared" si="3"/>
        <v>MCSGAST1</v>
      </c>
      <c r="R26" s="21" t="str">
        <f t="shared" si="4"/>
        <v>MCSGAST1</v>
      </c>
      <c r="S26" s="17"/>
      <c r="T26" s="24">
        <f t="shared" si="5"/>
        <v>45658</v>
      </c>
      <c r="U26" s="24" t="str">
        <f t="shared" si="6"/>
        <v/>
      </c>
      <c r="V26" s="14" t="s">
        <v>761</v>
      </c>
    </row>
    <row r="27" spans="2:22" x14ac:dyDescent="0.25">
      <c r="B27" s="20" t="s">
        <v>25</v>
      </c>
      <c r="C27" s="17"/>
      <c r="D27" s="86" t="str">
        <f>INDEX(Cad_Natureza!$B$3:$C$52,MATCH('2025'!F27,Cad_Natureza!$C$3:$C$52,0),MATCH('2025'!D$2,Cad_Natureza!$B$3:$C$3,0))</f>
        <v>GAST1</v>
      </c>
      <c r="E27" s="84" t="s">
        <v>65</v>
      </c>
      <c r="F27" s="85" t="s">
        <v>742</v>
      </c>
      <c r="G27" s="86" t="s">
        <v>25</v>
      </c>
      <c r="H27" s="87">
        <v>45667</v>
      </c>
      <c r="I27" s="87"/>
      <c r="J27" s="79" t="s">
        <v>185</v>
      </c>
      <c r="K27" s="62">
        <v>-5</v>
      </c>
      <c r="L27" s="68">
        <v>622.1800000000004</v>
      </c>
      <c r="M27" s="17"/>
      <c r="N27" s="21" t="str">
        <f t="shared" si="0"/>
        <v>MCSGAST1CPF - Desp. Lazer e Entretenimento - Bares</v>
      </c>
      <c r="O27" s="21" t="str">
        <f t="shared" si="1"/>
        <v>GAST1CPF - Desp. Lazer e Entretenimento - Bares</v>
      </c>
      <c r="P27" s="21" t="str">
        <f t="shared" si="2"/>
        <v>MCSGAST1CPF - Desp. Lazer e Entretenimento - Bares</v>
      </c>
      <c r="Q27" s="21" t="str">
        <f t="shared" si="3"/>
        <v>MCSGAST1</v>
      </c>
      <c r="R27" s="21" t="str">
        <f t="shared" si="4"/>
        <v>MCSGAST1</v>
      </c>
      <c r="S27" s="17"/>
      <c r="T27" s="24">
        <f t="shared" si="5"/>
        <v>45658</v>
      </c>
      <c r="U27" s="24" t="str">
        <f t="shared" si="6"/>
        <v/>
      </c>
      <c r="V27" s="14" t="s">
        <v>761</v>
      </c>
    </row>
    <row r="28" spans="2:22" x14ac:dyDescent="0.25">
      <c r="B28" s="20" t="s">
        <v>25</v>
      </c>
      <c r="C28" s="17"/>
      <c r="D28" s="86" t="str">
        <f>INDEX(Cad_Natureza!$B$3:$C$52,MATCH('2025'!F28,Cad_Natureza!$C$3:$C$52,0),MATCH('2025'!D$2,Cad_Natureza!$B$3:$C$3,0))</f>
        <v>GAST1</v>
      </c>
      <c r="E28" s="84" t="s">
        <v>65</v>
      </c>
      <c r="F28" s="85" t="s">
        <v>742</v>
      </c>
      <c r="G28" s="86" t="s">
        <v>25</v>
      </c>
      <c r="H28" s="87">
        <v>45667</v>
      </c>
      <c r="I28" s="87"/>
      <c r="J28" s="79" t="s">
        <v>185</v>
      </c>
      <c r="K28" s="62">
        <v>-5</v>
      </c>
      <c r="L28" s="68">
        <v>617.1800000000004</v>
      </c>
      <c r="M28" s="17"/>
      <c r="N28" s="21" t="str">
        <f t="shared" si="0"/>
        <v>MCSGAST1CPF - Desp. Lazer e Entretenimento - Bares</v>
      </c>
      <c r="O28" s="21" t="str">
        <f t="shared" si="1"/>
        <v>GAST1CPF - Desp. Lazer e Entretenimento - Bares</v>
      </c>
      <c r="P28" s="21" t="str">
        <f t="shared" si="2"/>
        <v>MCSGAST1CPF - Desp. Lazer e Entretenimento - Bares</v>
      </c>
      <c r="Q28" s="21" t="str">
        <f t="shared" si="3"/>
        <v>MCSGAST1</v>
      </c>
      <c r="R28" s="21" t="str">
        <f t="shared" si="4"/>
        <v>MCSGAST1</v>
      </c>
      <c r="S28" s="17"/>
      <c r="T28" s="24">
        <f t="shared" si="5"/>
        <v>45658</v>
      </c>
      <c r="U28" s="24" t="str">
        <f t="shared" si="6"/>
        <v/>
      </c>
      <c r="V28" s="14" t="s">
        <v>761</v>
      </c>
    </row>
    <row r="29" spans="2:22" x14ac:dyDescent="0.25">
      <c r="B29" s="20" t="s">
        <v>25</v>
      </c>
      <c r="C29" s="17"/>
      <c r="D29" s="86" t="str">
        <f>INDEX(Cad_Natureza!$B$3:$C$52,MATCH('2025'!F29,Cad_Natureza!$C$3:$C$52,0),MATCH('2025'!D$2,Cad_Natureza!$B$3:$C$3,0))</f>
        <v>GAST1</v>
      </c>
      <c r="E29" s="84" t="s">
        <v>66</v>
      </c>
      <c r="F29" s="85" t="s">
        <v>742</v>
      </c>
      <c r="G29" s="86" t="s">
        <v>25</v>
      </c>
      <c r="H29" s="87">
        <v>45667</v>
      </c>
      <c r="I29" s="87"/>
      <c r="J29" s="79" t="s">
        <v>185</v>
      </c>
      <c r="K29" s="62">
        <v>-8</v>
      </c>
      <c r="L29" s="68">
        <v>609.1800000000004</v>
      </c>
      <c r="M29" s="17"/>
      <c r="N29" s="21" t="str">
        <f t="shared" si="0"/>
        <v>MCSGAST1CPF - Desp. Lazer e Entretenimento - Bares</v>
      </c>
      <c r="O29" s="21" t="str">
        <f t="shared" si="1"/>
        <v>GAST1CPF - Desp. Lazer e Entretenimento - Bares</v>
      </c>
      <c r="P29" s="21" t="str">
        <f t="shared" si="2"/>
        <v>MCSGAST1CPF - Desp. Lazer e Entretenimento - Bares</v>
      </c>
      <c r="Q29" s="21" t="str">
        <f t="shared" si="3"/>
        <v>MCSGAST1</v>
      </c>
      <c r="R29" s="21" t="str">
        <f t="shared" si="4"/>
        <v>MCSGAST1</v>
      </c>
      <c r="S29" s="17"/>
      <c r="T29" s="24">
        <f t="shared" si="5"/>
        <v>45658</v>
      </c>
      <c r="U29" s="24" t="str">
        <f t="shared" si="6"/>
        <v/>
      </c>
      <c r="V29" s="14" t="s">
        <v>761</v>
      </c>
    </row>
    <row r="30" spans="2:22" x14ac:dyDescent="0.25">
      <c r="B30" s="20" t="s">
        <v>25</v>
      </c>
      <c r="C30" s="17"/>
      <c r="D30" s="86" t="str">
        <f>INDEX(Cad_Natureza!$B$3:$C$52,MATCH('2025'!F30,Cad_Natureza!$C$3:$C$52,0),MATCH('2025'!D$2,Cad_Natureza!$B$3:$C$3,0))</f>
        <v>GAST1</v>
      </c>
      <c r="E30" s="84" t="s">
        <v>67</v>
      </c>
      <c r="F30" s="85" t="s">
        <v>742</v>
      </c>
      <c r="G30" s="86" t="s">
        <v>25</v>
      </c>
      <c r="H30" s="87">
        <v>45670</v>
      </c>
      <c r="I30" s="87"/>
      <c r="J30" s="79" t="s">
        <v>185</v>
      </c>
      <c r="K30" s="62">
        <v>-10</v>
      </c>
      <c r="L30" s="68">
        <v>599.1800000000004</v>
      </c>
      <c r="M30" s="17"/>
      <c r="N30" s="21" t="str">
        <f t="shared" si="0"/>
        <v>MCSGAST1CPF - Desp. Lazer e Entretenimento - Bares</v>
      </c>
      <c r="O30" s="21" t="str">
        <f t="shared" si="1"/>
        <v>GAST1CPF - Desp. Lazer e Entretenimento - Bares</v>
      </c>
      <c r="P30" s="21" t="str">
        <f t="shared" si="2"/>
        <v>MCSGAST1CPF - Desp. Lazer e Entretenimento - Bares</v>
      </c>
      <c r="Q30" s="21" t="str">
        <f t="shared" si="3"/>
        <v>MCSGAST1</v>
      </c>
      <c r="R30" s="21" t="str">
        <f t="shared" si="4"/>
        <v>MCSGAST1</v>
      </c>
      <c r="S30" s="17"/>
      <c r="T30" s="24">
        <f t="shared" si="5"/>
        <v>45658</v>
      </c>
      <c r="U30" s="24" t="str">
        <f t="shared" si="6"/>
        <v/>
      </c>
      <c r="V30" s="14" t="s">
        <v>761</v>
      </c>
    </row>
    <row r="31" spans="2:22" x14ac:dyDescent="0.25">
      <c r="B31" s="20" t="s">
        <v>25</v>
      </c>
      <c r="C31" s="17"/>
      <c r="D31" s="86" t="str">
        <f>INDEX(Cad_Natureza!$B$3:$C$52,MATCH('2025'!F31,Cad_Natureza!$C$3:$C$52,0),MATCH('2025'!D$2,Cad_Natureza!$B$3:$C$3,0))</f>
        <v>GAST1</v>
      </c>
      <c r="E31" s="84" t="s">
        <v>67</v>
      </c>
      <c r="F31" s="85" t="s">
        <v>742</v>
      </c>
      <c r="G31" s="86" t="s">
        <v>25</v>
      </c>
      <c r="H31" s="87">
        <v>45670</v>
      </c>
      <c r="I31" s="87"/>
      <c r="J31" s="79" t="s">
        <v>185</v>
      </c>
      <c r="K31" s="62">
        <v>-10</v>
      </c>
      <c r="L31" s="68">
        <v>589.1800000000004</v>
      </c>
      <c r="M31" s="17"/>
      <c r="N31" s="21" t="str">
        <f t="shared" si="0"/>
        <v>MCSGAST1CPF - Desp. Lazer e Entretenimento - Bares</v>
      </c>
      <c r="O31" s="21" t="str">
        <f t="shared" si="1"/>
        <v>GAST1CPF - Desp. Lazer e Entretenimento - Bares</v>
      </c>
      <c r="P31" s="21" t="str">
        <f t="shared" si="2"/>
        <v>MCSGAST1CPF - Desp. Lazer e Entretenimento - Bares</v>
      </c>
      <c r="Q31" s="21" t="str">
        <f t="shared" si="3"/>
        <v>MCSGAST1</v>
      </c>
      <c r="R31" s="21" t="str">
        <f t="shared" si="4"/>
        <v>MCSGAST1</v>
      </c>
      <c r="S31" s="17"/>
      <c r="T31" s="24">
        <f t="shared" si="5"/>
        <v>45658</v>
      </c>
      <c r="U31" s="24" t="str">
        <f t="shared" si="6"/>
        <v/>
      </c>
      <c r="V31" s="14" t="s">
        <v>761</v>
      </c>
    </row>
    <row r="32" spans="2:22" x14ac:dyDescent="0.25">
      <c r="B32" s="20" t="s">
        <v>25</v>
      </c>
      <c r="C32" s="17"/>
      <c r="D32" s="86" t="str">
        <f>INDEX(Cad_Natureza!$B$3:$C$52,MATCH('2025'!F32,Cad_Natureza!$C$3:$C$52,0),MATCH('2025'!D$2,Cad_Natureza!$B$3:$C$3,0))</f>
        <v>GAST1</v>
      </c>
      <c r="E32" s="84" t="s">
        <v>67</v>
      </c>
      <c r="F32" s="85" t="s">
        <v>742</v>
      </c>
      <c r="G32" s="86" t="s">
        <v>25</v>
      </c>
      <c r="H32" s="87">
        <v>45670</v>
      </c>
      <c r="I32" s="87"/>
      <c r="J32" s="79" t="s">
        <v>185</v>
      </c>
      <c r="K32" s="62">
        <v>-40</v>
      </c>
      <c r="L32" s="68">
        <v>549.1800000000004</v>
      </c>
      <c r="M32" s="17"/>
      <c r="N32" s="21" t="str">
        <f t="shared" si="0"/>
        <v>MCSGAST1CPF - Desp. Lazer e Entretenimento - Bares</v>
      </c>
      <c r="O32" s="21" t="str">
        <f t="shared" si="1"/>
        <v>GAST1CPF - Desp. Lazer e Entretenimento - Bares</v>
      </c>
      <c r="P32" s="21" t="str">
        <f t="shared" si="2"/>
        <v>MCSGAST1CPF - Desp. Lazer e Entretenimento - Bares</v>
      </c>
      <c r="Q32" s="21" t="str">
        <f t="shared" si="3"/>
        <v>MCSGAST1</v>
      </c>
      <c r="R32" s="21" t="str">
        <f t="shared" si="4"/>
        <v>MCSGAST1</v>
      </c>
      <c r="S32" s="17"/>
      <c r="T32" s="24">
        <f t="shared" si="5"/>
        <v>45658</v>
      </c>
      <c r="U32" s="24" t="str">
        <f t="shared" si="6"/>
        <v/>
      </c>
      <c r="V32" s="14" t="s">
        <v>761</v>
      </c>
    </row>
    <row r="33" spans="2:22" x14ac:dyDescent="0.25">
      <c r="B33" s="20" t="s">
        <v>25</v>
      </c>
      <c r="C33" s="17"/>
      <c r="D33" s="86" t="str">
        <f>INDEX(Cad_Natureza!$B$3:$C$52,MATCH('2025'!F33,Cad_Natureza!$C$3:$C$52,0),MATCH('2025'!D$2,Cad_Natureza!$B$3:$C$3,0))</f>
        <v>GAST1</v>
      </c>
      <c r="E33" s="84" t="s">
        <v>68</v>
      </c>
      <c r="F33" s="85" t="s">
        <v>742</v>
      </c>
      <c r="G33" s="86" t="s">
        <v>25</v>
      </c>
      <c r="H33" s="87">
        <v>45670</v>
      </c>
      <c r="I33" s="87"/>
      <c r="J33" s="79" t="s">
        <v>185</v>
      </c>
      <c r="K33" s="62">
        <v>-7</v>
      </c>
      <c r="L33" s="68">
        <v>542.1800000000004</v>
      </c>
      <c r="M33" s="17"/>
      <c r="N33" s="21" t="str">
        <f t="shared" si="0"/>
        <v>MCSGAST1CPF - Desp. Lazer e Entretenimento - Bares</v>
      </c>
      <c r="O33" s="21" t="str">
        <f t="shared" si="1"/>
        <v>GAST1CPF - Desp. Lazer e Entretenimento - Bares</v>
      </c>
      <c r="P33" s="21" t="str">
        <f t="shared" si="2"/>
        <v>MCSGAST1CPF - Desp. Lazer e Entretenimento - Bares</v>
      </c>
      <c r="Q33" s="21" t="str">
        <f t="shared" si="3"/>
        <v>MCSGAST1</v>
      </c>
      <c r="R33" s="21" t="str">
        <f t="shared" si="4"/>
        <v>MCSGAST1</v>
      </c>
      <c r="S33" s="17"/>
      <c r="T33" s="24">
        <f t="shared" si="5"/>
        <v>45658</v>
      </c>
      <c r="U33" s="24" t="str">
        <f t="shared" si="6"/>
        <v/>
      </c>
      <c r="V33" s="14" t="s">
        <v>761</v>
      </c>
    </row>
    <row r="34" spans="2:22" x14ac:dyDescent="0.25">
      <c r="B34" s="20" t="s">
        <v>25</v>
      </c>
      <c r="C34" s="17"/>
      <c r="D34" s="86" t="str">
        <f>INDEX(Cad_Natureza!$B$3:$C$52,MATCH('2025'!F34,Cad_Natureza!$C$3:$C$52,0),MATCH('2025'!D$2,Cad_Natureza!$B$3:$C$3,0))</f>
        <v>PENS8</v>
      </c>
      <c r="E34" s="84" t="s">
        <v>69</v>
      </c>
      <c r="F34" s="85" t="s">
        <v>36</v>
      </c>
      <c r="G34" s="86" t="s">
        <v>25</v>
      </c>
      <c r="H34" s="87">
        <v>45670</v>
      </c>
      <c r="I34" s="87"/>
      <c r="J34" s="78" t="s">
        <v>606</v>
      </c>
      <c r="K34" s="62">
        <v>-10.99</v>
      </c>
      <c r="L34" s="68">
        <v>531.1900000000004</v>
      </c>
      <c r="M34" s="17"/>
      <c r="N34" s="21" t="str">
        <f t="shared" si="0"/>
        <v>MCSPENS8CPF - Pensão - Alimentação</v>
      </c>
      <c r="O34" s="21" t="str">
        <f t="shared" si="1"/>
        <v>PENS8CPF - Pensão - Alimentação</v>
      </c>
      <c r="P34" s="21" t="str">
        <f t="shared" si="2"/>
        <v>MCSPENS8CPF - Pensão - Alimentação</v>
      </c>
      <c r="Q34" s="21" t="str">
        <f t="shared" si="3"/>
        <v>MCSPENS8</v>
      </c>
      <c r="R34" s="21" t="str">
        <f t="shared" si="4"/>
        <v>MCSPENS8</v>
      </c>
      <c r="S34" s="17"/>
      <c r="T34" s="24">
        <f t="shared" si="5"/>
        <v>45658</v>
      </c>
      <c r="U34" s="24" t="str">
        <f t="shared" si="6"/>
        <v/>
      </c>
      <c r="V34" s="14" t="s">
        <v>731</v>
      </c>
    </row>
    <row r="35" spans="2:22" x14ac:dyDescent="0.25">
      <c r="B35" s="20" t="s">
        <v>25</v>
      </c>
      <c r="C35" s="17"/>
      <c r="D35" s="86" t="str">
        <f>INDEX(Cad_Natureza!$B$3:$C$52,MATCH('2025'!F35,Cad_Natureza!$C$3:$C$52,0),MATCH('2025'!D$2,Cad_Natureza!$B$3:$C$3,0))</f>
        <v>GAST1</v>
      </c>
      <c r="E35" s="84" t="s">
        <v>70</v>
      </c>
      <c r="F35" s="85" t="s">
        <v>742</v>
      </c>
      <c r="G35" s="86" t="s">
        <v>25</v>
      </c>
      <c r="H35" s="87">
        <v>45670</v>
      </c>
      <c r="I35" s="87"/>
      <c r="J35" s="79" t="s">
        <v>185</v>
      </c>
      <c r="K35" s="62">
        <v>-14</v>
      </c>
      <c r="L35" s="68">
        <v>517.1900000000004</v>
      </c>
      <c r="M35" s="17"/>
      <c r="N35" s="21" t="str">
        <f t="shared" si="0"/>
        <v>MCSGAST1CPF - Desp. Lazer e Entretenimento - Bares</v>
      </c>
      <c r="O35" s="21" t="str">
        <f t="shared" si="1"/>
        <v>GAST1CPF - Desp. Lazer e Entretenimento - Bares</v>
      </c>
      <c r="P35" s="21" t="str">
        <f t="shared" si="2"/>
        <v>MCSGAST1CPF - Desp. Lazer e Entretenimento - Bares</v>
      </c>
      <c r="Q35" s="21" t="str">
        <f t="shared" si="3"/>
        <v>MCSGAST1</v>
      </c>
      <c r="R35" s="21" t="str">
        <f t="shared" si="4"/>
        <v>MCSGAST1</v>
      </c>
      <c r="S35" s="17"/>
      <c r="T35" s="24">
        <f t="shared" si="5"/>
        <v>45658</v>
      </c>
      <c r="U35" s="24" t="str">
        <f t="shared" si="6"/>
        <v/>
      </c>
      <c r="V35" s="14" t="s">
        <v>761</v>
      </c>
    </row>
    <row r="36" spans="2:22" x14ac:dyDescent="0.25">
      <c r="B36" s="20" t="s">
        <v>25</v>
      </c>
      <c r="C36" s="17"/>
      <c r="D36" s="86" t="str">
        <f>INDEX(Cad_Natureza!$B$3:$C$52,MATCH('2025'!F36,Cad_Natureza!$C$3:$C$52,0),MATCH('2025'!D$2,Cad_Natureza!$B$3:$C$3,0))</f>
        <v>GAST1</v>
      </c>
      <c r="E36" s="84" t="s">
        <v>71</v>
      </c>
      <c r="F36" s="85" t="s">
        <v>742</v>
      </c>
      <c r="G36" s="86" t="s">
        <v>25</v>
      </c>
      <c r="H36" s="87">
        <v>45670</v>
      </c>
      <c r="I36" s="87"/>
      <c r="J36" s="79" t="s">
        <v>185</v>
      </c>
      <c r="K36" s="62">
        <v>-54</v>
      </c>
      <c r="L36" s="68">
        <v>463.1900000000004</v>
      </c>
      <c r="M36" s="17"/>
      <c r="N36" s="21" t="str">
        <f t="shared" si="0"/>
        <v>MCSGAST1CPF - Desp. Lazer e Entretenimento - Bares</v>
      </c>
      <c r="O36" s="21" t="str">
        <f t="shared" si="1"/>
        <v>GAST1CPF - Desp. Lazer e Entretenimento - Bares</v>
      </c>
      <c r="P36" s="21" t="str">
        <f t="shared" si="2"/>
        <v>MCSGAST1CPF - Desp. Lazer e Entretenimento - Bares</v>
      </c>
      <c r="Q36" s="21" t="str">
        <f t="shared" si="3"/>
        <v>MCSGAST1</v>
      </c>
      <c r="R36" s="21" t="str">
        <f t="shared" si="4"/>
        <v>MCSGAST1</v>
      </c>
      <c r="S36" s="17"/>
      <c r="T36" s="24">
        <f t="shared" si="5"/>
        <v>45658</v>
      </c>
      <c r="U36" s="24" t="str">
        <f t="shared" si="6"/>
        <v/>
      </c>
      <c r="V36" s="14" t="s">
        <v>761</v>
      </c>
    </row>
    <row r="37" spans="2:22" x14ac:dyDescent="0.25">
      <c r="B37" s="20" t="s">
        <v>25</v>
      </c>
      <c r="C37" s="17"/>
      <c r="D37" s="86" t="str">
        <f>INDEX(Cad_Natureza!$B$3:$C$52,MATCH('2025'!F37,Cad_Natureza!$C$3:$C$52,0),MATCH('2025'!D$2,Cad_Natureza!$B$3:$C$3,0))</f>
        <v>GAST1</v>
      </c>
      <c r="E37" s="84" t="s">
        <v>72</v>
      </c>
      <c r="F37" s="85" t="s">
        <v>742</v>
      </c>
      <c r="G37" s="86" t="s">
        <v>25</v>
      </c>
      <c r="H37" s="87">
        <v>45670</v>
      </c>
      <c r="I37" s="87"/>
      <c r="J37" s="79" t="s">
        <v>185</v>
      </c>
      <c r="K37" s="62">
        <v>-7</v>
      </c>
      <c r="L37" s="68">
        <v>456.1900000000004</v>
      </c>
      <c r="M37" s="17"/>
      <c r="N37" s="21" t="str">
        <f t="shared" si="0"/>
        <v>MCSGAST1CPF - Desp. Lazer e Entretenimento - Bares</v>
      </c>
      <c r="O37" s="21" t="str">
        <f t="shared" si="1"/>
        <v>GAST1CPF - Desp. Lazer e Entretenimento - Bares</v>
      </c>
      <c r="P37" s="21" t="str">
        <f t="shared" si="2"/>
        <v>MCSGAST1CPF - Desp. Lazer e Entretenimento - Bares</v>
      </c>
      <c r="Q37" s="21" t="str">
        <f t="shared" si="3"/>
        <v>MCSGAST1</v>
      </c>
      <c r="R37" s="21" t="str">
        <f t="shared" si="4"/>
        <v>MCSGAST1</v>
      </c>
      <c r="S37" s="17"/>
      <c r="T37" s="24">
        <f t="shared" si="5"/>
        <v>45658</v>
      </c>
      <c r="U37" s="24" t="str">
        <f t="shared" si="6"/>
        <v/>
      </c>
      <c r="V37" s="14" t="s">
        <v>761</v>
      </c>
    </row>
    <row r="38" spans="2:22" x14ac:dyDescent="0.25">
      <c r="B38" s="20" t="s">
        <v>25</v>
      </c>
      <c r="C38" s="17"/>
      <c r="D38" s="86" t="str">
        <f>INDEX(Cad_Natureza!$B$3:$C$52,MATCH('2025'!F38,Cad_Natureza!$C$3:$C$52,0),MATCH('2025'!D$2,Cad_Natureza!$B$3:$C$3,0))</f>
        <v>OPF1</v>
      </c>
      <c r="E38" s="84" t="s">
        <v>73</v>
      </c>
      <c r="F38" s="85" t="s">
        <v>744</v>
      </c>
      <c r="G38" s="86" t="s">
        <v>25</v>
      </c>
      <c r="H38" s="87">
        <v>45670</v>
      </c>
      <c r="I38" s="87"/>
      <c r="J38" s="79" t="s">
        <v>463</v>
      </c>
      <c r="K38" s="62">
        <v>-26</v>
      </c>
      <c r="L38" s="68">
        <v>430.1900000000004</v>
      </c>
      <c r="M38" s="17"/>
      <c r="N38" s="21" t="str">
        <f t="shared" si="0"/>
        <v>MCSOPF1CPF - Desp. Alimentação / Refeição</v>
      </c>
      <c r="O38" s="21" t="str">
        <f t="shared" si="1"/>
        <v>OPF1CPF - Desp. Alimentação / Refeição</v>
      </c>
      <c r="P38" s="21" t="str">
        <f t="shared" si="2"/>
        <v>MCSOPF1CPF - Desp. Alimentação / Refeição</v>
      </c>
      <c r="Q38" s="21" t="str">
        <f t="shared" si="3"/>
        <v>MCSOPF1</v>
      </c>
      <c r="R38" s="21" t="str">
        <f t="shared" si="4"/>
        <v>MCSOPF1</v>
      </c>
      <c r="S38" s="17"/>
      <c r="T38" s="24">
        <f t="shared" si="5"/>
        <v>45658</v>
      </c>
      <c r="U38" s="24" t="str">
        <f t="shared" si="6"/>
        <v/>
      </c>
      <c r="V38" s="14" t="s">
        <v>761</v>
      </c>
    </row>
    <row r="39" spans="2:22" x14ac:dyDescent="0.25">
      <c r="B39" s="20" t="s">
        <v>25</v>
      </c>
      <c r="C39" s="17"/>
      <c r="D39" s="86" t="str">
        <f>INDEX(Cad_Natureza!$B$3:$C$52,MATCH('2025'!F39,Cad_Natureza!$C$3:$C$52,0),MATCH('2025'!D$2,Cad_Natureza!$B$3:$C$3,0))</f>
        <v>GAST1</v>
      </c>
      <c r="E39" s="84" t="s">
        <v>67</v>
      </c>
      <c r="F39" s="85" t="s">
        <v>742</v>
      </c>
      <c r="G39" s="86" t="s">
        <v>25</v>
      </c>
      <c r="H39" s="87">
        <v>45670</v>
      </c>
      <c r="I39" s="87"/>
      <c r="J39" s="79" t="s">
        <v>185</v>
      </c>
      <c r="K39" s="62">
        <v>-5</v>
      </c>
      <c r="L39" s="68">
        <v>425.1900000000004</v>
      </c>
      <c r="M39" s="17"/>
      <c r="N39" s="21" t="str">
        <f t="shared" si="0"/>
        <v>MCSGAST1CPF - Desp. Lazer e Entretenimento - Bares</v>
      </c>
      <c r="O39" s="21" t="str">
        <f t="shared" si="1"/>
        <v>GAST1CPF - Desp. Lazer e Entretenimento - Bares</v>
      </c>
      <c r="P39" s="21" t="str">
        <f t="shared" si="2"/>
        <v>MCSGAST1CPF - Desp. Lazer e Entretenimento - Bares</v>
      </c>
      <c r="Q39" s="21" t="str">
        <f t="shared" si="3"/>
        <v>MCSGAST1</v>
      </c>
      <c r="R39" s="21" t="str">
        <f t="shared" si="4"/>
        <v>MCSGAST1</v>
      </c>
      <c r="S39" s="17"/>
      <c r="T39" s="24">
        <f t="shared" si="5"/>
        <v>45658</v>
      </c>
      <c r="U39" s="24" t="str">
        <f t="shared" si="6"/>
        <v/>
      </c>
      <c r="V39" s="14" t="s">
        <v>761</v>
      </c>
    </row>
    <row r="40" spans="2:22" x14ac:dyDescent="0.25">
      <c r="B40" s="20" t="s">
        <v>25</v>
      </c>
      <c r="C40" s="17"/>
      <c r="D40" s="86" t="str">
        <f>INDEX(Cad_Natureza!$B$3:$C$52,MATCH('2025'!F40,Cad_Natureza!$C$3:$C$52,0),MATCH('2025'!D$2,Cad_Natureza!$B$3:$C$3,0))</f>
        <v>GAST1</v>
      </c>
      <c r="E40" s="84" t="s">
        <v>74</v>
      </c>
      <c r="F40" s="85" t="s">
        <v>742</v>
      </c>
      <c r="G40" s="86" t="s">
        <v>25</v>
      </c>
      <c r="H40" s="87">
        <v>45670</v>
      </c>
      <c r="I40" s="87"/>
      <c r="J40" s="79" t="s">
        <v>185</v>
      </c>
      <c r="K40" s="62">
        <v>-40</v>
      </c>
      <c r="L40" s="68">
        <v>385.1900000000004</v>
      </c>
      <c r="M40" s="17"/>
      <c r="N40" s="21" t="str">
        <f t="shared" si="0"/>
        <v>MCSGAST1CPF - Desp. Lazer e Entretenimento - Bares</v>
      </c>
      <c r="O40" s="21" t="str">
        <f t="shared" si="1"/>
        <v>GAST1CPF - Desp. Lazer e Entretenimento - Bares</v>
      </c>
      <c r="P40" s="21" t="str">
        <f t="shared" si="2"/>
        <v>MCSGAST1CPF - Desp. Lazer e Entretenimento - Bares</v>
      </c>
      <c r="Q40" s="21" t="str">
        <f t="shared" si="3"/>
        <v>MCSGAST1</v>
      </c>
      <c r="R40" s="21" t="str">
        <f t="shared" si="4"/>
        <v>MCSGAST1</v>
      </c>
      <c r="S40" s="17"/>
      <c r="T40" s="24">
        <f t="shared" si="5"/>
        <v>45658</v>
      </c>
      <c r="U40" s="24" t="str">
        <f t="shared" si="6"/>
        <v/>
      </c>
      <c r="V40" s="14" t="s">
        <v>761</v>
      </c>
    </row>
    <row r="41" spans="2:22" x14ac:dyDescent="0.25">
      <c r="B41" s="20" t="s">
        <v>25</v>
      </c>
      <c r="C41" s="17"/>
      <c r="D41" s="86" t="str">
        <f>INDEX(Cad_Natureza!$B$3:$C$52,MATCH('2025'!F41,Cad_Natureza!$C$3:$C$52,0),MATCH('2025'!D$2,Cad_Natureza!$B$3:$C$3,0))</f>
        <v>FIN3</v>
      </c>
      <c r="E41" s="84" t="s">
        <v>75</v>
      </c>
      <c r="F41" s="85" t="s">
        <v>939</v>
      </c>
      <c r="G41" s="86" t="s">
        <v>25</v>
      </c>
      <c r="H41" s="87">
        <v>45671</v>
      </c>
      <c r="I41" s="87"/>
      <c r="J41" s="79" t="s">
        <v>572</v>
      </c>
      <c r="K41" s="62">
        <v>-435.19</v>
      </c>
      <c r="L41" s="62">
        <v>-49.999999999999602</v>
      </c>
      <c r="M41" s="17"/>
      <c r="N41" s="21" t="str">
        <f t="shared" si="0"/>
        <v>MCSFIN3CPF - Desp. Financeiras - Empréstimos bancários</v>
      </c>
      <c r="O41" s="21" t="str">
        <f t="shared" si="1"/>
        <v>FIN3CPF - Desp. Financeiras - Empréstimos bancários</v>
      </c>
      <c r="P41" s="21" t="str">
        <f t="shared" si="2"/>
        <v>MCSFIN3CPF - Desp. Financeiras - Empréstimos bancários</v>
      </c>
      <c r="Q41" s="21" t="str">
        <f t="shared" si="3"/>
        <v>MCSFIN3</v>
      </c>
      <c r="R41" s="21" t="str">
        <f t="shared" si="4"/>
        <v>MCSFIN3</v>
      </c>
      <c r="S41" s="17"/>
      <c r="T41" s="24">
        <f t="shared" si="5"/>
        <v>45658</v>
      </c>
      <c r="U41" s="24" t="str">
        <f t="shared" si="6"/>
        <v/>
      </c>
      <c r="V41" s="14" t="s">
        <v>761</v>
      </c>
    </row>
    <row r="42" spans="2:22" x14ac:dyDescent="0.25">
      <c r="B42" s="20" t="s">
        <v>25</v>
      </c>
      <c r="C42" s="17"/>
      <c r="D42" s="63" t="str">
        <f>INDEX(Cad_Natureza!$B$3:$C$52,MATCH('2025'!F42,Cad_Natureza!$C$3:$C$52,0),MATCH('2025'!D$2,Cad_Natureza!$B$3:$C$3,0))</f>
        <v>REC4</v>
      </c>
      <c r="E42" s="64" t="s">
        <v>76</v>
      </c>
      <c r="F42" s="65" t="s">
        <v>734</v>
      </c>
      <c r="G42" s="63" t="s">
        <v>25</v>
      </c>
      <c r="H42" s="66">
        <v>45671</v>
      </c>
      <c r="I42" s="66"/>
      <c r="J42" s="67" t="s">
        <v>183</v>
      </c>
      <c r="K42" s="68">
        <v>200</v>
      </c>
      <c r="L42" s="68">
        <v>150.0000000000004</v>
      </c>
      <c r="M42" s="17"/>
      <c r="N42" s="21" t="str">
        <f t="shared" si="0"/>
        <v>MCSREC4CPF - Transf. Da conta PJ para a conta PF</v>
      </c>
      <c r="O42" s="21" t="str">
        <f t="shared" si="1"/>
        <v>REC4CPF - Transf. Da conta PJ para a conta PF</v>
      </c>
      <c r="P42" s="21" t="str">
        <f t="shared" si="2"/>
        <v>MCSREC4CPF - Transf. Da conta PJ para a conta PF</v>
      </c>
      <c r="Q42" s="21" t="str">
        <f t="shared" si="3"/>
        <v>MCSREC4</v>
      </c>
      <c r="R42" s="21" t="str">
        <f t="shared" si="4"/>
        <v>MCSREC4</v>
      </c>
      <c r="S42" s="17"/>
      <c r="T42" s="24">
        <f t="shared" si="5"/>
        <v>45658</v>
      </c>
      <c r="U42" s="24" t="str">
        <f t="shared" si="6"/>
        <v/>
      </c>
      <c r="V42" s="14" t="s">
        <v>761</v>
      </c>
    </row>
    <row r="43" spans="2:22" x14ac:dyDescent="0.25">
      <c r="B43" s="20" t="s">
        <v>25</v>
      </c>
      <c r="C43" s="17"/>
      <c r="D43" s="86" t="str">
        <f>INDEX(Cad_Natureza!$B$3:$C$52,MATCH('2025'!F43,Cad_Natureza!$C$3:$C$52,0),MATCH('2025'!D$2,Cad_Natureza!$B$3:$C$3,0))</f>
        <v>FIN3</v>
      </c>
      <c r="E43" s="84" t="s">
        <v>75</v>
      </c>
      <c r="F43" s="85" t="s">
        <v>939</v>
      </c>
      <c r="G43" s="86" t="s">
        <v>25</v>
      </c>
      <c r="H43" s="87">
        <v>45671</v>
      </c>
      <c r="I43" s="87"/>
      <c r="J43" s="79" t="s">
        <v>572</v>
      </c>
      <c r="K43" s="62">
        <v>-114.58</v>
      </c>
      <c r="L43" s="68">
        <v>35.4200000000004</v>
      </c>
      <c r="M43" s="17"/>
      <c r="N43" s="21" t="str">
        <f t="shared" si="0"/>
        <v>MCSFIN3CPF - Desp. Financeiras - Empréstimos bancários</v>
      </c>
      <c r="O43" s="21" t="str">
        <f t="shared" si="1"/>
        <v>FIN3CPF - Desp. Financeiras - Empréstimos bancários</v>
      </c>
      <c r="P43" s="21" t="str">
        <f t="shared" si="2"/>
        <v>MCSFIN3CPF - Desp. Financeiras - Empréstimos bancários</v>
      </c>
      <c r="Q43" s="21" t="str">
        <f t="shared" si="3"/>
        <v>MCSFIN3</v>
      </c>
      <c r="R43" s="21" t="str">
        <f t="shared" si="4"/>
        <v>MCSFIN3</v>
      </c>
      <c r="S43" s="17"/>
      <c r="T43" s="24">
        <f t="shared" si="5"/>
        <v>45658</v>
      </c>
      <c r="U43" s="24" t="str">
        <f t="shared" si="6"/>
        <v/>
      </c>
      <c r="V43" s="14" t="s">
        <v>761</v>
      </c>
    </row>
    <row r="44" spans="2:22" x14ac:dyDescent="0.25">
      <c r="B44" s="20" t="s">
        <v>25</v>
      </c>
      <c r="C44" s="17"/>
      <c r="D44" s="86" t="str">
        <f>INDEX(Cad_Natureza!$B$3:$C$52,MATCH('2025'!F44,Cad_Natureza!$C$3:$C$52,0),MATCH('2025'!D$2,Cad_Natureza!$B$3:$C$3,0))</f>
        <v>GAST1</v>
      </c>
      <c r="E44" s="84" t="s">
        <v>77</v>
      </c>
      <c r="F44" s="85" t="s">
        <v>742</v>
      </c>
      <c r="G44" s="86" t="s">
        <v>25</v>
      </c>
      <c r="H44" s="87">
        <v>45671</v>
      </c>
      <c r="I44" s="87"/>
      <c r="J44" s="79" t="s">
        <v>185</v>
      </c>
      <c r="K44" s="62">
        <v>-29</v>
      </c>
      <c r="L44" s="68">
        <v>6.4200000000003996</v>
      </c>
      <c r="M44" s="17"/>
      <c r="N44" s="21" t="str">
        <f t="shared" si="0"/>
        <v>MCSGAST1CPF - Desp. Lazer e Entretenimento - Bares</v>
      </c>
      <c r="O44" s="21" t="str">
        <f t="shared" si="1"/>
        <v>GAST1CPF - Desp. Lazer e Entretenimento - Bares</v>
      </c>
      <c r="P44" s="21" t="str">
        <f t="shared" si="2"/>
        <v>MCSGAST1CPF - Desp. Lazer e Entretenimento - Bares</v>
      </c>
      <c r="Q44" s="21" t="str">
        <f t="shared" si="3"/>
        <v>MCSGAST1</v>
      </c>
      <c r="R44" s="21" t="str">
        <f t="shared" si="4"/>
        <v>MCSGAST1</v>
      </c>
      <c r="S44" s="17"/>
      <c r="T44" s="24">
        <f t="shared" si="5"/>
        <v>45658</v>
      </c>
      <c r="U44" s="24" t="str">
        <f t="shared" si="6"/>
        <v/>
      </c>
      <c r="V44" s="14" t="s">
        <v>761</v>
      </c>
    </row>
    <row r="45" spans="2:22" x14ac:dyDescent="0.25">
      <c r="B45" s="20" t="s">
        <v>25</v>
      </c>
      <c r="C45" s="17"/>
      <c r="D45" s="63" t="str">
        <f>INDEX(Cad_Natureza!$B$3:$C$52,MATCH('2025'!F45,Cad_Natureza!$C$3:$C$52,0),MATCH('2025'!D$2,Cad_Natureza!$B$3:$C$3,0))</f>
        <v>REC4</v>
      </c>
      <c r="E45" s="64" t="s">
        <v>78</v>
      </c>
      <c r="F45" s="65" t="s">
        <v>734</v>
      </c>
      <c r="G45" s="63" t="s">
        <v>25</v>
      </c>
      <c r="H45" s="66">
        <v>45672</v>
      </c>
      <c r="I45" s="66"/>
      <c r="J45" s="67" t="s">
        <v>183</v>
      </c>
      <c r="K45" s="68">
        <v>685</v>
      </c>
      <c r="L45" s="68">
        <v>691.42000000000041</v>
      </c>
      <c r="M45" s="17"/>
      <c r="N45" s="21" t="str">
        <f t="shared" si="0"/>
        <v>MCSREC4CPF - Transf. Da conta PJ para a conta PF</v>
      </c>
      <c r="O45" s="21" t="str">
        <f t="shared" si="1"/>
        <v>REC4CPF - Transf. Da conta PJ para a conta PF</v>
      </c>
      <c r="P45" s="21" t="str">
        <f t="shared" si="2"/>
        <v>MCSREC4CPF - Transf. Da conta PJ para a conta PF</v>
      </c>
      <c r="Q45" s="21" t="str">
        <f t="shared" si="3"/>
        <v>MCSREC4</v>
      </c>
      <c r="R45" s="21" t="str">
        <f t="shared" si="4"/>
        <v>MCSREC4</v>
      </c>
      <c r="S45" s="17"/>
      <c r="T45" s="24">
        <f t="shared" si="5"/>
        <v>45658</v>
      </c>
      <c r="U45" s="24" t="str">
        <f t="shared" si="6"/>
        <v/>
      </c>
      <c r="V45" s="14" t="s">
        <v>761</v>
      </c>
    </row>
    <row r="46" spans="2:22" x14ac:dyDescent="0.25">
      <c r="B46" s="20" t="s">
        <v>25</v>
      </c>
      <c r="C46" s="17"/>
      <c r="D46" s="86" t="str">
        <f>INDEX(Cad_Natureza!$B$3:$C$52,MATCH('2025'!F46,Cad_Natureza!$C$3:$C$52,0),MATCH('2025'!D$2,Cad_Natureza!$B$3:$C$3,0))</f>
        <v>GAST1</v>
      </c>
      <c r="E46" s="84" t="s">
        <v>79</v>
      </c>
      <c r="F46" s="85" t="s">
        <v>742</v>
      </c>
      <c r="G46" s="86" t="s">
        <v>25</v>
      </c>
      <c r="H46" s="87">
        <v>45672</v>
      </c>
      <c r="I46" s="87"/>
      <c r="J46" s="79" t="s">
        <v>185</v>
      </c>
      <c r="K46" s="62">
        <v>-20</v>
      </c>
      <c r="L46" s="68">
        <v>671.42000000000041</v>
      </c>
      <c r="M46" s="17"/>
      <c r="N46" s="21" t="str">
        <f t="shared" si="0"/>
        <v>MCSGAST1CPF - Desp. Lazer e Entretenimento - Bares</v>
      </c>
      <c r="O46" s="21" t="str">
        <f t="shared" si="1"/>
        <v>GAST1CPF - Desp. Lazer e Entretenimento - Bares</v>
      </c>
      <c r="P46" s="21" t="str">
        <f t="shared" si="2"/>
        <v>MCSGAST1CPF - Desp. Lazer e Entretenimento - Bares</v>
      </c>
      <c r="Q46" s="21" t="str">
        <f t="shared" si="3"/>
        <v>MCSGAST1</v>
      </c>
      <c r="R46" s="21" t="str">
        <f t="shared" si="4"/>
        <v>MCSGAST1</v>
      </c>
      <c r="S46" s="17"/>
      <c r="T46" s="24">
        <f t="shared" si="5"/>
        <v>45658</v>
      </c>
      <c r="U46" s="24" t="str">
        <f t="shared" si="6"/>
        <v/>
      </c>
      <c r="V46" s="14" t="s">
        <v>761</v>
      </c>
    </row>
    <row r="47" spans="2:22" x14ac:dyDescent="0.25">
      <c r="B47" s="20" t="s">
        <v>25</v>
      </c>
      <c r="C47" s="17"/>
      <c r="D47" s="86" t="str">
        <f>INDEX(Cad_Natureza!$B$3:$C$52,MATCH('2025'!F47,Cad_Natureza!$C$3:$C$52,0),MATCH('2025'!D$2,Cad_Natureza!$B$3:$C$3,0))</f>
        <v>DESP2</v>
      </c>
      <c r="E47" s="84" t="s">
        <v>44</v>
      </c>
      <c r="F47" s="85" t="s">
        <v>739</v>
      </c>
      <c r="G47" s="86" t="s">
        <v>25</v>
      </c>
      <c r="H47" s="87">
        <v>45672</v>
      </c>
      <c r="I47" s="87"/>
      <c r="J47" s="79" t="s">
        <v>355</v>
      </c>
      <c r="K47" s="62">
        <v>-95.9</v>
      </c>
      <c r="L47" s="68">
        <v>575.52000000000044</v>
      </c>
      <c r="M47" s="17"/>
      <c r="N47" s="21" t="str">
        <f t="shared" si="0"/>
        <v>MCSDESP2CPF - Desp. Telefone / Internet</v>
      </c>
      <c r="O47" s="21" t="str">
        <f t="shared" si="1"/>
        <v>DESP2CPF - Desp. Telefone / Internet</v>
      </c>
      <c r="P47" s="21" t="str">
        <f t="shared" si="2"/>
        <v>MCSDESP2CPF - Desp. Telefone / Internet</v>
      </c>
      <c r="Q47" s="21" t="str">
        <f t="shared" si="3"/>
        <v>MCSDESP2</v>
      </c>
      <c r="R47" s="21" t="str">
        <f t="shared" si="4"/>
        <v>MCSDESP2</v>
      </c>
      <c r="S47" s="17"/>
      <c r="T47" s="24">
        <f t="shared" si="5"/>
        <v>45658</v>
      </c>
      <c r="U47" s="24" t="str">
        <f t="shared" si="6"/>
        <v/>
      </c>
      <c r="V47" s="14" t="s">
        <v>761</v>
      </c>
    </row>
    <row r="48" spans="2:22" x14ac:dyDescent="0.25">
      <c r="B48" s="20" t="s">
        <v>25</v>
      </c>
      <c r="C48" s="17"/>
      <c r="D48" s="86" t="str">
        <f>INDEX(Cad_Natureza!$B$3:$C$52,MATCH('2025'!F48,Cad_Natureza!$C$3:$C$52,0),MATCH('2025'!D$2,Cad_Natureza!$B$3:$C$3,0))</f>
        <v>GAST1</v>
      </c>
      <c r="E48" s="84" t="s">
        <v>80</v>
      </c>
      <c r="F48" s="85" t="s">
        <v>742</v>
      </c>
      <c r="G48" s="86" t="s">
        <v>25</v>
      </c>
      <c r="H48" s="87">
        <v>45673</v>
      </c>
      <c r="I48" s="87"/>
      <c r="J48" s="79" t="s">
        <v>185</v>
      </c>
      <c r="K48" s="62">
        <v>-35</v>
      </c>
      <c r="L48" s="68">
        <v>540.52000000000044</v>
      </c>
      <c r="M48" s="17"/>
      <c r="N48" s="21" t="str">
        <f t="shared" si="0"/>
        <v>MCSGAST1CPF - Desp. Lazer e Entretenimento - Bares</v>
      </c>
      <c r="O48" s="21" t="str">
        <f t="shared" si="1"/>
        <v>GAST1CPF - Desp. Lazer e Entretenimento - Bares</v>
      </c>
      <c r="P48" s="21" t="str">
        <f t="shared" si="2"/>
        <v>MCSGAST1CPF - Desp. Lazer e Entretenimento - Bares</v>
      </c>
      <c r="Q48" s="21" t="str">
        <f t="shared" si="3"/>
        <v>MCSGAST1</v>
      </c>
      <c r="R48" s="21" t="str">
        <f t="shared" si="4"/>
        <v>MCSGAST1</v>
      </c>
      <c r="S48" s="17"/>
      <c r="T48" s="24">
        <f t="shared" si="5"/>
        <v>45658</v>
      </c>
      <c r="U48" s="24" t="str">
        <f t="shared" si="6"/>
        <v/>
      </c>
      <c r="V48" s="14" t="s">
        <v>761</v>
      </c>
    </row>
    <row r="49" spans="2:22" x14ac:dyDescent="0.25">
      <c r="B49" s="20" t="s">
        <v>25</v>
      </c>
      <c r="C49" s="17"/>
      <c r="D49" s="86" t="str">
        <f>INDEX(Cad_Natureza!$B$3:$C$52,MATCH('2025'!F49,Cad_Natureza!$C$3:$C$52,0),MATCH('2025'!D$2,Cad_Natureza!$B$3:$C$3,0))</f>
        <v>GAST1</v>
      </c>
      <c r="E49" s="84" t="s">
        <v>80</v>
      </c>
      <c r="F49" s="85" t="s">
        <v>742</v>
      </c>
      <c r="G49" s="86" t="s">
        <v>25</v>
      </c>
      <c r="H49" s="87">
        <v>45673</v>
      </c>
      <c r="I49" s="87"/>
      <c r="J49" s="79" t="s">
        <v>185</v>
      </c>
      <c r="K49" s="62">
        <v>-10</v>
      </c>
      <c r="L49" s="68">
        <v>530.52000000000044</v>
      </c>
      <c r="M49" s="17"/>
      <c r="N49" s="21" t="str">
        <f t="shared" si="0"/>
        <v>MCSGAST1CPF - Desp. Lazer e Entretenimento - Bares</v>
      </c>
      <c r="O49" s="21" t="str">
        <f t="shared" si="1"/>
        <v>GAST1CPF - Desp. Lazer e Entretenimento - Bares</v>
      </c>
      <c r="P49" s="21" t="str">
        <f t="shared" si="2"/>
        <v>MCSGAST1CPF - Desp. Lazer e Entretenimento - Bares</v>
      </c>
      <c r="Q49" s="21" t="str">
        <f t="shared" si="3"/>
        <v>MCSGAST1</v>
      </c>
      <c r="R49" s="21" t="str">
        <f t="shared" si="4"/>
        <v>MCSGAST1</v>
      </c>
      <c r="S49" s="17"/>
      <c r="T49" s="24">
        <f t="shared" si="5"/>
        <v>45658</v>
      </c>
      <c r="U49" s="24" t="str">
        <f t="shared" si="6"/>
        <v/>
      </c>
      <c r="V49" s="14" t="s">
        <v>761</v>
      </c>
    </row>
    <row r="50" spans="2:22" x14ac:dyDescent="0.25">
      <c r="B50" s="20" t="s">
        <v>25</v>
      </c>
      <c r="C50" s="17"/>
      <c r="D50" s="86" t="str">
        <f>INDEX(Cad_Natureza!$B$3:$C$52,MATCH('2025'!F50,Cad_Natureza!$C$3:$C$52,0),MATCH('2025'!D$2,Cad_Natureza!$B$3:$C$3,0))</f>
        <v>GAST1</v>
      </c>
      <c r="E50" s="84" t="s">
        <v>81</v>
      </c>
      <c r="F50" s="85" t="s">
        <v>742</v>
      </c>
      <c r="G50" s="86" t="s">
        <v>25</v>
      </c>
      <c r="H50" s="87">
        <v>45673</v>
      </c>
      <c r="I50" s="87"/>
      <c r="J50" s="79" t="s">
        <v>185</v>
      </c>
      <c r="K50" s="62">
        <v>-7</v>
      </c>
      <c r="L50" s="68">
        <v>523.52000000000044</v>
      </c>
      <c r="M50" s="17"/>
      <c r="N50" s="21" t="str">
        <f t="shared" si="0"/>
        <v>MCSGAST1CPF - Desp. Lazer e Entretenimento - Bares</v>
      </c>
      <c r="O50" s="21" t="str">
        <f t="shared" si="1"/>
        <v>GAST1CPF - Desp. Lazer e Entretenimento - Bares</v>
      </c>
      <c r="P50" s="21" t="str">
        <f t="shared" si="2"/>
        <v>MCSGAST1CPF - Desp. Lazer e Entretenimento - Bares</v>
      </c>
      <c r="Q50" s="21" t="str">
        <f t="shared" si="3"/>
        <v>MCSGAST1</v>
      </c>
      <c r="R50" s="21" t="str">
        <f t="shared" si="4"/>
        <v>MCSGAST1</v>
      </c>
      <c r="S50" s="17"/>
      <c r="T50" s="24">
        <f t="shared" si="5"/>
        <v>45658</v>
      </c>
      <c r="U50" s="24" t="str">
        <f t="shared" si="6"/>
        <v/>
      </c>
      <c r="V50" s="14" t="s">
        <v>761</v>
      </c>
    </row>
    <row r="51" spans="2:22" x14ac:dyDescent="0.25">
      <c r="B51" s="20" t="s">
        <v>25</v>
      </c>
      <c r="C51" s="17"/>
      <c r="D51" s="63" t="str">
        <f>INDEX(Cad_Natureza!$B$3:$C$52,MATCH('2025'!F51,Cad_Natureza!$C$3:$C$52,0),MATCH('2025'!D$2,Cad_Natureza!$B$3:$C$3,0))</f>
        <v>REC5</v>
      </c>
      <c r="E51" s="64" t="s">
        <v>82</v>
      </c>
      <c r="F51" s="65" t="s">
        <v>740</v>
      </c>
      <c r="G51" s="63" t="s">
        <v>25</v>
      </c>
      <c r="H51" s="66">
        <v>45677</v>
      </c>
      <c r="I51" s="66"/>
      <c r="J51" s="67" t="s">
        <v>200</v>
      </c>
      <c r="K51" s="68">
        <v>20</v>
      </c>
      <c r="L51" s="68">
        <v>543.52000000000044</v>
      </c>
      <c r="M51" s="17"/>
      <c r="N51" s="21" t="str">
        <f t="shared" si="0"/>
        <v>MCSREC5CPF - Outras receitas</v>
      </c>
      <c r="O51" s="21" t="str">
        <f t="shared" si="1"/>
        <v>REC5CPF - Outras receitas</v>
      </c>
      <c r="P51" s="21" t="str">
        <f t="shared" si="2"/>
        <v>MCSREC5CPF - Outras receitas</v>
      </c>
      <c r="Q51" s="21" t="str">
        <f t="shared" si="3"/>
        <v>MCSREC5</v>
      </c>
      <c r="R51" s="21" t="str">
        <f t="shared" si="4"/>
        <v>MCSREC5</v>
      </c>
      <c r="S51" s="17"/>
      <c r="T51" s="24">
        <f t="shared" si="5"/>
        <v>45658</v>
      </c>
      <c r="U51" s="24" t="str">
        <f t="shared" si="6"/>
        <v/>
      </c>
      <c r="V51" s="14" t="s">
        <v>761</v>
      </c>
    </row>
    <row r="52" spans="2:22" x14ac:dyDescent="0.25">
      <c r="B52" s="20" t="s">
        <v>25</v>
      </c>
      <c r="C52" s="17"/>
      <c r="D52" s="86" t="str">
        <f>INDEX(Cad_Natureza!$B$3:$C$52,MATCH('2025'!F52,Cad_Natureza!$C$3:$C$52,0),MATCH('2025'!D$2,Cad_Natureza!$B$3:$C$3,0))</f>
        <v>DESP4</v>
      </c>
      <c r="E52" s="84" t="s">
        <v>83</v>
      </c>
      <c r="F52" s="85" t="s">
        <v>753</v>
      </c>
      <c r="G52" s="86" t="s">
        <v>25</v>
      </c>
      <c r="H52" s="87">
        <v>45677</v>
      </c>
      <c r="I52" s="87"/>
      <c r="J52" s="79" t="s">
        <v>462</v>
      </c>
      <c r="K52" s="62">
        <v>-11.99</v>
      </c>
      <c r="L52" s="68">
        <v>531.53000000000043</v>
      </c>
      <c r="M52" s="17"/>
      <c r="N52" s="21" t="str">
        <f t="shared" si="0"/>
        <v>MCSDESP4CPF - Desp. Moradia</v>
      </c>
      <c r="O52" s="21" t="str">
        <f t="shared" si="1"/>
        <v>DESP4CPF - Desp. Moradia</v>
      </c>
      <c r="P52" s="21" t="str">
        <f t="shared" si="2"/>
        <v>MCSDESP4CPF - Desp. Moradia</v>
      </c>
      <c r="Q52" s="21" t="str">
        <f t="shared" si="3"/>
        <v>MCSDESP4</v>
      </c>
      <c r="R52" s="21" t="str">
        <f t="shared" si="4"/>
        <v>MCSDESP4</v>
      </c>
      <c r="S52" s="17"/>
      <c r="T52" s="24">
        <f t="shared" si="5"/>
        <v>45658</v>
      </c>
      <c r="U52" s="24" t="str">
        <f t="shared" si="6"/>
        <v/>
      </c>
      <c r="V52" s="14" t="s">
        <v>761</v>
      </c>
    </row>
    <row r="53" spans="2:22" x14ac:dyDescent="0.25">
      <c r="B53" s="20" t="s">
        <v>25</v>
      </c>
      <c r="C53" s="17"/>
      <c r="D53" s="86" t="str">
        <f>INDEX(Cad_Natureza!$B$3:$C$52,MATCH('2025'!F53,Cad_Natureza!$C$3:$C$52,0),MATCH('2025'!D$2,Cad_Natureza!$B$3:$C$3,0))</f>
        <v>GAST1</v>
      </c>
      <c r="E53" s="84" t="s">
        <v>84</v>
      </c>
      <c r="F53" s="85" t="s">
        <v>742</v>
      </c>
      <c r="G53" s="86" t="s">
        <v>25</v>
      </c>
      <c r="H53" s="87">
        <v>45677</v>
      </c>
      <c r="I53" s="87"/>
      <c r="J53" s="79" t="s">
        <v>185</v>
      </c>
      <c r="K53" s="62">
        <v>-21</v>
      </c>
      <c r="L53" s="68">
        <v>510.53000000000043</v>
      </c>
      <c r="M53" s="17"/>
      <c r="N53" s="21" t="str">
        <f t="shared" si="0"/>
        <v>MCSGAST1CPF - Desp. Lazer e Entretenimento - Bares</v>
      </c>
      <c r="O53" s="21" t="str">
        <f t="shared" si="1"/>
        <v>GAST1CPF - Desp. Lazer e Entretenimento - Bares</v>
      </c>
      <c r="P53" s="21" t="str">
        <f t="shared" si="2"/>
        <v>MCSGAST1CPF - Desp. Lazer e Entretenimento - Bares</v>
      </c>
      <c r="Q53" s="21" t="str">
        <f t="shared" si="3"/>
        <v>MCSGAST1</v>
      </c>
      <c r="R53" s="21" t="str">
        <f t="shared" si="4"/>
        <v>MCSGAST1</v>
      </c>
      <c r="S53" s="17"/>
      <c r="T53" s="24">
        <f t="shared" si="5"/>
        <v>45658</v>
      </c>
      <c r="U53" s="24" t="str">
        <f t="shared" si="6"/>
        <v/>
      </c>
      <c r="V53" s="14" t="s">
        <v>761</v>
      </c>
    </row>
    <row r="54" spans="2:22" x14ac:dyDescent="0.25">
      <c r="B54" s="20" t="s">
        <v>25</v>
      </c>
      <c r="C54" s="17"/>
      <c r="D54" s="86" t="str">
        <f>INDEX(Cad_Natureza!$B$3:$C$52,MATCH('2025'!F54,Cad_Natureza!$C$3:$C$52,0),MATCH('2025'!D$2,Cad_Natureza!$B$3:$C$3,0))</f>
        <v>GAST1</v>
      </c>
      <c r="E54" s="84" t="s">
        <v>85</v>
      </c>
      <c r="F54" s="85" t="s">
        <v>742</v>
      </c>
      <c r="G54" s="86" t="s">
        <v>25</v>
      </c>
      <c r="H54" s="87">
        <v>45677</v>
      </c>
      <c r="I54" s="87"/>
      <c r="J54" s="79" t="s">
        <v>185</v>
      </c>
      <c r="K54" s="62">
        <v>-25</v>
      </c>
      <c r="L54" s="68">
        <v>485.53000000000043</v>
      </c>
      <c r="M54" s="17"/>
      <c r="N54" s="21" t="str">
        <f t="shared" si="0"/>
        <v>MCSGAST1CPF - Desp. Lazer e Entretenimento - Bares</v>
      </c>
      <c r="O54" s="21" t="str">
        <f t="shared" si="1"/>
        <v>GAST1CPF - Desp. Lazer e Entretenimento - Bares</v>
      </c>
      <c r="P54" s="21" t="str">
        <f t="shared" si="2"/>
        <v>MCSGAST1CPF - Desp. Lazer e Entretenimento - Bares</v>
      </c>
      <c r="Q54" s="21" t="str">
        <f t="shared" si="3"/>
        <v>MCSGAST1</v>
      </c>
      <c r="R54" s="21" t="str">
        <f t="shared" si="4"/>
        <v>MCSGAST1</v>
      </c>
      <c r="S54" s="17"/>
      <c r="T54" s="24">
        <f t="shared" si="5"/>
        <v>45658</v>
      </c>
      <c r="U54" s="24" t="str">
        <f t="shared" si="6"/>
        <v/>
      </c>
      <c r="V54" s="14" t="s">
        <v>761</v>
      </c>
    </row>
    <row r="55" spans="2:22" x14ac:dyDescent="0.25">
      <c r="B55" s="20" t="s">
        <v>25</v>
      </c>
      <c r="C55" s="17"/>
      <c r="D55" s="63" t="str">
        <f>INDEX(Cad_Natureza!$B$3:$C$52,MATCH('2025'!F55,Cad_Natureza!$C$3:$C$52,0),MATCH('2025'!D$2,Cad_Natureza!$B$3:$C$3,0))</f>
        <v>REC5</v>
      </c>
      <c r="E55" s="64" t="s">
        <v>82</v>
      </c>
      <c r="F55" s="65" t="s">
        <v>740</v>
      </c>
      <c r="G55" s="63" t="s">
        <v>25</v>
      </c>
      <c r="H55" s="66">
        <v>45677</v>
      </c>
      <c r="I55" s="66"/>
      <c r="J55" s="67" t="s">
        <v>200</v>
      </c>
      <c r="K55" s="68">
        <v>20</v>
      </c>
      <c r="L55" s="68">
        <v>505.53000000000043</v>
      </c>
      <c r="M55" s="17"/>
      <c r="N55" s="21" t="str">
        <f t="shared" si="0"/>
        <v>MCSREC5CPF - Outras receitas</v>
      </c>
      <c r="O55" s="21" t="str">
        <f t="shared" si="1"/>
        <v>REC5CPF - Outras receitas</v>
      </c>
      <c r="P55" s="21" t="str">
        <f t="shared" si="2"/>
        <v>MCSREC5CPF - Outras receitas</v>
      </c>
      <c r="Q55" s="21" t="str">
        <f t="shared" si="3"/>
        <v>MCSREC5</v>
      </c>
      <c r="R55" s="21" t="str">
        <f t="shared" si="4"/>
        <v>MCSREC5</v>
      </c>
      <c r="S55" s="17"/>
      <c r="T55" s="24">
        <f t="shared" si="5"/>
        <v>45658</v>
      </c>
      <c r="U55" s="24" t="str">
        <f t="shared" si="6"/>
        <v/>
      </c>
      <c r="V55" s="14" t="s">
        <v>761</v>
      </c>
    </row>
    <row r="56" spans="2:22" x14ac:dyDescent="0.25">
      <c r="B56" s="20" t="s">
        <v>25</v>
      </c>
      <c r="C56" s="17"/>
      <c r="D56" s="86" t="str">
        <f>INDEX(Cad_Natureza!$B$3:$C$52,MATCH('2025'!F56,Cad_Natureza!$C$3:$C$52,0),MATCH('2025'!D$2,Cad_Natureza!$B$3:$C$3,0))</f>
        <v>GAST1</v>
      </c>
      <c r="E56" s="84" t="s">
        <v>86</v>
      </c>
      <c r="F56" s="85" t="s">
        <v>742</v>
      </c>
      <c r="G56" s="86" t="s">
        <v>25</v>
      </c>
      <c r="H56" s="87">
        <v>45677</v>
      </c>
      <c r="I56" s="87"/>
      <c r="J56" s="79" t="s">
        <v>185</v>
      </c>
      <c r="K56" s="62">
        <v>-45.5</v>
      </c>
      <c r="L56" s="68">
        <v>460.03000000000043</v>
      </c>
      <c r="M56" s="17"/>
      <c r="N56" s="21" t="str">
        <f t="shared" si="0"/>
        <v>MCSGAST1CPF - Desp. Lazer e Entretenimento - Bares</v>
      </c>
      <c r="O56" s="21" t="str">
        <f t="shared" si="1"/>
        <v>GAST1CPF - Desp. Lazer e Entretenimento - Bares</v>
      </c>
      <c r="P56" s="21" t="str">
        <f t="shared" si="2"/>
        <v>MCSGAST1CPF - Desp. Lazer e Entretenimento - Bares</v>
      </c>
      <c r="Q56" s="21" t="str">
        <f t="shared" si="3"/>
        <v>MCSGAST1</v>
      </c>
      <c r="R56" s="21" t="str">
        <f t="shared" si="4"/>
        <v>MCSGAST1</v>
      </c>
      <c r="S56" s="17"/>
      <c r="T56" s="24">
        <f t="shared" si="5"/>
        <v>45658</v>
      </c>
      <c r="U56" s="24" t="str">
        <f t="shared" si="6"/>
        <v/>
      </c>
      <c r="V56" s="14" t="s">
        <v>761</v>
      </c>
    </row>
    <row r="57" spans="2:22" x14ac:dyDescent="0.25">
      <c r="B57" s="20" t="s">
        <v>25</v>
      </c>
      <c r="C57" s="17"/>
      <c r="D57" s="86" t="str">
        <f>INDEX(Cad_Natureza!$B$3:$C$52,MATCH('2025'!F57,Cad_Natureza!$C$3:$C$52,0),MATCH('2025'!D$2,Cad_Natureza!$B$3:$C$3,0))</f>
        <v>OPF2</v>
      </c>
      <c r="E57" s="84" t="s">
        <v>87</v>
      </c>
      <c r="F57" s="85" t="s">
        <v>741</v>
      </c>
      <c r="G57" s="86" t="s">
        <v>25</v>
      </c>
      <c r="H57" s="87">
        <v>45677</v>
      </c>
      <c r="I57" s="87"/>
      <c r="J57" s="79" t="s">
        <v>184</v>
      </c>
      <c r="K57" s="62">
        <v>-50</v>
      </c>
      <c r="L57" s="68">
        <v>410.03000000000043</v>
      </c>
      <c r="M57" s="17"/>
      <c r="N57" s="21" t="str">
        <f t="shared" si="0"/>
        <v>MCSOPF2CPF - Desp. Transporte / Combustível</v>
      </c>
      <c r="O57" s="21" t="str">
        <f t="shared" si="1"/>
        <v>OPF2CPF - Desp. Transporte / Combustível</v>
      </c>
      <c r="P57" s="21" t="str">
        <f t="shared" si="2"/>
        <v>MCSOPF2CPF - Desp. Transporte / Combustível</v>
      </c>
      <c r="Q57" s="21" t="str">
        <f t="shared" si="3"/>
        <v>MCSOPF2</v>
      </c>
      <c r="R57" s="21" t="str">
        <f t="shared" si="4"/>
        <v>MCSOPF2</v>
      </c>
      <c r="S57" s="17"/>
      <c r="T57" s="24">
        <f t="shared" si="5"/>
        <v>45658</v>
      </c>
      <c r="U57" s="24" t="str">
        <f t="shared" si="6"/>
        <v/>
      </c>
      <c r="V57" s="14" t="s">
        <v>761</v>
      </c>
    </row>
    <row r="58" spans="2:22" x14ac:dyDescent="0.25">
      <c r="B58" s="20" t="s">
        <v>25</v>
      </c>
      <c r="C58" s="17"/>
      <c r="D58" s="86" t="str">
        <f>INDEX(Cad_Natureza!$B$3:$C$52,MATCH('2025'!F58,Cad_Natureza!$C$3:$C$52,0),MATCH('2025'!D$2,Cad_Natureza!$B$3:$C$3,0))</f>
        <v>GAST1</v>
      </c>
      <c r="E58" s="84" t="s">
        <v>88</v>
      </c>
      <c r="F58" s="85" t="s">
        <v>742</v>
      </c>
      <c r="G58" s="86" t="s">
        <v>25</v>
      </c>
      <c r="H58" s="87">
        <v>45677</v>
      </c>
      <c r="I58" s="87"/>
      <c r="J58" s="79" t="s">
        <v>185</v>
      </c>
      <c r="K58" s="62">
        <v>-7</v>
      </c>
      <c r="L58" s="68">
        <v>403.03000000000043</v>
      </c>
      <c r="M58" s="17"/>
      <c r="N58" s="21" t="str">
        <f t="shared" si="0"/>
        <v>MCSGAST1CPF - Desp. Lazer e Entretenimento - Bares</v>
      </c>
      <c r="O58" s="21" t="str">
        <f t="shared" si="1"/>
        <v>GAST1CPF - Desp. Lazer e Entretenimento - Bares</v>
      </c>
      <c r="P58" s="21" t="str">
        <f t="shared" si="2"/>
        <v>MCSGAST1CPF - Desp. Lazer e Entretenimento - Bares</v>
      </c>
      <c r="Q58" s="21" t="str">
        <f t="shared" si="3"/>
        <v>MCSGAST1</v>
      </c>
      <c r="R58" s="21" t="str">
        <f t="shared" si="4"/>
        <v>MCSGAST1</v>
      </c>
      <c r="S58" s="17"/>
      <c r="T58" s="24">
        <f t="shared" si="5"/>
        <v>45658</v>
      </c>
      <c r="U58" s="24" t="str">
        <f t="shared" si="6"/>
        <v/>
      </c>
      <c r="V58" s="14" t="s">
        <v>761</v>
      </c>
    </row>
    <row r="59" spans="2:22" x14ac:dyDescent="0.25">
      <c r="B59" s="20" t="s">
        <v>25</v>
      </c>
      <c r="C59" s="17"/>
      <c r="D59" s="86" t="str">
        <f>INDEX(Cad_Natureza!$B$3:$C$52,MATCH('2025'!F59,Cad_Natureza!$C$3:$C$52,0),MATCH('2025'!D$2,Cad_Natureza!$B$3:$C$3,0))</f>
        <v>FIN2</v>
      </c>
      <c r="E59" s="84" t="s">
        <v>45</v>
      </c>
      <c r="F59" s="85" t="s">
        <v>751</v>
      </c>
      <c r="G59" s="86" t="s">
        <v>25</v>
      </c>
      <c r="H59" s="87">
        <v>45677</v>
      </c>
      <c r="I59" s="87"/>
      <c r="J59" s="79" t="s">
        <v>193</v>
      </c>
      <c r="K59" s="62">
        <v>-253.28</v>
      </c>
      <c r="L59" s="68">
        <v>149.75000000000043</v>
      </c>
      <c r="M59" s="17"/>
      <c r="N59" s="21" t="str">
        <f t="shared" si="0"/>
        <v>MCSFIN2CPF - Desp. Financeiras - Juros / Tarifas</v>
      </c>
      <c r="O59" s="21" t="str">
        <f t="shared" si="1"/>
        <v>FIN2CPF - Desp. Financeiras - Juros / Tarifas</v>
      </c>
      <c r="P59" s="21" t="str">
        <f t="shared" si="2"/>
        <v>MCSFIN2CPF - Desp. Financeiras - Juros / Tarifas</v>
      </c>
      <c r="Q59" s="21" t="str">
        <f t="shared" si="3"/>
        <v>MCSFIN2</v>
      </c>
      <c r="R59" s="21" t="str">
        <f t="shared" si="4"/>
        <v>MCSFIN2</v>
      </c>
      <c r="S59" s="17"/>
      <c r="T59" s="24">
        <f t="shared" si="5"/>
        <v>45658</v>
      </c>
      <c r="U59" s="24" t="str">
        <f t="shared" si="6"/>
        <v/>
      </c>
      <c r="V59" s="14" t="s">
        <v>761</v>
      </c>
    </row>
    <row r="60" spans="2:22" x14ac:dyDescent="0.25">
      <c r="B60" s="20" t="s">
        <v>25</v>
      </c>
      <c r="C60" s="17"/>
      <c r="D60" s="86" t="str">
        <f>INDEX(Cad_Natureza!$B$3:$C$52,MATCH('2025'!F60,Cad_Natureza!$C$3:$C$52,0),MATCH('2025'!D$2,Cad_Natureza!$B$3:$C$3,0))</f>
        <v>OPF1</v>
      </c>
      <c r="E60" s="84" t="s">
        <v>89</v>
      </c>
      <c r="F60" s="85" t="s">
        <v>744</v>
      </c>
      <c r="G60" s="86" t="s">
        <v>25</v>
      </c>
      <c r="H60" s="87">
        <v>45678</v>
      </c>
      <c r="I60" s="87"/>
      <c r="J60" s="79" t="s">
        <v>185</v>
      </c>
      <c r="K60" s="62">
        <v>-30</v>
      </c>
      <c r="L60" s="68">
        <v>119.75000000000043</v>
      </c>
      <c r="M60" s="17"/>
      <c r="N60" s="21" t="str">
        <f t="shared" si="0"/>
        <v>MCSOPF1CPF - Desp. Alimentação / Refeição</v>
      </c>
      <c r="O60" s="21" t="str">
        <f t="shared" si="1"/>
        <v>OPF1CPF - Desp. Alimentação / Refeição</v>
      </c>
      <c r="P60" s="21" t="str">
        <f t="shared" si="2"/>
        <v>MCSOPF1CPF - Desp. Alimentação / Refeição</v>
      </c>
      <c r="Q60" s="21" t="str">
        <f t="shared" si="3"/>
        <v>MCSOPF1</v>
      </c>
      <c r="R60" s="21" t="str">
        <f t="shared" si="4"/>
        <v>MCSOPF1</v>
      </c>
      <c r="S60" s="17"/>
      <c r="T60" s="24">
        <f t="shared" si="5"/>
        <v>45658</v>
      </c>
      <c r="U60" s="24" t="str">
        <f t="shared" si="6"/>
        <v/>
      </c>
      <c r="V60" s="14" t="s">
        <v>761</v>
      </c>
    </row>
    <row r="61" spans="2:22" x14ac:dyDescent="0.25">
      <c r="B61" s="20" t="s">
        <v>25</v>
      </c>
      <c r="C61" s="17"/>
      <c r="D61" s="86" t="str">
        <f>INDEX(Cad_Natureza!$B$3:$C$52,MATCH('2025'!F61,Cad_Natureza!$C$3:$C$52,0),MATCH('2025'!D$2,Cad_Natureza!$B$3:$C$3,0))</f>
        <v>GAST1</v>
      </c>
      <c r="E61" s="84" t="s">
        <v>90</v>
      </c>
      <c r="F61" s="85" t="s">
        <v>742</v>
      </c>
      <c r="G61" s="86" t="s">
        <v>25</v>
      </c>
      <c r="H61" s="87">
        <v>45679</v>
      </c>
      <c r="I61" s="87"/>
      <c r="J61" s="79" t="s">
        <v>185</v>
      </c>
      <c r="K61" s="62">
        <v>-6</v>
      </c>
      <c r="L61" s="68">
        <v>113.75000000000043</v>
      </c>
      <c r="M61" s="17"/>
      <c r="N61" s="21" t="str">
        <f t="shared" si="0"/>
        <v>MCSGAST1CPF - Desp. Lazer e Entretenimento - Bares</v>
      </c>
      <c r="O61" s="21" t="str">
        <f t="shared" si="1"/>
        <v>GAST1CPF - Desp. Lazer e Entretenimento - Bares</v>
      </c>
      <c r="P61" s="21" t="str">
        <f t="shared" si="2"/>
        <v>MCSGAST1CPF - Desp. Lazer e Entretenimento - Bares</v>
      </c>
      <c r="Q61" s="21" t="str">
        <f t="shared" si="3"/>
        <v>MCSGAST1</v>
      </c>
      <c r="R61" s="21" t="str">
        <f t="shared" si="4"/>
        <v>MCSGAST1</v>
      </c>
      <c r="S61" s="17"/>
      <c r="T61" s="24">
        <f t="shared" si="5"/>
        <v>45658</v>
      </c>
      <c r="U61" s="24" t="str">
        <f t="shared" si="6"/>
        <v/>
      </c>
      <c r="V61" s="14" t="s">
        <v>761</v>
      </c>
    </row>
    <row r="62" spans="2:22" x14ac:dyDescent="0.25">
      <c r="B62" s="20" t="s">
        <v>25</v>
      </c>
      <c r="C62" s="17"/>
      <c r="D62" s="86" t="str">
        <f>INDEX(Cad_Natureza!$B$3:$C$52,MATCH('2025'!F62,Cad_Natureza!$C$3:$C$52,0),MATCH('2025'!D$2,Cad_Natureza!$B$3:$C$3,0))</f>
        <v>GAST1</v>
      </c>
      <c r="E62" s="84" t="s">
        <v>91</v>
      </c>
      <c r="F62" s="85" t="s">
        <v>742</v>
      </c>
      <c r="G62" s="86" t="s">
        <v>25</v>
      </c>
      <c r="H62" s="87">
        <v>45679</v>
      </c>
      <c r="I62" s="87"/>
      <c r="J62" s="79" t="s">
        <v>185</v>
      </c>
      <c r="K62" s="62">
        <v>-7</v>
      </c>
      <c r="L62" s="68">
        <v>106.75000000000043</v>
      </c>
      <c r="M62" s="17"/>
      <c r="N62" s="21" t="str">
        <f t="shared" si="0"/>
        <v>MCSGAST1CPF - Desp. Lazer e Entretenimento - Bares</v>
      </c>
      <c r="O62" s="21" t="str">
        <f t="shared" si="1"/>
        <v>GAST1CPF - Desp. Lazer e Entretenimento - Bares</v>
      </c>
      <c r="P62" s="21" t="str">
        <f t="shared" si="2"/>
        <v>MCSGAST1CPF - Desp. Lazer e Entretenimento - Bares</v>
      </c>
      <c r="Q62" s="21" t="str">
        <f t="shared" si="3"/>
        <v>MCSGAST1</v>
      </c>
      <c r="R62" s="21" t="str">
        <f t="shared" si="4"/>
        <v>MCSGAST1</v>
      </c>
      <c r="S62" s="17"/>
      <c r="T62" s="24">
        <f t="shared" si="5"/>
        <v>45658</v>
      </c>
      <c r="U62" s="24" t="str">
        <f t="shared" si="6"/>
        <v/>
      </c>
      <c r="V62" s="14" t="s">
        <v>761</v>
      </c>
    </row>
    <row r="63" spans="2:22" x14ac:dyDescent="0.25">
      <c r="B63" s="20" t="s">
        <v>25</v>
      </c>
      <c r="C63" s="17"/>
      <c r="D63" s="86" t="str">
        <f>INDEX(Cad_Natureza!$B$3:$C$52,MATCH('2025'!F63,Cad_Natureza!$C$3:$C$52,0),MATCH('2025'!D$2,Cad_Natureza!$B$3:$C$3,0))</f>
        <v>GAST1</v>
      </c>
      <c r="E63" s="84" t="s">
        <v>92</v>
      </c>
      <c r="F63" s="85" t="s">
        <v>742</v>
      </c>
      <c r="G63" s="86" t="s">
        <v>25</v>
      </c>
      <c r="H63" s="87">
        <v>45680</v>
      </c>
      <c r="I63" s="87"/>
      <c r="J63" s="79" t="s">
        <v>185</v>
      </c>
      <c r="K63" s="62">
        <v>-6</v>
      </c>
      <c r="L63" s="68">
        <v>100.75000000000043</v>
      </c>
      <c r="M63" s="17"/>
      <c r="N63" s="21" t="str">
        <f t="shared" si="0"/>
        <v>MCSGAST1CPF - Desp. Lazer e Entretenimento - Bares</v>
      </c>
      <c r="O63" s="21" t="str">
        <f t="shared" si="1"/>
        <v>GAST1CPF - Desp. Lazer e Entretenimento - Bares</v>
      </c>
      <c r="P63" s="21" t="str">
        <f t="shared" si="2"/>
        <v>MCSGAST1CPF - Desp. Lazer e Entretenimento - Bares</v>
      </c>
      <c r="Q63" s="21" t="str">
        <f t="shared" si="3"/>
        <v>MCSGAST1</v>
      </c>
      <c r="R63" s="21" t="str">
        <f t="shared" si="4"/>
        <v>MCSGAST1</v>
      </c>
      <c r="S63" s="17"/>
      <c r="T63" s="24">
        <f t="shared" si="5"/>
        <v>45658</v>
      </c>
      <c r="U63" s="24" t="str">
        <f t="shared" si="6"/>
        <v/>
      </c>
      <c r="V63" s="14" t="s">
        <v>761</v>
      </c>
    </row>
    <row r="64" spans="2:22" x14ac:dyDescent="0.25">
      <c r="B64" s="20" t="s">
        <v>25</v>
      </c>
      <c r="C64" s="17"/>
      <c r="D64" s="86" t="str">
        <f>INDEX(Cad_Natureza!$B$3:$C$52,MATCH('2025'!F64,Cad_Natureza!$C$3:$C$52,0),MATCH('2025'!D$2,Cad_Natureza!$B$3:$C$3,0))</f>
        <v>GAST1</v>
      </c>
      <c r="E64" s="84" t="s">
        <v>93</v>
      </c>
      <c r="F64" s="85" t="s">
        <v>742</v>
      </c>
      <c r="G64" s="86" t="s">
        <v>25</v>
      </c>
      <c r="H64" s="87">
        <v>45681</v>
      </c>
      <c r="I64" s="87"/>
      <c r="J64" s="79" t="s">
        <v>185</v>
      </c>
      <c r="K64" s="62">
        <v>-21.5</v>
      </c>
      <c r="L64" s="68">
        <v>79.250000000000426</v>
      </c>
      <c r="M64" s="17"/>
      <c r="N64" s="21" t="str">
        <f t="shared" si="0"/>
        <v>MCSGAST1CPF - Desp. Lazer e Entretenimento - Bares</v>
      </c>
      <c r="O64" s="21" t="str">
        <f t="shared" si="1"/>
        <v>GAST1CPF - Desp. Lazer e Entretenimento - Bares</v>
      </c>
      <c r="P64" s="21" t="str">
        <f t="shared" si="2"/>
        <v>MCSGAST1CPF - Desp. Lazer e Entretenimento - Bares</v>
      </c>
      <c r="Q64" s="21" t="str">
        <f t="shared" si="3"/>
        <v>MCSGAST1</v>
      </c>
      <c r="R64" s="21" t="str">
        <f t="shared" si="4"/>
        <v>MCSGAST1</v>
      </c>
      <c r="S64" s="17"/>
      <c r="T64" s="24">
        <f t="shared" si="5"/>
        <v>45658</v>
      </c>
      <c r="U64" s="24" t="str">
        <f t="shared" si="6"/>
        <v/>
      </c>
      <c r="V64" s="14" t="s">
        <v>761</v>
      </c>
    </row>
    <row r="65" spans="2:22" x14ac:dyDescent="0.25">
      <c r="B65" s="20" t="s">
        <v>25</v>
      </c>
      <c r="C65" s="17"/>
      <c r="D65" s="86" t="str">
        <f>INDEX(Cad_Natureza!$B$3:$C$52,MATCH('2025'!F65,Cad_Natureza!$C$3:$C$52,0),MATCH('2025'!D$2,Cad_Natureza!$B$3:$C$3,0))</f>
        <v>OPF1</v>
      </c>
      <c r="E65" s="84" t="s">
        <v>94</v>
      </c>
      <c r="F65" s="85" t="s">
        <v>744</v>
      </c>
      <c r="G65" s="86" t="s">
        <v>25</v>
      </c>
      <c r="H65" s="87">
        <v>45681</v>
      </c>
      <c r="I65" s="87"/>
      <c r="J65" s="79" t="s">
        <v>185</v>
      </c>
      <c r="K65" s="62">
        <v>-10</v>
      </c>
      <c r="L65" s="68">
        <v>69.250000000000426</v>
      </c>
      <c r="M65" s="17"/>
      <c r="N65" s="21" t="str">
        <f t="shared" si="0"/>
        <v>MCSOPF1CPF - Desp. Alimentação / Refeição</v>
      </c>
      <c r="O65" s="21" t="str">
        <f t="shared" si="1"/>
        <v>OPF1CPF - Desp. Alimentação / Refeição</v>
      </c>
      <c r="P65" s="21" t="str">
        <f t="shared" si="2"/>
        <v>MCSOPF1CPF - Desp. Alimentação / Refeição</v>
      </c>
      <c r="Q65" s="21" t="str">
        <f t="shared" si="3"/>
        <v>MCSOPF1</v>
      </c>
      <c r="R65" s="21" t="str">
        <f t="shared" si="4"/>
        <v>MCSOPF1</v>
      </c>
      <c r="S65" s="17"/>
      <c r="T65" s="24">
        <f t="shared" si="5"/>
        <v>45658</v>
      </c>
      <c r="U65" s="24" t="str">
        <f t="shared" si="6"/>
        <v/>
      </c>
      <c r="V65" s="14" t="s">
        <v>761</v>
      </c>
    </row>
    <row r="66" spans="2:22" x14ac:dyDescent="0.25">
      <c r="B66" s="20" t="s">
        <v>25</v>
      </c>
      <c r="C66" s="17"/>
      <c r="D66" s="86" t="str">
        <f>INDEX(Cad_Natureza!$B$3:$C$52,MATCH('2025'!F66,Cad_Natureza!$C$3:$C$52,0),MATCH('2025'!D$2,Cad_Natureza!$B$3:$C$3,0))</f>
        <v>GAST1</v>
      </c>
      <c r="E66" s="84" t="s">
        <v>95</v>
      </c>
      <c r="F66" s="85" t="s">
        <v>742</v>
      </c>
      <c r="G66" s="86" t="s">
        <v>25</v>
      </c>
      <c r="H66" s="87">
        <v>45684</v>
      </c>
      <c r="I66" s="87"/>
      <c r="J66" s="79" t="s">
        <v>185</v>
      </c>
      <c r="K66" s="62">
        <v>-10</v>
      </c>
      <c r="L66" s="68">
        <v>59.250000000000426</v>
      </c>
      <c r="M66" s="17"/>
      <c r="N66" s="21" t="str">
        <f t="shared" si="0"/>
        <v>MCSGAST1CPF - Desp. Lazer e Entretenimento - Bares</v>
      </c>
      <c r="O66" s="21" t="str">
        <f t="shared" si="1"/>
        <v>GAST1CPF - Desp. Lazer e Entretenimento - Bares</v>
      </c>
      <c r="P66" s="21" t="str">
        <f t="shared" si="2"/>
        <v>MCSGAST1CPF - Desp. Lazer e Entretenimento - Bares</v>
      </c>
      <c r="Q66" s="21" t="str">
        <f t="shared" si="3"/>
        <v>MCSGAST1</v>
      </c>
      <c r="R66" s="21" t="str">
        <f t="shared" si="4"/>
        <v>MCSGAST1</v>
      </c>
      <c r="S66" s="17"/>
      <c r="T66" s="24">
        <f t="shared" si="5"/>
        <v>45658</v>
      </c>
      <c r="U66" s="24" t="str">
        <f t="shared" si="6"/>
        <v/>
      </c>
      <c r="V66" s="14" t="s">
        <v>761</v>
      </c>
    </row>
    <row r="67" spans="2:22" x14ac:dyDescent="0.25">
      <c r="B67" s="20" t="s">
        <v>25</v>
      </c>
      <c r="C67" s="17"/>
      <c r="D67" s="86" t="str">
        <f>INDEX(Cad_Natureza!$B$3:$C$52,MATCH('2025'!F67,Cad_Natureza!$C$3:$C$52,0),MATCH('2025'!D$2,Cad_Natureza!$B$3:$C$3,0))</f>
        <v>GAST1</v>
      </c>
      <c r="E67" s="84" t="s">
        <v>96</v>
      </c>
      <c r="F67" s="85" t="s">
        <v>742</v>
      </c>
      <c r="G67" s="86" t="s">
        <v>25</v>
      </c>
      <c r="H67" s="87">
        <v>45684</v>
      </c>
      <c r="I67" s="87"/>
      <c r="J67" s="79" t="s">
        <v>185</v>
      </c>
      <c r="K67" s="62">
        <v>-5</v>
      </c>
      <c r="L67" s="68">
        <v>54.250000000000426</v>
      </c>
      <c r="M67" s="17"/>
      <c r="N67" s="21" t="str">
        <f t="shared" ref="N67:N130" si="7">B67&amp;D67&amp;F67</f>
        <v>MCSGAST1CPF - Desp. Lazer e Entretenimento - Bares</v>
      </c>
      <c r="O67" s="21" t="str">
        <f t="shared" ref="O67:O130" si="8">D67&amp;F67</f>
        <v>GAST1CPF - Desp. Lazer e Entretenimento - Bares</v>
      </c>
      <c r="P67" s="21" t="str">
        <f t="shared" ref="P67:P130" si="9">"MCS"&amp;D67&amp;F67</f>
        <v>MCSGAST1CPF - Desp. Lazer e Entretenimento - Bares</v>
      </c>
      <c r="Q67" s="21" t="str">
        <f t="shared" ref="Q67:Q130" si="10">"MCS"&amp;D67</f>
        <v>MCSGAST1</v>
      </c>
      <c r="R67" s="21" t="str">
        <f t="shared" ref="R67:R130" si="11">B67&amp;D67</f>
        <v>MCSGAST1</v>
      </c>
      <c r="S67" s="17"/>
      <c r="T67" s="24">
        <f t="shared" ref="T67:T130" si="12">(1&amp;"/"&amp;MONTH(H67)&amp;"/"&amp;YEAR(H67))*1</f>
        <v>45658</v>
      </c>
      <c r="U67" s="24" t="str">
        <f t="shared" ref="U67:U130" si="13">IF(I67="","",(1&amp;"/"&amp;MONTH(I67)&amp;"/"&amp;YEAR(I67))*1)</f>
        <v/>
      </c>
      <c r="V67" s="14" t="s">
        <v>761</v>
      </c>
    </row>
    <row r="68" spans="2:22" x14ac:dyDescent="0.25">
      <c r="B68" s="20" t="s">
        <v>25</v>
      </c>
      <c r="C68" s="17"/>
      <c r="D68" s="86" t="str">
        <f>INDEX(Cad_Natureza!$B$3:$C$52,MATCH('2025'!F68,Cad_Natureza!$C$3:$C$52,0),MATCH('2025'!D$2,Cad_Natureza!$B$3:$C$3,0))</f>
        <v>GAST1</v>
      </c>
      <c r="E68" s="84" t="s">
        <v>97</v>
      </c>
      <c r="F68" s="85" t="s">
        <v>742</v>
      </c>
      <c r="G68" s="86" t="s">
        <v>25</v>
      </c>
      <c r="H68" s="87">
        <v>45687</v>
      </c>
      <c r="I68" s="87"/>
      <c r="J68" s="79" t="s">
        <v>185</v>
      </c>
      <c r="K68" s="62">
        <v>-7.5</v>
      </c>
      <c r="L68" s="68">
        <v>46.750000000000426</v>
      </c>
      <c r="M68" s="17"/>
      <c r="N68" s="21" t="str">
        <f t="shared" si="7"/>
        <v>MCSGAST1CPF - Desp. Lazer e Entretenimento - Bares</v>
      </c>
      <c r="O68" s="21" t="str">
        <f t="shared" si="8"/>
        <v>GAST1CPF - Desp. Lazer e Entretenimento - Bares</v>
      </c>
      <c r="P68" s="21" t="str">
        <f t="shared" si="9"/>
        <v>MCSGAST1CPF - Desp. Lazer e Entretenimento - Bares</v>
      </c>
      <c r="Q68" s="21" t="str">
        <f t="shared" si="10"/>
        <v>MCSGAST1</v>
      </c>
      <c r="R68" s="21" t="str">
        <f t="shared" si="11"/>
        <v>MCSGAST1</v>
      </c>
      <c r="S68" s="17"/>
      <c r="T68" s="24">
        <f t="shared" si="12"/>
        <v>45658</v>
      </c>
      <c r="U68" s="24" t="str">
        <f t="shared" si="13"/>
        <v/>
      </c>
      <c r="V68" s="14" t="s">
        <v>761</v>
      </c>
    </row>
    <row r="69" spans="2:22" x14ac:dyDescent="0.25">
      <c r="B69" s="20" t="s">
        <v>25</v>
      </c>
      <c r="C69" s="17"/>
      <c r="D69" s="86" t="str">
        <f>INDEX(Cad_Natureza!$B$3:$C$52,MATCH('2025'!F69,Cad_Natureza!$C$3:$C$52,0),MATCH('2025'!D$2,Cad_Natureza!$B$3:$C$3,0))</f>
        <v>GAST1</v>
      </c>
      <c r="E69" s="84" t="s">
        <v>98</v>
      </c>
      <c r="F69" s="85" t="s">
        <v>742</v>
      </c>
      <c r="G69" s="86" t="s">
        <v>25</v>
      </c>
      <c r="H69" s="87">
        <v>45687</v>
      </c>
      <c r="I69" s="87"/>
      <c r="J69" s="79" t="s">
        <v>185</v>
      </c>
      <c r="K69" s="62">
        <v>-6</v>
      </c>
      <c r="L69" s="68">
        <v>40.750000000000426</v>
      </c>
      <c r="M69" s="17"/>
      <c r="N69" s="21" t="str">
        <f t="shared" si="7"/>
        <v>MCSGAST1CPF - Desp. Lazer e Entretenimento - Bares</v>
      </c>
      <c r="O69" s="21" t="str">
        <f t="shared" si="8"/>
        <v>GAST1CPF - Desp. Lazer e Entretenimento - Bares</v>
      </c>
      <c r="P69" s="21" t="str">
        <f t="shared" si="9"/>
        <v>MCSGAST1CPF - Desp. Lazer e Entretenimento - Bares</v>
      </c>
      <c r="Q69" s="21" t="str">
        <f t="shared" si="10"/>
        <v>MCSGAST1</v>
      </c>
      <c r="R69" s="21" t="str">
        <f t="shared" si="11"/>
        <v>MCSGAST1</v>
      </c>
      <c r="S69" s="17"/>
      <c r="T69" s="24">
        <f t="shared" si="12"/>
        <v>45658</v>
      </c>
      <c r="U69" s="24" t="str">
        <f t="shared" si="13"/>
        <v/>
      </c>
      <c r="V69" s="14" t="s">
        <v>761</v>
      </c>
    </row>
    <row r="70" spans="2:22" x14ac:dyDescent="0.25">
      <c r="B70" s="20" t="s">
        <v>25</v>
      </c>
      <c r="C70" s="17"/>
      <c r="D70" s="86" t="str">
        <f>INDEX(Cad_Natureza!$B$3:$C$52,MATCH('2025'!F70,Cad_Natureza!$C$3:$C$52,0),MATCH('2025'!D$2,Cad_Natureza!$B$3:$C$3,0))</f>
        <v>GAST1</v>
      </c>
      <c r="E70" s="84" t="s">
        <v>99</v>
      </c>
      <c r="F70" s="85" t="s">
        <v>742</v>
      </c>
      <c r="G70" s="86" t="s">
        <v>25</v>
      </c>
      <c r="H70" s="87">
        <v>45688</v>
      </c>
      <c r="I70" s="87"/>
      <c r="J70" s="79" t="s">
        <v>185</v>
      </c>
      <c r="K70" s="62">
        <v>-6</v>
      </c>
      <c r="L70" s="68">
        <v>34.750000000000426</v>
      </c>
      <c r="M70" s="17"/>
      <c r="N70" s="21" t="str">
        <f t="shared" si="7"/>
        <v>MCSGAST1CPF - Desp. Lazer e Entretenimento - Bares</v>
      </c>
      <c r="O70" s="21" t="str">
        <f t="shared" si="8"/>
        <v>GAST1CPF - Desp. Lazer e Entretenimento - Bares</v>
      </c>
      <c r="P70" s="21" t="str">
        <f t="shared" si="9"/>
        <v>MCSGAST1CPF - Desp. Lazer e Entretenimento - Bares</v>
      </c>
      <c r="Q70" s="21" t="str">
        <f t="shared" si="10"/>
        <v>MCSGAST1</v>
      </c>
      <c r="R70" s="21" t="str">
        <f t="shared" si="11"/>
        <v>MCSGAST1</v>
      </c>
      <c r="S70" s="17"/>
      <c r="T70" s="24">
        <f t="shared" si="12"/>
        <v>45658</v>
      </c>
      <c r="U70" s="24" t="str">
        <f t="shared" si="13"/>
        <v/>
      </c>
      <c r="V70" s="14" t="s">
        <v>761</v>
      </c>
    </row>
    <row r="71" spans="2:22" x14ac:dyDescent="0.25">
      <c r="B71" s="20" t="s">
        <v>25</v>
      </c>
      <c r="C71" s="17"/>
      <c r="D71" s="86" t="str">
        <f>INDEX(Cad_Natureza!$B$3:$C$52,MATCH('2025'!F71,Cad_Natureza!$C$3:$C$52,0),MATCH('2025'!D$2,Cad_Natureza!$B$3:$C$3,0))</f>
        <v>GAST1</v>
      </c>
      <c r="E71" s="84" t="s">
        <v>100</v>
      </c>
      <c r="F71" s="85" t="s">
        <v>742</v>
      </c>
      <c r="G71" s="86" t="s">
        <v>25</v>
      </c>
      <c r="H71" s="87">
        <v>45688</v>
      </c>
      <c r="I71" s="87"/>
      <c r="J71" s="79" t="s">
        <v>185</v>
      </c>
      <c r="K71" s="62">
        <v>-5</v>
      </c>
      <c r="L71" s="68">
        <v>29.750000000000426</v>
      </c>
      <c r="M71" s="17"/>
      <c r="N71" s="21" t="str">
        <f t="shared" si="7"/>
        <v>MCSGAST1CPF - Desp. Lazer e Entretenimento - Bares</v>
      </c>
      <c r="O71" s="21" t="str">
        <f t="shared" si="8"/>
        <v>GAST1CPF - Desp. Lazer e Entretenimento - Bares</v>
      </c>
      <c r="P71" s="21" t="str">
        <f t="shared" si="9"/>
        <v>MCSGAST1CPF - Desp. Lazer e Entretenimento - Bares</v>
      </c>
      <c r="Q71" s="21" t="str">
        <f t="shared" si="10"/>
        <v>MCSGAST1</v>
      </c>
      <c r="R71" s="21" t="str">
        <f t="shared" si="11"/>
        <v>MCSGAST1</v>
      </c>
      <c r="S71" s="17"/>
      <c r="T71" s="24">
        <f t="shared" si="12"/>
        <v>45658</v>
      </c>
      <c r="U71" s="24" t="str">
        <f t="shared" si="13"/>
        <v/>
      </c>
      <c r="V71" s="14" t="s">
        <v>761</v>
      </c>
    </row>
    <row r="72" spans="2:22" x14ac:dyDescent="0.25">
      <c r="B72" s="20" t="s">
        <v>25</v>
      </c>
      <c r="C72" s="17"/>
      <c r="D72" s="86" t="str">
        <f>INDEX(Cad_Natureza!$B$3:$C$52,MATCH('2025'!F72,Cad_Natureza!$C$3:$C$52,0),MATCH('2025'!D$2,Cad_Natureza!$B$3:$C$3,0))</f>
        <v>DESP4</v>
      </c>
      <c r="E72" s="84" t="s">
        <v>101</v>
      </c>
      <c r="F72" s="85" t="s">
        <v>753</v>
      </c>
      <c r="G72" s="86" t="s">
        <v>25</v>
      </c>
      <c r="H72" s="87">
        <v>45688</v>
      </c>
      <c r="I72" s="87"/>
      <c r="J72" s="79" t="s">
        <v>185</v>
      </c>
      <c r="K72" s="62">
        <v>-4.99</v>
      </c>
      <c r="L72" s="68">
        <v>24.760000000000424</v>
      </c>
      <c r="M72" s="17"/>
      <c r="N72" s="21" t="str">
        <f t="shared" si="7"/>
        <v>MCSDESP4CPF - Desp. Moradia</v>
      </c>
      <c r="O72" s="21" t="str">
        <f t="shared" si="8"/>
        <v>DESP4CPF - Desp. Moradia</v>
      </c>
      <c r="P72" s="21" t="str">
        <f t="shared" si="9"/>
        <v>MCSDESP4CPF - Desp. Moradia</v>
      </c>
      <c r="Q72" s="21" t="str">
        <f t="shared" si="10"/>
        <v>MCSDESP4</v>
      </c>
      <c r="R72" s="21" t="str">
        <f t="shared" si="11"/>
        <v>MCSDESP4</v>
      </c>
      <c r="S72" s="17"/>
      <c r="T72" s="24">
        <f t="shared" si="12"/>
        <v>45658</v>
      </c>
      <c r="U72" s="24" t="str">
        <f t="shared" si="13"/>
        <v/>
      </c>
      <c r="V72" s="14" t="s">
        <v>761</v>
      </c>
    </row>
    <row r="73" spans="2:22" x14ac:dyDescent="0.25">
      <c r="B73" s="20" t="s">
        <v>25</v>
      </c>
      <c r="C73" s="17"/>
      <c r="D73" s="63" t="str">
        <f>INDEX(Cad_Natureza!$B$3:$C$52,MATCH('2025'!F73,Cad_Natureza!$C$3:$C$52,0),MATCH('2025'!D$2,Cad_Natureza!$B$3:$C$3,0))</f>
        <v>REC4</v>
      </c>
      <c r="E73" s="64" t="s">
        <v>102</v>
      </c>
      <c r="F73" s="65" t="s">
        <v>734</v>
      </c>
      <c r="G73" s="63" t="s">
        <v>25</v>
      </c>
      <c r="H73" s="66">
        <v>45691</v>
      </c>
      <c r="I73" s="66"/>
      <c r="J73" s="67" t="s">
        <v>183</v>
      </c>
      <c r="K73" s="68">
        <v>20</v>
      </c>
      <c r="L73" s="68">
        <v>44.760000000000005</v>
      </c>
      <c r="M73" s="17"/>
      <c r="N73" s="21" t="str">
        <f t="shared" si="7"/>
        <v>MCSREC4CPF - Transf. Da conta PJ para a conta PF</v>
      </c>
      <c r="O73" s="21" t="str">
        <f t="shared" si="8"/>
        <v>REC4CPF - Transf. Da conta PJ para a conta PF</v>
      </c>
      <c r="P73" s="21" t="str">
        <f t="shared" si="9"/>
        <v>MCSREC4CPF - Transf. Da conta PJ para a conta PF</v>
      </c>
      <c r="Q73" s="21" t="str">
        <f t="shared" si="10"/>
        <v>MCSREC4</v>
      </c>
      <c r="R73" s="21" t="str">
        <f t="shared" si="11"/>
        <v>MCSREC4</v>
      </c>
      <c r="S73" s="17"/>
      <c r="T73" s="24">
        <f t="shared" si="12"/>
        <v>45689</v>
      </c>
      <c r="U73" s="24" t="str">
        <f t="shared" si="13"/>
        <v/>
      </c>
      <c r="V73" s="14" t="s">
        <v>761</v>
      </c>
    </row>
    <row r="74" spans="2:22" x14ac:dyDescent="0.25">
      <c r="B74" s="20" t="s">
        <v>25</v>
      </c>
      <c r="C74" s="17"/>
      <c r="D74" s="86" t="str">
        <f>INDEX(Cad_Natureza!$B$3:$C$52,MATCH('2025'!F74,Cad_Natureza!$C$3:$C$52,0),MATCH('2025'!D$2,Cad_Natureza!$B$3:$C$3,0))</f>
        <v>OPF2</v>
      </c>
      <c r="E74" s="84" t="s">
        <v>103</v>
      </c>
      <c r="F74" s="85" t="s">
        <v>741</v>
      </c>
      <c r="G74" s="86" t="s">
        <v>25</v>
      </c>
      <c r="H74" s="87">
        <v>45691</v>
      </c>
      <c r="I74" s="87"/>
      <c r="J74" s="79" t="s">
        <v>184</v>
      </c>
      <c r="K74" s="62">
        <v>-20</v>
      </c>
      <c r="L74" s="68">
        <v>24.760000000000005</v>
      </c>
      <c r="M74" s="17"/>
      <c r="N74" s="21" t="str">
        <f t="shared" si="7"/>
        <v>MCSOPF2CPF - Desp. Transporte / Combustível</v>
      </c>
      <c r="O74" s="21" t="str">
        <f t="shared" si="8"/>
        <v>OPF2CPF - Desp. Transporte / Combustível</v>
      </c>
      <c r="P74" s="21" t="str">
        <f t="shared" si="9"/>
        <v>MCSOPF2CPF - Desp. Transporte / Combustível</v>
      </c>
      <c r="Q74" s="21" t="str">
        <f t="shared" si="10"/>
        <v>MCSOPF2</v>
      </c>
      <c r="R74" s="21" t="str">
        <f t="shared" si="11"/>
        <v>MCSOPF2</v>
      </c>
      <c r="S74" s="17"/>
      <c r="T74" s="24">
        <f t="shared" si="12"/>
        <v>45689</v>
      </c>
      <c r="U74" s="24" t="str">
        <f t="shared" si="13"/>
        <v/>
      </c>
      <c r="V74" s="14" t="s">
        <v>761</v>
      </c>
    </row>
    <row r="75" spans="2:22" x14ac:dyDescent="0.25">
      <c r="B75" s="20" t="s">
        <v>25</v>
      </c>
      <c r="C75" s="17"/>
      <c r="D75" s="86" t="str">
        <f>INDEX(Cad_Natureza!$B$3:$C$52,MATCH('2025'!F75,Cad_Natureza!$C$3:$C$52,0),MATCH('2025'!D$2,Cad_Natureza!$B$3:$C$3,0))</f>
        <v>GAST2</v>
      </c>
      <c r="E75" s="84" t="s">
        <v>104</v>
      </c>
      <c r="F75" s="85" t="s">
        <v>743</v>
      </c>
      <c r="G75" s="86" t="s">
        <v>25</v>
      </c>
      <c r="H75" s="87">
        <v>45691</v>
      </c>
      <c r="I75" s="87"/>
      <c r="J75" s="79" t="s">
        <v>180</v>
      </c>
      <c r="K75" s="62">
        <v>-4</v>
      </c>
      <c r="L75" s="68">
        <v>20.760000000000005</v>
      </c>
      <c r="M75" s="17"/>
      <c r="N75" s="21" t="str">
        <f t="shared" si="7"/>
        <v>MCSGAST2CPF - Desp. Lazer e Entretenimento - Cigarro</v>
      </c>
      <c r="O75" s="21" t="str">
        <f t="shared" si="8"/>
        <v>GAST2CPF - Desp. Lazer e Entretenimento - Cigarro</v>
      </c>
      <c r="P75" s="21" t="str">
        <f t="shared" si="9"/>
        <v>MCSGAST2CPF - Desp. Lazer e Entretenimento - Cigarro</v>
      </c>
      <c r="Q75" s="21" t="str">
        <f t="shared" si="10"/>
        <v>MCSGAST2</v>
      </c>
      <c r="R75" s="21" t="str">
        <f t="shared" si="11"/>
        <v>MCSGAST2</v>
      </c>
      <c r="S75" s="17"/>
      <c r="T75" s="24">
        <f t="shared" si="12"/>
        <v>45689</v>
      </c>
      <c r="U75" s="24" t="str">
        <f t="shared" si="13"/>
        <v/>
      </c>
      <c r="V75" s="14" t="s">
        <v>761</v>
      </c>
    </row>
    <row r="76" spans="2:22" x14ac:dyDescent="0.25">
      <c r="B76" s="20" t="s">
        <v>25</v>
      </c>
      <c r="C76" s="17"/>
      <c r="D76" s="86" t="str">
        <f>INDEX(Cad_Natureza!$B$3:$C$52,MATCH('2025'!F76,Cad_Natureza!$C$3:$C$52,0),MATCH('2025'!D$2,Cad_Natureza!$B$3:$C$3,0))</f>
        <v>FIN2</v>
      </c>
      <c r="E76" s="84" t="s">
        <v>46</v>
      </c>
      <c r="F76" s="85" t="s">
        <v>751</v>
      </c>
      <c r="G76" s="86" t="s">
        <v>25</v>
      </c>
      <c r="H76" s="87">
        <v>45691</v>
      </c>
      <c r="I76" s="87"/>
      <c r="J76" s="79" t="s">
        <v>193</v>
      </c>
      <c r="K76" s="62">
        <v>-15.58</v>
      </c>
      <c r="L76" s="68">
        <v>5.180000000000005</v>
      </c>
      <c r="M76" s="17"/>
      <c r="N76" s="21" t="str">
        <f t="shared" si="7"/>
        <v>MCSFIN2CPF - Desp. Financeiras - Juros / Tarifas</v>
      </c>
      <c r="O76" s="21" t="str">
        <f t="shared" si="8"/>
        <v>FIN2CPF - Desp. Financeiras - Juros / Tarifas</v>
      </c>
      <c r="P76" s="21" t="str">
        <f t="shared" si="9"/>
        <v>MCSFIN2CPF - Desp. Financeiras - Juros / Tarifas</v>
      </c>
      <c r="Q76" s="21" t="str">
        <f t="shared" si="10"/>
        <v>MCSFIN2</v>
      </c>
      <c r="R76" s="21" t="str">
        <f t="shared" si="11"/>
        <v>MCSFIN2</v>
      </c>
      <c r="S76" s="17"/>
      <c r="T76" s="24">
        <f t="shared" si="12"/>
        <v>45689</v>
      </c>
      <c r="U76" s="24" t="str">
        <f t="shared" si="13"/>
        <v/>
      </c>
      <c r="V76" s="14" t="s">
        <v>761</v>
      </c>
    </row>
    <row r="77" spans="2:22" x14ac:dyDescent="0.25">
      <c r="B77" s="20" t="s">
        <v>25</v>
      </c>
      <c r="C77" s="17"/>
      <c r="D77" s="86" t="str">
        <f>INDEX(Cad_Natureza!$B$3:$C$52,MATCH('2025'!F77,Cad_Natureza!$C$3:$C$52,0),MATCH('2025'!D$2,Cad_Natureza!$B$3:$C$3,0))</f>
        <v>OPF2</v>
      </c>
      <c r="E77" s="84" t="s">
        <v>105</v>
      </c>
      <c r="F77" s="85" t="s">
        <v>741</v>
      </c>
      <c r="G77" s="86" t="s">
        <v>25</v>
      </c>
      <c r="H77" s="87">
        <v>45692</v>
      </c>
      <c r="I77" s="87"/>
      <c r="J77" s="79" t="s">
        <v>184</v>
      </c>
      <c r="K77" s="62">
        <v>-25</v>
      </c>
      <c r="L77" s="62">
        <v>-19.819999999999993</v>
      </c>
      <c r="M77" s="17"/>
      <c r="N77" s="21" t="str">
        <f t="shared" si="7"/>
        <v>MCSOPF2CPF - Desp. Transporte / Combustível</v>
      </c>
      <c r="O77" s="21" t="str">
        <f t="shared" si="8"/>
        <v>OPF2CPF - Desp. Transporte / Combustível</v>
      </c>
      <c r="P77" s="21" t="str">
        <f t="shared" si="9"/>
        <v>MCSOPF2CPF - Desp. Transporte / Combustível</v>
      </c>
      <c r="Q77" s="21" t="str">
        <f t="shared" si="10"/>
        <v>MCSOPF2</v>
      </c>
      <c r="R77" s="21" t="str">
        <f t="shared" si="11"/>
        <v>MCSOPF2</v>
      </c>
      <c r="S77" s="17"/>
      <c r="T77" s="24">
        <f t="shared" si="12"/>
        <v>45689</v>
      </c>
      <c r="U77" s="24" t="str">
        <f t="shared" si="13"/>
        <v/>
      </c>
      <c r="V77" s="14" t="s">
        <v>761</v>
      </c>
    </row>
    <row r="78" spans="2:22" x14ac:dyDescent="0.25">
      <c r="B78" s="20" t="s">
        <v>25</v>
      </c>
      <c r="C78" s="17"/>
      <c r="D78" s="86" t="str">
        <f>INDEX(Cad_Natureza!$B$3:$C$52,MATCH('2025'!F78,Cad_Natureza!$C$3:$C$52,0),MATCH('2025'!D$2,Cad_Natureza!$B$3:$C$3,0))</f>
        <v>TRI1</v>
      </c>
      <c r="E78" s="84" t="s">
        <v>40</v>
      </c>
      <c r="F78" s="85" t="s">
        <v>35</v>
      </c>
      <c r="G78" s="86" t="s">
        <v>25</v>
      </c>
      <c r="H78" s="87">
        <v>45692</v>
      </c>
      <c r="I78" s="87"/>
      <c r="J78" s="79" t="s">
        <v>189</v>
      </c>
      <c r="K78" s="62">
        <v>-3.63</v>
      </c>
      <c r="L78" s="62">
        <v>-23.449999999999992</v>
      </c>
      <c r="M78" s="17"/>
      <c r="N78" s="21" t="str">
        <f t="shared" si="7"/>
        <v>MCSTRI1CPF - Desp. Impostos e Obrigações</v>
      </c>
      <c r="O78" s="21" t="str">
        <f t="shared" si="8"/>
        <v>TRI1CPF - Desp. Impostos e Obrigações</v>
      </c>
      <c r="P78" s="21" t="str">
        <f t="shared" si="9"/>
        <v>MCSTRI1CPF - Desp. Impostos e Obrigações</v>
      </c>
      <c r="Q78" s="21" t="str">
        <f t="shared" si="10"/>
        <v>MCSTRI1</v>
      </c>
      <c r="R78" s="21" t="str">
        <f t="shared" si="11"/>
        <v>MCSTRI1</v>
      </c>
      <c r="S78" s="17"/>
      <c r="T78" s="24">
        <f t="shared" si="12"/>
        <v>45689</v>
      </c>
      <c r="U78" s="24" t="str">
        <f t="shared" si="13"/>
        <v/>
      </c>
      <c r="V78" s="14" t="s">
        <v>761</v>
      </c>
    </row>
    <row r="79" spans="2:22" x14ac:dyDescent="0.25">
      <c r="B79" s="20" t="s">
        <v>25</v>
      </c>
      <c r="C79" s="17"/>
      <c r="D79" s="63" t="str">
        <f>INDEX(Cad_Natureza!$B$3:$C$52,MATCH('2025'!F79,Cad_Natureza!$C$3:$C$52,0),MATCH('2025'!D$2,Cad_Natureza!$B$3:$C$3,0))</f>
        <v>REC5</v>
      </c>
      <c r="E79" s="64" t="s">
        <v>106</v>
      </c>
      <c r="F79" s="65" t="s">
        <v>740</v>
      </c>
      <c r="G79" s="63" t="s">
        <v>25</v>
      </c>
      <c r="H79" s="66">
        <v>45693</v>
      </c>
      <c r="I79" s="66"/>
      <c r="J79" s="67" t="s">
        <v>200</v>
      </c>
      <c r="K79" s="68">
        <v>50</v>
      </c>
      <c r="L79" s="68">
        <v>26.550000000000008</v>
      </c>
      <c r="M79" s="17"/>
      <c r="N79" s="21" t="str">
        <f t="shared" si="7"/>
        <v>MCSREC5CPF - Outras receitas</v>
      </c>
      <c r="O79" s="21" t="str">
        <f t="shared" si="8"/>
        <v>REC5CPF - Outras receitas</v>
      </c>
      <c r="P79" s="21" t="str">
        <f t="shared" si="9"/>
        <v>MCSREC5CPF - Outras receitas</v>
      </c>
      <c r="Q79" s="21" t="str">
        <f t="shared" si="10"/>
        <v>MCSREC5</v>
      </c>
      <c r="R79" s="21" t="str">
        <f t="shared" si="11"/>
        <v>MCSREC5</v>
      </c>
      <c r="S79" s="17"/>
      <c r="T79" s="24">
        <f t="shared" si="12"/>
        <v>45689</v>
      </c>
      <c r="U79" s="24" t="str">
        <f t="shared" si="13"/>
        <v/>
      </c>
      <c r="V79" s="14" t="s">
        <v>761</v>
      </c>
    </row>
    <row r="80" spans="2:22" x14ac:dyDescent="0.25">
      <c r="B80" s="20" t="s">
        <v>25</v>
      </c>
      <c r="C80" s="17"/>
      <c r="D80" s="86" t="str">
        <f>INDEX(Cad_Natureza!$B$3:$C$52,MATCH('2025'!F80,Cad_Natureza!$C$3:$C$52,0),MATCH('2025'!D$2,Cad_Natureza!$B$3:$C$3,0))</f>
        <v>GAST1</v>
      </c>
      <c r="E80" s="84" t="s">
        <v>107</v>
      </c>
      <c r="F80" s="85" t="s">
        <v>742</v>
      </c>
      <c r="G80" s="86" t="s">
        <v>25</v>
      </c>
      <c r="H80" s="87">
        <v>45693</v>
      </c>
      <c r="I80" s="87"/>
      <c r="J80" s="79" t="s">
        <v>185</v>
      </c>
      <c r="K80" s="62">
        <v>-18</v>
      </c>
      <c r="L80" s="68">
        <v>8.5500000000000078</v>
      </c>
      <c r="M80" s="17"/>
      <c r="N80" s="21" t="str">
        <f t="shared" si="7"/>
        <v>MCSGAST1CPF - Desp. Lazer e Entretenimento - Bares</v>
      </c>
      <c r="O80" s="21" t="str">
        <f t="shared" si="8"/>
        <v>GAST1CPF - Desp. Lazer e Entretenimento - Bares</v>
      </c>
      <c r="P80" s="21" t="str">
        <f t="shared" si="9"/>
        <v>MCSGAST1CPF - Desp. Lazer e Entretenimento - Bares</v>
      </c>
      <c r="Q80" s="21" t="str">
        <f t="shared" si="10"/>
        <v>MCSGAST1</v>
      </c>
      <c r="R80" s="21" t="str">
        <f t="shared" si="11"/>
        <v>MCSGAST1</v>
      </c>
      <c r="S80" s="17"/>
      <c r="T80" s="24">
        <f t="shared" si="12"/>
        <v>45689</v>
      </c>
      <c r="U80" s="24" t="str">
        <f t="shared" si="13"/>
        <v/>
      </c>
      <c r="V80" s="14" t="s">
        <v>761</v>
      </c>
    </row>
    <row r="81" spans="2:22" x14ac:dyDescent="0.25">
      <c r="B81" s="20" t="s">
        <v>25</v>
      </c>
      <c r="C81" s="17"/>
      <c r="D81" s="86" t="str">
        <f>INDEX(Cad_Natureza!$B$3:$C$52,MATCH('2025'!F81,Cad_Natureza!$C$3:$C$52,0),MATCH('2025'!D$2,Cad_Natureza!$B$3:$C$3,0))</f>
        <v>FIN2</v>
      </c>
      <c r="E81" s="84" t="s">
        <v>108</v>
      </c>
      <c r="F81" s="85" t="s">
        <v>751</v>
      </c>
      <c r="G81" s="86" t="s">
        <v>25</v>
      </c>
      <c r="H81" s="87">
        <v>45693</v>
      </c>
      <c r="I81" s="87"/>
      <c r="J81" s="79" t="s">
        <v>188</v>
      </c>
      <c r="K81" s="62">
        <v>-28</v>
      </c>
      <c r="L81" s="62">
        <v>-19.449999999999992</v>
      </c>
      <c r="M81" s="17"/>
      <c r="N81" s="21" t="str">
        <f t="shared" si="7"/>
        <v>MCSFIN2CPF - Desp. Financeiras - Juros / Tarifas</v>
      </c>
      <c r="O81" s="21" t="str">
        <f t="shared" si="8"/>
        <v>FIN2CPF - Desp. Financeiras - Juros / Tarifas</v>
      </c>
      <c r="P81" s="21" t="str">
        <f t="shared" si="9"/>
        <v>MCSFIN2CPF - Desp. Financeiras - Juros / Tarifas</v>
      </c>
      <c r="Q81" s="21" t="str">
        <f t="shared" si="10"/>
        <v>MCSFIN2</v>
      </c>
      <c r="R81" s="21" t="str">
        <f t="shared" si="11"/>
        <v>MCSFIN2</v>
      </c>
      <c r="S81" s="17"/>
      <c r="T81" s="24">
        <f t="shared" si="12"/>
        <v>45689</v>
      </c>
      <c r="U81" s="24" t="str">
        <f t="shared" si="13"/>
        <v/>
      </c>
      <c r="V81" s="14" t="s">
        <v>761</v>
      </c>
    </row>
    <row r="82" spans="2:22" x14ac:dyDescent="0.25">
      <c r="B82" s="20" t="s">
        <v>25</v>
      </c>
      <c r="C82" s="17"/>
      <c r="D82" s="63" t="str">
        <f>INDEX(Cad_Natureza!$B$3:$C$52,MATCH('2025'!F82,Cad_Natureza!$C$3:$C$52,0),MATCH('2025'!D$2,Cad_Natureza!$B$3:$C$3,0))</f>
        <v>REC3</v>
      </c>
      <c r="E82" s="64" t="s">
        <v>109</v>
      </c>
      <c r="F82" s="65" t="s">
        <v>776</v>
      </c>
      <c r="G82" s="63" t="s">
        <v>25</v>
      </c>
      <c r="H82" s="66">
        <v>45694</v>
      </c>
      <c r="I82" s="66"/>
      <c r="J82" s="67" t="s">
        <v>612</v>
      </c>
      <c r="K82" s="68">
        <v>675</v>
      </c>
      <c r="L82" s="68">
        <v>655.55</v>
      </c>
      <c r="M82" s="17"/>
      <c r="N82" s="21" t="str">
        <f t="shared" si="7"/>
        <v>MCSREC3CPF - Ajuda de custo - Refeição</v>
      </c>
      <c r="O82" s="21" t="str">
        <f t="shared" si="8"/>
        <v>REC3CPF - Ajuda de custo - Refeição</v>
      </c>
      <c r="P82" s="21" t="str">
        <f t="shared" si="9"/>
        <v>MCSREC3CPF - Ajuda de custo - Refeição</v>
      </c>
      <c r="Q82" s="21" t="str">
        <f t="shared" si="10"/>
        <v>MCSREC3</v>
      </c>
      <c r="R82" s="21" t="str">
        <f t="shared" si="11"/>
        <v>MCSREC3</v>
      </c>
      <c r="S82" s="17"/>
      <c r="T82" s="24">
        <f t="shared" si="12"/>
        <v>45689</v>
      </c>
      <c r="U82" s="24" t="str">
        <f t="shared" si="13"/>
        <v/>
      </c>
      <c r="V82" s="14" t="s">
        <v>761</v>
      </c>
    </row>
    <row r="83" spans="2:22" x14ac:dyDescent="0.25">
      <c r="B83" s="20" t="s">
        <v>25</v>
      </c>
      <c r="C83" s="17"/>
      <c r="D83" s="86" t="str">
        <f>INDEX(Cad_Natureza!$B$3:$C$52,MATCH('2025'!F83,Cad_Natureza!$C$3:$C$52,0),MATCH('2025'!D$2,Cad_Natureza!$B$3:$C$3,0))</f>
        <v>OPF1</v>
      </c>
      <c r="E83" s="84" t="s">
        <v>110</v>
      </c>
      <c r="F83" s="85" t="s">
        <v>744</v>
      </c>
      <c r="G83" s="86" t="s">
        <v>25</v>
      </c>
      <c r="H83" s="87">
        <v>45694</v>
      </c>
      <c r="I83" s="87"/>
      <c r="J83" s="79" t="s">
        <v>182</v>
      </c>
      <c r="K83" s="62">
        <v>-26</v>
      </c>
      <c r="L83" s="68">
        <v>629.54999999999995</v>
      </c>
      <c r="M83" s="17"/>
      <c r="N83" s="21" t="str">
        <f t="shared" si="7"/>
        <v>MCSOPF1CPF - Desp. Alimentação / Refeição</v>
      </c>
      <c r="O83" s="21" t="str">
        <f t="shared" si="8"/>
        <v>OPF1CPF - Desp. Alimentação / Refeição</v>
      </c>
      <c r="P83" s="21" t="str">
        <f t="shared" si="9"/>
        <v>MCSOPF1CPF - Desp. Alimentação / Refeição</v>
      </c>
      <c r="Q83" s="21" t="str">
        <f t="shared" si="10"/>
        <v>MCSOPF1</v>
      </c>
      <c r="R83" s="21" t="str">
        <f t="shared" si="11"/>
        <v>MCSOPF1</v>
      </c>
      <c r="S83" s="17"/>
      <c r="T83" s="24">
        <f t="shared" si="12"/>
        <v>45689</v>
      </c>
      <c r="U83" s="24" t="str">
        <f t="shared" si="13"/>
        <v/>
      </c>
      <c r="V83" s="14" t="s">
        <v>761</v>
      </c>
    </row>
    <row r="84" spans="2:22" x14ac:dyDescent="0.25">
      <c r="B84" s="20" t="s">
        <v>25</v>
      </c>
      <c r="C84" s="17"/>
      <c r="D84" s="86" t="str">
        <f>INDEX(Cad_Natureza!$B$3:$C$52,MATCH('2025'!F84,Cad_Natureza!$C$3:$C$52,0),MATCH('2025'!D$2,Cad_Natureza!$B$3:$C$3,0))</f>
        <v>OPF2</v>
      </c>
      <c r="E84" s="84" t="s">
        <v>111</v>
      </c>
      <c r="F84" s="85" t="s">
        <v>741</v>
      </c>
      <c r="G84" s="86" t="s">
        <v>25</v>
      </c>
      <c r="H84" s="87">
        <v>45694</v>
      </c>
      <c r="I84" s="87"/>
      <c r="J84" s="79" t="s">
        <v>184</v>
      </c>
      <c r="K84" s="62">
        <v>-50</v>
      </c>
      <c r="L84" s="68">
        <v>579.54999999999995</v>
      </c>
      <c r="M84" s="17"/>
      <c r="N84" s="21" t="str">
        <f t="shared" si="7"/>
        <v>MCSOPF2CPF - Desp. Transporte / Combustível</v>
      </c>
      <c r="O84" s="21" t="str">
        <f t="shared" si="8"/>
        <v>OPF2CPF - Desp. Transporte / Combustível</v>
      </c>
      <c r="P84" s="21" t="str">
        <f t="shared" si="9"/>
        <v>MCSOPF2CPF - Desp. Transporte / Combustível</v>
      </c>
      <c r="Q84" s="21" t="str">
        <f t="shared" si="10"/>
        <v>MCSOPF2</v>
      </c>
      <c r="R84" s="21" t="str">
        <f t="shared" si="11"/>
        <v>MCSOPF2</v>
      </c>
      <c r="S84" s="17"/>
      <c r="T84" s="24">
        <f t="shared" si="12"/>
        <v>45689</v>
      </c>
      <c r="U84" s="24" t="str">
        <f t="shared" si="13"/>
        <v/>
      </c>
      <c r="V84" s="14" t="s">
        <v>761</v>
      </c>
    </row>
    <row r="85" spans="2:22" x14ac:dyDescent="0.25">
      <c r="B85" s="20" t="s">
        <v>25</v>
      </c>
      <c r="C85" s="17"/>
      <c r="D85" s="86" t="str">
        <f>INDEX(Cad_Natureza!$B$3:$C$52,MATCH('2025'!F85,Cad_Natureza!$C$3:$C$52,0),MATCH('2025'!D$2,Cad_Natureza!$B$3:$C$3,0))</f>
        <v>OPF1</v>
      </c>
      <c r="E85" s="84" t="s">
        <v>112</v>
      </c>
      <c r="F85" s="85" t="s">
        <v>744</v>
      </c>
      <c r="G85" s="86" t="s">
        <v>25</v>
      </c>
      <c r="H85" s="87">
        <v>45695</v>
      </c>
      <c r="I85" s="87"/>
      <c r="J85" s="79" t="s">
        <v>182</v>
      </c>
      <c r="K85" s="62">
        <v>-23</v>
      </c>
      <c r="L85" s="68">
        <v>556.54999999999995</v>
      </c>
      <c r="M85" s="17"/>
      <c r="N85" s="21" t="str">
        <f t="shared" si="7"/>
        <v>MCSOPF1CPF - Desp. Alimentação / Refeição</v>
      </c>
      <c r="O85" s="21" t="str">
        <f t="shared" si="8"/>
        <v>OPF1CPF - Desp. Alimentação / Refeição</v>
      </c>
      <c r="P85" s="21" t="str">
        <f t="shared" si="9"/>
        <v>MCSOPF1CPF - Desp. Alimentação / Refeição</v>
      </c>
      <c r="Q85" s="21" t="str">
        <f t="shared" si="10"/>
        <v>MCSOPF1</v>
      </c>
      <c r="R85" s="21" t="str">
        <f t="shared" si="11"/>
        <v>MCSOPF1</v>
      </c>
      <c r="S85" s="17"/>
      <c r="T85" s="24">
        <f t="shared" si="12"/>
        <v>45689</v>
      </c>
      <c r="U85" s="24" t="str">
        <f t="shared" si="13"/>
        <v/>
      </c>
      <c r="V85" s="14" t="s">
        <v>761</v>
      </c>
    </row>
    <row r="86" spans="2:22" x14ac:dyDescent="0.25">
      <c r="B86" s="20" t="s">
        <v>25</v>
      </c>
      <c r="C86" s="17"/>
      <c r="D86" s="86" t="str">
        <f>INDEX(Cad_Natureza!$B$3:$C$52,MATCH('2025'!F86,Cad_Natureza!$C$3:$C$52,0),MATCH('2025'!D$2,Cad_Natureza!$B$3:$C$3,0))</f>
        <v>GAST1</v>
      </c>
      <c r="E86" s="84" t="s">
        <v>113</v>
      </c>
      <c r="F86" s="85" t="s">
        <v>742</v>
      </c>
      <c r="G86" s="86" t="s">
        <v>25</v>
      </c>
      <c r="H86" s="87">
        <v>45695</v>
      </c>
      <c r="I86" s="87"/>
      <c r="J86" s="79" t="s">
        <v>185</v>
      </c>
      <c r="K86" s="62">
        <v>-8.9499999999999993</v>
      </c>
      <c r="L86" s="68">
        <v>547.59999999999991</v>
      </c>
      <c r="M86" s="17"/>
      <c r="N86" s="21" t="str">
        <f t="shared" si="7"/>
        <v>MCSGAST1CPF - Desp. Lazer e Entretenimento - Bares</v>
      </c>
      <c r="O86" s="21" t="str">
        <f t="shared" si="8"/>
        <v>GAST1CPF - Desp. Lazer e Entretenimento - Bares</v>
      </c>
      <c r="P86" s="21" t="str">
        <f t="shared" si="9"/>
        <v>MCSGAST1CPF - Desp. Lazer e Entretenimento - Bares</v>
      </c>
      <c r="Q86" s="21" t="str">
        <f t="shared" si="10"/>
        <v>MCSGAST1</v>
      </c>
      <c r="R86" s="21" t="str">
        <f t="shared" si="11"/>
        <v>MCSGAST1</v>
      </c>
      <c r="S86" s="17"/>
      <c r="T86" s="24">
        <f t="shared" si="12"/>
        <v>45689</v>
      </c>
      <c r="U86" s="24" t="str">
        <f t="shared" si="13"/>
        <v/>
      </c>
      <c r="V86" s="14" t="s">
        <v>761</v>
      </c>
    </row>
    <row r="87" spans="2:22" x14ac:dyDescent="0.25">
      <c r="B87" s="20" t="s">
        <v>25</v>
      </c>
      <c r="C87" s="17"/>
      <c r="D87" s="86" t="str">
        <f>INDEX(Cad_Natureza!$B$3:$C$52,MATCH('2025'!F87,Cad_Natureza!$C$3:$C$52,0),MATCH('2025'!D$2,Cad_Natureza!$B$3:$C$3,0))</f>
        <v>PENS9</v>
      </c>
      <c r="E87" s="84" t="s">
        <v>114</v>
      </c>
      <c r="F87" s="85" t="s">
        <v>735</v>
      </c>
      <c r="G87" s="86" t="s">
        <v>25</v>
      </c>
      <c r="H87" s="87">
        <v>45695</v>
      </c>
      <c r="I87" s="87"/>
      <c r="J87" s="78" t="s">
        <v>199</v>
      </c>
      <c r="K87" s="62">
        <v>-15</v>
      </c>
      <c r="L87" s="68">
        <v>532.59999999999991</v>
      </c>
      <c r="M87" s="17"/>
      <c r="N87" s="21" t="str">
        <f t="shared" si="7"/>
        <v>MCSPENS9CPF - Pensão - Outros Gastos</v>
      </c>
      <c r="O87" s="21" t="str">
        <f t="shared" si="8"/>
        <v>PENS9CPF - Pensão - Outros Gastos</v>
      </c>
      <c r="P87" s="21" t="str">
        <f t="shared" si="9"/>
        <v>MCSPENS9CPF - Pensão - Outros Gastos</v>
      </c>
      <c r="Q87" s="21" t="str">
        <f t="shared" si="10"/>
        <v>MCSPENS9</v>
      </c>
      <c r="R87" s="21" t="str">
        <f t="shared" si="11"/>
        <v>MCSPENS9</v>
      </c>
      <c r="S87" s="17"/>
      <c r="T87" s="24">
        <f t="shared" si="12"/>
        <v>45689</v>
      </c>
      <c r="U87" s="24" t="str">
        <f t="shared" si="13"/>
        <v/>
      </c>
      <c r="V87" s="14" t="s">
        <v>731</v>
      </c>
    </row>
    <row r="88" spans="2:22" x14ac:dyDescent="0.25">
      <c r="B88" s="20" t="s">
        <v>25</v>
      </c>
      <c r="C88" s="17"/>
      <c r="D88" s="63" t="str">
        <f>INDEX(Cad_Natureza!$B$3:$C$52,MATCH('2025'!F88,Cad_Natureza!$C$3:$C$52,0),MATCH('2025'!D$2,Cad_Natureza!$B$3:$C$3,0))</f>
        <v>REC1</v>
      </c>
      <c r="E88" s="64" t="s">
        <v>115</v>
      </c>
      <c r="F88" s="65" t="s">
        <v>745</v>
      </c>
      <c r="G88" s="63" t="s">
        <v>25</v>
      </c>
      <c r="H88" s="66">
        <v>45695</v>
      </c>
      <c r="I88" s="66"/>
      <c r="J88" s="81" t="s">
        <v>34</v>
      </c>
      <c r="K88" s="82">
        <v>3000</v>
      </c>
      <c r="L88" s="68">
        <v>3532.6</v>
      </c>
      <c r="M88" s="17"/>
      <c r="N88" s="21" t="str">
        <f t="shared" si="7"/>
        <v>MCSREC1CPF - Remun. Salário / Pró-Labore</v>
      </c>
      <c r="O88" s="21" t="str">
        <f t="shared" si="8"/>
        <v>REC1CPF - Remun. Salário / Pró-Labore</v>
      </c>
      <c r="P88" s="21" t="str">
        <f t="shared" si="9"/>
        <v>MCSREC1CPF - Remun. Salário / Pró-Labore</v>
      </c>
      <c r="Q88" s="21" t="str">
        <f t="shared" si="10"/>
        <v>MCSREC1</v>
      </c>
      <c r="R88" s="21" t="str">
        <f t="shared" si="11"/>
        <v>MCSREC1</v>
      </c>
      <c r="S88" s="17"/>
      <c r="T88" s="24">
        <f t="shared" si="12"/>
        <v>45689</v>
      </c>
      <c r="U88" s="24" t="str">
        <f t="shared" si="13"/>
        <v/>
      </c>
      <c r="V88" s="14" t="s">
        <v>761</v>
      </c>
    </row>
    <row r="89" spans="2:22" x14ac:dyDescent="0.25">
      <c r="B89" s="20" t="s">
        <v>25</v>
      </c>
      <c r="C89" s="17"/>
      <c r="D89" s="86" t="str">
        <f>INDEX(Cad_Natureza!$B$3:$C$52,MATCH('2025'!F89,Cad_Natureza!$C$3:$C$52,0),MATCH('2025'!D$2,Cad_Natureza!$B$3:$C$3,0))</f>
        <v>GAST1</v>
      </c>
      <c r="E89" s="84" t="s">
        <v>116</v>
      </c>
      <c r="F89" s="85" t="s">
        <v>742</v>
      </c>
      <c r="G89" s="86" t="s">
        <v>25</v>
      </c>
      <c r="H89" s="87">
        <v>45695</v>
      </c>
      <c r="I89" s="87"/>
      <c r="J89" s="79" t="s">
        <v>185</v>
      </c>
      <c r="K89" s="62">
        <v>-10</v>
      </c>
      <c r="L89" s="68">
        <v>3522.6</v>
      </c>
      <c r="M89" s="17"/>
      <c r="N89" s="21" t="str">
        <f t="shared" si="7"/>
        <v>MCSGAST1CPF - Desp. Lazer e Entretenimento - Bares</v>
      </c>
      <c r="O89" s="21" t="str">
        <f t="shared" si="8"/>
        <v>GAST1CPF - Desp. Lazer e Entretenimento - Bares</v>
      </c>
      <c r="P89" s="21" t="str">
        <f t="shared" si="9"/>
        <v>MCSGAST1CPF - Desp. Lazer e Entretenimento - Bares</v>
      </c>
      <c r="Q89" s="21" t="str">
        <f t="shared" si="10"/>
        <v>MCSGAST1</v>
      </c>
      <c r="R89" s="21" t="str">
        <f t="shared" si="11"/>
        <v>MCSGAST1</v>
      </c>
      <c r="S89" s="17"/>
      <c r="T89" s="24">
        <f t="shared" si="12"/>
        <v>45689</v>
      </c>
      <c r="U89" s="24" t="str">
        <f t="shared" si="13"/>
        <v/>
      </c>
      <c r="V89" s="14" t="s">
        <v>761</v>
      </c>
    </row>
    <row r="90" spans="2:22" x14ac:dyDescent="0.25">
      <c r="B90" s="20" t="s">
        <v>25</v>
      </c>
      <c r="C90" s="17"/>
      <c r="D90" s="86" t="str">
        <f>INDEX(Cad_Natureza!$B$3:$C$52,MATCH('2025'!F90,Cad_Natureza!$C$3:$C$52,0),MATCH('2025'!D$2,Cad_Natureza!$B$3:$C$3,0))</f>
        <v>GAST1</v>
      </c>
      <c r="E90" s="84" t="s">
        <v>117</v>
      </c>
      <c r="F90" s="85" t="s">
        <v>742</v>
      </c>
      <c r="G90" s="86" t="s">
        <v>25</v>
      </c>
      <c r="H90" s="87">
        <v>45695</v>
      </c>
      <c r="I90" s="87"/>
      <c r="J90" s="79" t="s">
        <v>185</v>
      </c>
      <c r="K90" s="62">
        <v>-5</v>
      </c>
      <c r="L90" s="68">
        <v>3517.6</v>
      </c>
      <c r="M90" s="17"/>
      <c r="N90" s="21" t="str">
        <f t="shared" si="7"/>
        <v>MCSGAST1CPF - Desp. Lazer e Entretenimento - Bares</v>
      </c>
      <c r="O90" s="21" t="str">
        <f t="shared" si="8"/>
        <v>GAST1CPF - Desp. Lazer e Entretenimento - Bares</v>
      </c>
      <c r="P90" s="21" t="str">
        <f t="shared" si="9"/>
        <v>MCSGAST1CPF - Desp. Lazer e Entretenimento - Bares</v>
      </c>
      <c r="Q90" s="21" t="str">
        <f t="shared" si="10"/>
        <v>MCSGAST1</v>
      </c>
      <c r="R90" s="21" t="str">
        <f t="shared" si="11"/>
        <v>MCSGAST1</v>
      </c>
      <c r="S90" s="17"/>
      <c r="T90" s="24">
        <f t="shared" si="12"/>
        <v>45689</v>
      </c>
      <c r="U90" s="24" t="str">
        <f t="shared" si="13"/>
        <v/>
      </c>
      <c r="V90" s="14" t="s">
        <v>761</v>
      </c>
    </row>
    <row r="91" spans="2:22" x14ac:dyDescent="0.25">
      <c r="B91" s="20" t="s">
        <v>25</v>
      </c>
      <c r="C91" s="17"/>
      <c r="D91" s="86" t="str">
        <f>INDEX(Cad_Natureza!$B$3:$C$52,MATCH('2025'!F91,Cad_Natureza!$C$3:$C$52,0),MATCH('2025'!D$2,Cad_Natureza!$B$3:$C$3,0))</f>
        <v>GAST1</v>
      </c>
      <c r="E91" s="84" t="s">
        <v>117</v>
      </c>
      <c r="F91" s="85" t="s">
        <v>742</v>
      </c>
      <c r="G91" s="86" t="s">
        <v>25</v>
      </c>
      <c r="H91" s="87">
        <v>45695</v>
      </c>
      <c r="I91" s="87"/>
      <c r="J91" s="79" t="s">
        <v>185</v>
      </c>
      <c r="K91" s="62">
        <v>-5</v>
      </c>
      <c r="L91" s="68">
        <v>3512.6</v>
      </c>
      <c r="M91" s="17"/>
      <c r="N91" s="21" t="str">
        <f t="shared" si="7"/>
        <v>MCSGAST1CPF - Desp. Lazer e Entretenimento - Bares</v>
      </c>
      <c r="O91" s="21" t="str">
        <f t="shared" si="8"/>
        <v>GAST1CPF - Desp. Lazer e Entretenimento - Bares</v>
      </c>
      <c r="P91" s="21" t="str">
        <f t="shared" si="9"/>
        <v>MCSGAST1CPF - Desp. Lazer e Entretenimento - Bares</v>
      </c>
      <c r="Q91" s="21" t="str">
        <f t="shared" si="10"/>
        <v>MCSGAST1</v>
      </c>
      <c r="R91" s="21" t="str">
        <f t="shared" si="11"/>
        <v>MCSGAST1</v>
      </c>
      <c r="S91" s="17"/>
      <c r="T91" s="24">
        <f t="shared" si="12"/>
        <v>45689</v>
      </c>
      <c r="U91" s="24" t="str">
        <f t="shared" si="13"/>
        <v/>
      </c>
      <c r="V91" s="14" t="s">
        <v>761</v>
      </c>
    </row>
    <row r="92" spans="2:22" x14ac:dyDescent="0.25">
      <c r="B92" s="20" t="s">
        <v>25</v>
      </c>
      <c r="C92" s="17"/>
      <c r="D92" s="86" t="str">
        <f>INDEX(Cad_Natureza!$B$3:$C$52,MATCH('2025'!F92,Cad_Natureza!$C$3:$C$52,0),MATCH('2025'!D$2,Cad_Natureza!$B$3:$C$3,0))</f>
        <v>GAST2</v>
      </c>
      <c r="E92" s="84" t="s">
        <v>118</v>
      </c>
      <c r="F92" s="85" t="s">
        <v>743</v>
      </c>
      <c r="G92" s="86" t="s">
        <v>25</v>
      </c>
      <c r="H92" s="87">
        <v>45695</v>
      </c>
      <c r="I92" s="87"/>
      <c r="J92" s="79" t="s">
        <v>180</v>
      </c>
      <c r="K92" s="62">
        <v>-33</v>
      </c>
      <c r="L92" s="68">
        <v>3479.6</v>
      </c>
      <c r="M92" s="17"/>
      <c r="N92" s="21" t="str">
        <f t="shared" si="7"/>
        <v>MCSGAST2CPF - Desp. Lazer e Entretenimento - Cigarro</v>
      </c>
      <c r="O92" s="21" t="str">
        <f t="shared" si="8"/>
        <v>GAST2CPF - Desp. Lazer e Entretenimento - Cigarro</v>
      </c>
      <c r="P92" s="21" t="str">
        <f t="shared" si="9"/>
        <v>MCSGAST2CPF - Desp. Lazer e Entretenimento - Cigarro</v>
      </c>
      <c r="Q92" s="21" t="str">
        <f t="shared" si="10"/>
        <v>MCSGAST2</v>
      </c>
      <c r="R92" s="21" t="str">
        <f t="shared" si="11"/>
        <v>MCSGAST2</v>
      </c>
      <c r="S92" s="17"/>
      <c r="T92" s="24">
        <f t="shared" si="12"/>
        <v>45689</v>
      </c>
      <c r="U92" s="24" t="str">
        <f t="shared" si="13"/>
        <v/>
      </c>
      <c r="V92" s="14" t="s">
        <v>761</v>
      </c>
    </row>
    <row r="93" spans="2:22" x14ac:dyDescent="0.25">
      <c r="B93" s="20" t="s">
        <v>25</v>
      </c>
      <c r="C93" s="17"/>
      <c r="D93" s="86" t="str">
        <f>INDEX(Cad_Natureza!$B$3:$C$52,MATCH('2025'!F93,Cad_Natureza!$C$3:$C$52,0),MATCH('2025'!D$2,Cad_Natureza!$B$3:$C$3,0))</f>
        <v>GAST2</v>
      </c>
      <c r="E93" s="84" t="s">
        <v>119</v>
      </c>
      <c r="F93" s="85" t="s">
        <v>743</v>
      </c>
      <c r="G93" s="86" t="s">
        <v>25</v>
      </c>
      <c r="H93" s="87">
        <v>45698</v>
      </c>
      <c r="I93" s="87"/>
      <c r="J93" s="79" t="s">
        <v>180</v>
      </c>
      <c r="K93" s="62">
        <v>-4</v>
      </c>
      <c r="L93" s="68">
        <v>3475.6</v>
      </c>
      <c r="M93" s="17"/>
      <c r="N93" s="21" t="str">
        <f t="shared" si="7"/>
        <v>MCSGAST2CPF - Desp. Lazer e Entretenimento - Cigarro</v>
      </c>
      <c r="O93" s="21" t="str">
        <f t="shared" si="8"/>
        <v>GAST2CPF - Desp. Lazer e Entretenimento - Cigarro</v>
      </c>
      <c r="P93" s="21" t="str">
        <f t="shared" si="9"/>
        <v>MCSGAST2CPF - Desp. Lazer e Entretenimento - Cigarro</v>
      </c>
      <c r="Q93" s="21" t="str">
        <f t="shared" si="10"/>
        <v>MCSGAST2</v>
      </c>
      <c r="R93" s="21" t="str">
        <f t="shared" si="11"/>
        <v>MCSGAST2</v>
      </c>
      <c r="S93" s="17"/>
      <c r="T93" s="24">
        <f t="shared" si="12"/>
        <v>45689</v>
      </c>
      <c r="U93" s="24" t="str">
        <f t="shared" si="13"/>
        <v/>
      </c>
      <c r="V93" s="14" t="s">
        <v>761</v>
      </c>
    </row>
    <row r="94" spans="2:22" x14ac:dyDescent="0.25">
      <c r="B94" s="20" t="s">
        <v>25</v>
      </c>
      <c r="C94" s="17"/>
      <c r="D94" s="86" t="str">
        <f>INDEX(Cad_Natureza!$B$3:$C$52,MATCH('2025'!F94,Cad_Natureza!$C$3:$C$52,0),MATCH('2025'!D$2,Cad_Natureza!$B$3:$C$3,0))</f>
        <v>GAST1</v>
      </c>
      <c r="E94" s="84" t="s">
        <v>120</v>
      </c>
      <c r="F94" s="85" t="s">
        <v>742</v>
      </c>
      <c r="G94" s="86" t="s">
        <v>25</v>
      </c>
      <c r="H94" s="87">
        <v>45698</v>
      </c>
      <c r="I94" s="87"/>
      <c r="J94" s="79" t="s">
        <v>185</v>
      </c>
      <c r="K94" s="62">
        <v>-30</v>
      </c>
      <c r="L94" s="68">
        <v>3445.6</v>
      </c>
      <c r="M94" s="17"/>
      <c r="N94" s="21" t="str">
        <f t="shared" si="7"/>
        <v>MCSGAST1CPF - Desp. Lazer e Entretenimento - Bares</v>
      </c>
      <c r="O94" s="21" t="str">
        <f t="shared" si="8"/>
        <v>GAST1CPF - Desp. Lazer e Entretenimento - Bares</v>
      </c>
      <c r="P94" s="21" t="str">
        <f t="shared" si="9"/>
        <v>MCSGAST1CPF - Desp. Lazer e Entretenimento - Bares</v>
      </c>
      <c r="Q94" s="21" t="str">
        <f t="shared" si="10"/>
        <v>MCSGAST1</v>
      </c>
      <c r="R94" s="21" t="str">
        <f t="shared" si="11"/>
        <v>MCSGAST1</v>
      </c>
      <c r="S94" s="17"/>
      <c r="T94" s="24">
        <f t="shared" si="12"/>
        <v>45689</v>
      </c>
      <c r="U94" s="24" t="str">
        <f t="shared" si="13"/>
        <v/>
      </c>
      <c r="V94" s="14" t="s">
        <v>761</v>
      </c>
    </row>
    <row r="95" spans="2:22" x14ac:dyDescent="0.25">
      <c r="B95" s="20" t="s">
        <v>25</v>
      </c>
      <c r="C95" s="17"/>
      <c r="D95" s="86" t="str">
        <f>INDEX(Cad_Natureza!$B$3:$C$52,MATCH('2025'!F95,Cad_Natureza!$C$3:$C$52,0),MATCH('2025'!D$2,Cad_Natureza!$B$3:$C$3,0))</f>
        <v>GAST1</v>
      </c>
      <c r="E95" s="84" t="s">
        <v>120</v>
      </c>
      <c r="F95" s="85" t="s">
        <v>742</v>
      </c>
      <c r="G95" s="86" t="s">
        <v>25</v>
      </c>
      <c r="H95" s="87">
        <v>45698</v>
      </c>
      <c r="I95" s="87"/>
      <c r="J95" s="79" t="s">
        <v>185</v>
      </c>
      <c r="K95" s="62">
        <v>-10</v>
      </c>
      <c r="L95" s="68">
        <v>3435.6</v>
      </c>
      <c r="M95" s="17"/>
      <c r="N95" s="21" t="str">
        <f t="shared" si="7"/>
        <v>MCSGAST1CPF - Desp. Lazer e Entretenimento - Bares</v>
      </c>
      <c r="O95" s="21" t="str">
        <f t="shared" si="8"/>
        <v>GAST1CPF - Desp. Lazer e Entretenimento - Bares</v>
      </c>
      <c r="P95" s="21" t="str">
        <f t="shared" si="9"/>
        <v>MCSGAST1CPF - Desp. Lazer e Entretenimento - Bares</v>
      </c>
      <c r="Q95" s="21" t="str">
        <f t="shared" si="10"/>
        <v>MCSGAST1</v>
      </c>
      <c r="R95" s="21" t="str">
        <f t="shared" si="11"/>
        <v>MCSGAST1</v>
      </c>
      <c r="S95" s="17"/>
      <c r="T95" s="24">
        <f t="shared" si="12"/>
        <v>45689</v>
      </c>
      <c r="U95" s="24" t="str">
        <f t="shared" si="13"/>
        <v/>
      </c>
      <c r="V95" s="14" t="s">
        <v>761</v>
      </c>
    </row>
    <row r="96" spans="2:22" x14ac:dyDescent="0.25">
      <c r="B96" s="20" t="s">
        <v>25</v>
      </c>
      <c r="C96" s="17"/>
      <c r="D96" s="86" t="str">
        <f>INDEX(Cad_Natureza!$B$3:$C$52,MATCH('2025'!F96,Cad_Natureza!$C$3:$C$52,0),MATCH('2025'!D$2,Cad_Natureza!$B$3:$C$3,0))</f>
        <v>GAST1</v>
      </c>
      <c r="E96" s="84" t="s">
        <v>120</v>
      </c>
      <c r="F96" s="85" t="s">
        <v>742</v>
      </c>
      <c r="G96" s="86" t="s">
        <v>25</v>
      </c>
      <c r="H96" s="87">
        <v>45698</v>
      </c>
      <c r="I96" s="87"/>
      <c r="J96" s="79" t="s">
        <v>185</v>
      </c>
      <c r="K96" s="62">
        <v>-30</v>
      </c>
      <c r="L96" s="68">
        <v>3405.6</v>
      </c>
      <c r="M96" s="17"/>
      <c r="N96" s="21" t="str">
        <f t="shared" si="7"/>
        <v>MCSGAST1CPF - Desp. Lazer e Entretenimento - Bares</v>
      </c>
      <c r="O96" s="21" t="str">
        <f t="shared" si="8"/>
        <v>GAST1CPF - Desp. Lazer e Entretenimento - Bares</v>
      </c>
      <c r="P96" s="21" t="str">
        <f t="shared" si="9"/>
        <v>MCSGAST1CPF - Desp. Lazer e Entretenimento - Bares</v>
      </c>
      <c r="Q96" s="21" t="str">
        <f t="shared" si="10"/>
        <v>MCSGAST1</v>
      </c>
      <c r="R96" s="21" t="str">
        <f t="shared" si="11"/>
        <v>MCSGAST1</v>
      </c>
      <c r="S96" s="17"/>
      <c r="T96" s="24">
        <f t="shared" si="12"/>
        <v>45689</v>
      </c>
      <c r="U96" s="24" t="str">
        <f t="shared" si="13"/>
        <v/>
      </c>
      <c r="V96" s="14" t="s">
        <v>761</v>
      </c>
    </row>
    <row r="97" spans="2:22" x14ac:dyDescent="0.25">
      <c r="B97" s="20" t="s">
        <v>25</v>
      </c>
      <c r="C97" s="17"/>
      <c r="D97" s="86" t="str">
        <f>INDEX(Cad_Natureza!$B$3:$C$52,MATCH('2025'!F97,Cad_Natureza!$C$3:$C$52,0),MATCH('2025'!D$2,Cad_Natureza!$B$3:$C$3,0))</f>
        <v>GAST1</v>
      </c>
      <c r="E97" s="84" t="s">
        <v>120</v>
      </c>
      <c r="F97" s="85" t="s">
        <v>742</v>
      </c>
      <c r="G97" s="86" t="s">
        <v>25</v>
      </c>
      <c r="H97" s="87">
        <v>45698</v>
      </c>
      <c r="I97" s="87"/>
      <c r="J97" s="79" t="s">
        <v>185</v>
      </c>
      <c r="K97" s="62">
        <v>-20</v>
      </c>
      <c r="L97" s="68">
        <v>3385.6</v>
      </c>
      <c r="M97" s="17"/>
      <c r="N97" s="21" t="str">
        <f t="shared" si="7"/>
        <v>MCSGAST1CPF - Desp. Lazer e Entretenimento - Bares</v>
      </c>
      <c r="O97" s="21" t="str">
        <f t="shared" si="8"/>
        <v>GAST1CPF - Desp. Lazer e Entretenimento - Bares</v>
      </c>
      <c r="P97" s="21" t="str">
        <f t="shared" si="9"/>
        <v>MCSGAST1CPF - Desp. Lazer e Entretenimento - Bares</v>
      </c>
      <c r="Q97" s="21" t="str">
        <f t="shared" si="10"/>
        <v>MCSGAST1</v>
      </c>
      <c r="R97" s="21" t="str">
        <f t="shared" si="11"/>
        <v>MCSGAST1</v>
      </c>
      <c r="S97" s="17"/>
      <c r="T97" s="24">
        <f t="shared" si="12"/>
        <v>45689</v>
      </c>
      <c r="U97" s="24" t="str">
        <f t="shared" si="13"/>
        <v/>
      </c>
      <c r="V97" s="14" t="s">
        <v>761</v>
      </c>
    </row>
    <row r="98" spans="2:22" x14ac:dyDescent="0.25">
      <c r="B98" s="20" t="s">
        <v>25</v>
      </c>
      <c r="C98" s="17"/>
      <c r="D98" s="86" t="str">
        <f>INDEX(Cad_Natureza!$B$3:$C$52,MATCH('2025'!F98,Cad_Natureza!$C$3:$C$52,0),MATCH('2025'!D$2,Cad_Natureza!$B$3:$C$3,0))</f>
        <v>FIN1</v>
      </c>
      <c r="E98" s="84" t="s">
        <v>30</v>
      </c>
      <c r="F98" s="85" t="s">
        <v>713</v>
      </c>
      <c r="G98" s="86" t="s">
        <v>25</v>
      </c>
      <c r="H98" s="87">
        <v>45698</v>
      </c>
      <c r="I98" s="87"/>
      <c r="J98" s="79" t="s">
        <v>198</v>
      </c>
      <c r="K98" s="62">
        <v>-127.18</v>
      </c>
      <c r="L98" s="68">
        <v>3258.42</v>
      </c>
      <c r="M98" s="17"/>
      <c r="N98" s="21" t="str">
        <f t="shared" si="7"/>
        <v>MCSFIN1CPF - Desp. Financeiras - Empréstimos</v>
      </c>
      <c r="O98" s="21" t="str">
        <f t="shared" si="8"/>
        <v>FIN1CPF - Desp. Financeiras - Empréstimos</v>
      </c>
      <c r="P98" s="21" t="str">
        <f t="shared" si="9"/>
        <v>MCSFIN1CPF - Desp. Financeiras - Empréstimos</v>
      </c>
      <c r="Q98" s="21" t="str">
        <f t="shared" si="10"/>
        <v>MCSFIN1</v>
      </c>
      <c r="R98" s="21" t="str">
        <f t="shared" si="11"/>
        <v>MCSFIN1</v>
      </c>
      <c r="S98" s="17"/>
      <c r="T98" s="24">
        <f t="shared" si="12"/>
        <v>45689</v>
      </c>
      <c r="U98" s="24" t="str">
        <f t="shared" si="13"/>
        <v/>
      </c>
      <c r="V98" s="14" t="s">
        <v>761</v>
      </c>
    </row>
    <row r="99" spans="2:22" x14ac:dyDescent="0.25">
      <c r="B99" s="20" t="s">
        <v>25</v>
      </c>
      <c r="C99" s="17"/>
      <c r="D99" s="86" t="str">
        <f>INDEX(Cad_Natureza!$B$3:$C$52,MATCH('2025'!F99,Cad_Natureza!$C$3:$C$52,0),MATCH('2025'!D$2,Cad_Natureza!$B$3:$C$3,0))</f>
        <v>OPF2</v>
      </c>
      <c r="E99" s="84" t="s">
        <v>121</v>
      </c>
      <c r="F99" s="85" t="s">
        <v>741</v>
      </c>
      <c r="G99" s="86" t="s">
        <v>25</v>
      </c>
      <c r="H99" s="87">
        <v>45698</v>
      </c>
      <c r="I99" s="87"/>
      <c r="J99" s="79" t="s">
        <v>184</v>
      </c>
      <c r="K99" s="62">
        <v>-51.91</v>
      </c>
      <c r="L99" s="68">
        <v>3206.51</v>
      </c>
      <c r="M99" s="17"/>
      <c r="N99" s="21" t="str">
        <f t="shared" si="7"/>
        <v>MCSOPF2CPF - Desp. Transporte / Combustível</v>
      </c>
      <c r="O99" s="21" t="str">
        <f t="shared" si="8"/>
        <v>OPF2CPF - Desp. Transporte / Combustível</v>
      </c>
      <c r="P99" s="21" t="str">
        <f t="shared" si="9"/>
        <v>MCSOPF2CPF - Desp. Transporte / Combustível</v>
      </c>
      <c r="Q99" s="21" t="str">
        <f t="shared" si="10"/>
        <v>MCSOPF2</v>
      </c>
      <c r="R99" s="21" t="str">
        <f t="shared" si="11"/>
        <v>MCSOPF2</v>
      </c>
      <c r="S99" s="17"/>
      <c r="T99" s="24">
        <f t="shared" si="12"/>
        <v>45689</v>
      </c>
      <c r="U99" s="24" t="str">
        <f t="shared" si="13"/>
        <v/>
      </c>
      <c r="V99" s="14" t="s">
        <v>761</v>
      </c>
    </row>
    <row r="100" spans="2:22" x14ac:dyDescent="0.25">
      <c r="B100" s="20" t="s">
        <v>25</v>
      </c>
      <c r="C100" s="17"/>
      <c r="D100" s="86" t="str">
        <f>INDEX(Cad_Natureza!$B$3:$C$52,MATCH('2025'!F100,Cad_Natureza!$C$3:$C$52,0),MATCH('2025'!D$2,Cad_Natureza!$B$3:$C$3,0))</f>
        <v>PENS3</v>
      </c>
      <c r="E100" s="84" t="s">
        <v>122</v>
      </c>
      <c r="F100" s="85" t="s">
        <v>746</v>
      </c>
      <c r="G100" s="86" t="s">
        <v>25</v>
      </c>
      <c r="H100" s="87">
        <v>45698</v>
      </c>
      <c r="I100" s="87"/>
      <c r="J100" s="78" t="s">
        <v>595</v>
      </c>
      <c r="K100" s="62">
        <v>-714.9</v>
      </c>
      <c r="L100" s="68">
        <v>2491.61</v>
      </c>
      <c r="M100" s="17"/>
      <c r="N100" s="21" t="str">
        <f t="shared" si="7"/>
        <v>MCSPENS3CPF - Pensão - Plano de saúde</v>
      </c>
      <c r="O100" s="21" t="str">
        <f t="shared" si="8"/>
        <v>PENS3CPF - Pensão - Plano de saúde</v>
      </c>
      <c r="P100" s="21" t="str">
        <f t="shared" si="9"/>
        <v>MCSPENS3CPF - Pensão - Plano de saúde</v>
      </c>
      <c r="Q100" s="21" t="str">
        <f t="shared" si="10"/>
        <v>MCSPENS3</v>
      </c>
      <c r="R100" s="21" t="str">
        <f t="shared" si="11"/>
        <v>MCSPENS3</v>
      </c>
      <c r="S100" s="17"/>
      <c r="T100" s="24">
        <f t="shared" si="12"/>
        <v>45689</v>
      </c>
      <c r="U100" s="24" t="str">
        <f t="shared" si="13"/>
        <v/>
      </c>
      <c r="V100" s="14" t="s">
        <v>731</v>
      </c>
    </row>
    <row r="101" spans="2:22" x14ac:dyDescent="0.25">
      <c r="B101" s="20" t="s">
        <v>25</v>
      </c>
      <c r="C101" s="17"/>
      <c r="D101" s="86" t="str">
        <f>INDEX(Cad_Natureza!$B$3:$C$52,MATCH('2025'!F101,Cad_Natureza!$C$3:$C$52,0),MATCH('2025'!D$2,Cad_Natureza!$B$3:$C$3,0))</f>
        <v>DESP1</v>
      </c>
      <c r="E101" s="84" t="s">
        <v>123</v>
      </c>
      <c r="F101" s="85" t="s">
        <v>733</v>
      </c>
      <c r="G101" s="86" t="s">
        <v>25</v>
      </c>
      <c r="H101" s="87">
        <v>45698</v>
      </c>
      <c r="I101" s="87"/>
      <c r="J101" s="79" t="s">
        <v>194</v>
      </c>
      <c r="K101" s="62">
        <v>-344.41</v>
      </c>
      <c r="L101" s="68">
        <v>2147.2000000000003</v>
      </c>
      <c r="M101" s="17"/>
      <c r="N101" s="21" t="str">
        <f t="shared" si="7"/>
        <v>MCSDESP1CPF - Desp. Cartão de crédito</v>
      </c>
      <c r="O101" s="21" t="str">
        <f t="shared" si="8"/>
        <v>DESP1CPF - Desp. Cartão de crédito</v>
      </c>
      <c r="P101" s="21" t="str">
        <f t="shared" si="9"/>
        <v>MCSDESP1CPF - Desp. Cartão de crédito</v>
      </c>
      <c r="Q101" s="21" t="str">
        <f t="shared" si="10"/>
        <v>MCSDESP1</v>
      </c>
      <c r="R101" s="21" t="str">
        <f t="shared" si="11"/>
        <v>MCSDESP1</v>
      </c>
      <c r="S101" s="17"/>
      <c r="T101" s="24">
        <f t="shared" si="12"/>
        <v>45689</v>
      </c>
      <c r="U101" s="24" t="str">
        <f t="shared" si="13"/>
        <v/>
      </c>
      <c r="V101" s="14" t="s">
        <v>761</v>
      </c>
    </row>
    <row r="102" spans="2:22" x14ac:dyDescent="0.25">
      <c r="B102" s="20" t="s">
        <v>25</v>
      </c>
      <c r="C102" s="17"/>
      <c r="D102" s="86" t="str">
        <f>INDEX(Cad_Natureza!$B$3:$C$52,MATCH('2025'!F102,Cad_Natureza!$C$3:$C$52,0),MATCH('2025'!D$2,Cad_Natureza!$B$3:$C$3,0))</f>
        <v>OUG1</v>
      </c>
      <c r="E102" s="84" t="s">
        <v>124</v>
      </c>
      <c r="F102" s="85" t="s">
        <v>748</v>
      </c>
      <c r="G102" s="86" t="s">
        <v>25</v>
      </c>
      <c r="H102" s="87">
        <v>45698</v>
      </c>
      <c r="I102" s="87"/>
      <c r="J102" s="79" t="s">
        <v>197</v>
      </c>
      <c r="K102" s="62">
        <v>-22</v>
      </c>
      <c r="L102" s="68">
        <v>2125.2000000000003</v>
      </c>
      <c r="M102" s="17"/>
      <c r="N102" s="21" t="str">
        <f t="shared" si="7"/>
        <v>MCSOUG1CPF - Outros gastos</v>
      </c>
      <c r="O102" s="21" t="str">
        <f t="shared" si="8"/>
        <v>OUG1CPF - Outros gastos</v>
      </c>
      <c r="P102" s="21" t="str">
        <f t="shared" si="9"/>
        <v>MCSOUG1CPF - Outros gastos</v>
      </c>
      <c r="Q102" s="21" t="str">
        <f t="shared" si="10"/>
        <v>MCSOUG1</v>
      </c>
      <c r="R102" s="21" t="str">
        <f t="shared" si="11"/>
        <v>MCSOUG1</v>
      </c>
      <c r="S102" s="17"/>
      <c r="T102" s="24">
        <f t="shared" si="12"/>
        <v>45689</v>
      </c>
      <c r="U102" s="24" t="str">
        <f t="shared" si="13"/>
        <v/>
      </c>
      <c r="V102" s="14" t="s">
        <v>761</v>
      </c>
    </row>
    <row r="103" spans="2:22" x14ac:dyDescent="0.25">
      <c r="B103" s="20" t="s">
        <v>25</v>
      </c>
      <c r="C103" s="17"/>
      <c r="D103" s="86" t="str">
        <f>INDEX(Cad_Natureza!$B$3:$C$52,MATCH('2025'!F103,Cad_Natureza!$C$3:$C$52,0),MATCH('2025'!D$2,Cad_Natureza!$B$3:$C$3,0))</f>
        <v>OPF1</v>
      </c>
      <c r="E103" s="84" t="s">
        <v>125</v>
      </c>
      <c r="F103" s="85" t="s">
        <v>744</v>
      </c>
      <c r="G103" s="86" t="s">
        <v>25</v>
      </c>
      <c r="H103" s="87">
        <v>45698</v>
      </c>
      <c r="I103" s="87"/>
      <c r="J103" s="79" t="s">
        <v>182</v>
      </c>
      <c r="K103" s="62">
        <v>-23</v>
      </c>
      <c r="L103" s="68">
        <v>2102.2000000000003</v>
      </c>
      <c r="M103" s="17"/>
      <c r="N103" s="21" t="str">
        <f t="shared" si="7"/>
        <v>MCSOPF1CPF - Desp. Alimentação / Refeição</v>
      </c>
      <c r="O103" s="21" t="str">
        <f t="shared" si="8"/>
        <v>OPF1CPF - Desp. Alimentação / Refeição</v>
      </c>
      <c r="P103" s="21" t="str">
        <f t="shared" si="9"/>
        <v>MCSOPF1CPF - Desp. Alimentação / Refeição</v>
      </c>
      <c r="Q103" s="21" t="str">
        <f t="shared" si="10"/>
        <v>MCSOPF1</v>
      </c>
      <c r="R103" s="21" t="str">
        <f t="shared" si="11"/>
        <v>MCSOPF1</v>
      </c>
      <c r="S103" s="17"/>
      <c r="T103" s="24">
        <f t="shared" si="12"/>
        <v>45689</v>
      </c>
      <c r="U103" s="24" t="str">
        <f t="shared" si="13"/>
        <v/>
      </c>
      <c r="V103" s="14" t="s">
        <v>761</v>
      </c>
    </row>
    <row r="104" spans="2:22" x14ac:dyDescent="0.25">
      <c r="B104" s="20" t="s">
        <v>25</v>
      </c>
      <c r="C104" s="17"/>
      <c r="D104" s="63" t="str">
        <f>INDEX(Cad_Natureza!$B$3:$C$52,MATCH('2025'!F104,Cad_Natureza!$C$3:$C$52,0),MATCH('2025'!D$2,Cad_Natureza!$B$3:$C$3,0))</f>
        <v>REC6</v>
      </c>
      <c r="E104" s="64" t="s">
        <v>126</v>
      </c>
      <c r="F104" s="65" t="s">
        <v>755</v>
      </c>
      <c r="G104" s="63" t="s">
        <v>25</v>
      </c>
      <c r="H104" s="66">
        <v>45698</v>
      </c>
      <c r="I104" s="66"/>
      <c r="J104" s="81" t="s">
        <v>196</v>
      </c>
      <c r="K104" s="68">
        <v>115</v>
      </c>
      <c r="L104" s="68">
        <v>2217.2000000000003</v>
      </c>
      <c r="M104" s="17"/>
      <c r="N104" s="21" t="str">
        <f t="shared" si="7"/>
        <v>MCSREC6CPF - Pensão - Outras receitas</v>
      </c>
      <c r="O104" s="21" t="str">
        <f t="shared" si="8"/>
        <v>REC6CPF - Pensão - Outras receitas</v>
      </c>
      <c r="P104" s="21" t="str">
        <f t="shared" si="9"/>
        <v>MCSREC6CPF - Pensão - Outras receitas</v>
      </c>
      <c r="Q104" s="21" t="str">
        <f t="shared" si="10"/>
        <v>MCSREC6</v>
      </c>
      <c r="R104" s="21" t="str">
        <f t="shared" si="11"/>
        <v>MCSREC6</v>
      </c>
      <c r="S104" s="17"/>
      <c r="T104" s="24">
        <f t="shared" si="12"/>
        <v>45689</v>
      </c>
      <c r="U104" s="24" t="str">
        <f t="shared" si="13"/>
        <v/>
      </c>
      <c r="V104" s="14" t="s">
        <v>731</v>
      </c>
    </row>
    <row r="105" spans="2:22" x14ac:dyDescent="0.25">
      <c r="B105" s="20" t="s">
        <v>25</v>
      </c>
      <c r="C105" s="17"/>
      <c r="D105" s="86" t="str">
        <f>INDEX(Cad_Natureza!$B$3:$C$52,MATCH('2025'!F105,Cad_Natureza!$C$3:$C$52,0),MATCH('2025'!D$2,Cad_Natureza!$B$3:$C$3,0))</f>
        <v>PENS6</v>
      </c>
      <c r="E105" s="84" t="s">
        <v>127</v>
      </c>
      <c r="F105" s="85" t="s">
        <v>37</v>
      </c>
      <c r="G105" s="86" t="s">
        <v>25</v>
      </c>
      <c r="H105" s="87">
        <v>45698</v>
      </c>
      <c r="I105" s="87"/>
      <c r="J105" s="78" t="s">
        <v>196</v>
      </c>
      <c r="K105" s="62">
        <v>-115</v>
      </c>
      <c r="L105" s="68">
        <v>2102.2000000000003</v>
      </c>
      <c r="M105" s="17"/>
      <c r="N105" s="21" t="str">
        <f t="shared" si="7"/>
        <v>MCSPENS6CPF - Pensão - Farmácia e Saúde</v>
      </c>
      <c r="O105" s="21" t="str">
        <f t="shared" si="8"/>
        <v>PENS6CPF - Pensão - Farmácia e Saúde</v>
      </c>
      <c r="P105" s="21" t="str">
        <f t="shared" si="9"/>
        <v>MCSPENS6CPF - Pensão - Farmácia e Saúde</v>
      </c>
      <c r="Q105" s="21" t="str">
        <f t="shared" si="10"/>
        <v>MCSPENS6</v>
      </c>
      <c r="R105" s="21" t="str">
        <f t="shared" si="11"/>
        <v>MCSPENS6</v>
      </c>
      <c r="S105" s="17"/>
      <c r="T105" s="24">
        <f t="shared" si="12"/>
        <v>45689</v>
      </c>
      <c r="U105" s="24" t="str">
        <f t="shared" si="13"/>
        <v/>
      </c>
      <c r="V105" s="14" t="s">
        <v>731</v>
      </c>
    </row>
    <row r="106" spans="2:22" x14ac:dyDescent="0.25">
      <c r="B106" s="20" t="s">
        <v>25</v>
      </c>
      <c r="C106" s="17"/>
      <c r="D106" s="86" t="str">
        <f>INDEX(Cad_Natureza!$B$3:$C$52,MATCH('2025'!F106,Cad_Natureza!$C$3:$C$52,0),MATCH('2025'!D$2,Cad_Natureza!$B$3:$C$3,0))</f>
        <v>GAST2</v>
      </c>
      <c r="E106" s="84" t="s">
        <v>128</v>
      </c>
      <c r="F106" s="85" t="s">
        <v>743</v>
      </c>
      <c r="G106" s="86" t="s">
        <v>25</v>
      </c>
      <c r="H106" s="87">
        <v>45698</v>
      </c>
      <c r="I106" s="87"/>
      <c r="J106" s="79" t="s">
        <v>180</v>
      </c>
      <c r="K106" s="62">
        <v>-4</v>
      </c>
      <c r="L106" s="68">
        <v>2098.2000000000003</v>
      </c>
      <c r="M106" s="17"/>
      <c r="N106" s="21" t="str">
        <f t="shared" si="7"/>
        <v>MCSGAST2CPF - Desp. Lazer e Entretenimento - Cigarro</v>
      </c>
      <c r="O106" s="21" t="str">
        <f t="shared" si="8"/>
        <v>GAST2CPF - Desp. Lazer e Entretenimento - Cigarro</v>
      </c>
      <c r="P106" s="21" t="str">
        <f t="shared" si="9"/>
        <v>MCSGAST2CPF - Desp. Lazer e Entretenimento - Cigarro</v>
      </c>
      <c r="Q106" s="21" t="str">
        <f t="shared" si="10"/>
        <v>MCSGAST2</v>
      </c>
      <c r="R106" s="21" t="str">
        <f t="shared" si="11"/>
        <v>MCSGAST2</v>
      </c>
      <c r="S106" s="17"/>
      <c r="T106" s="24">
        <f t="shared" si="12"/>
        <v>45689</v>
      </c>
      <c r="U106" s="24" t="str">
        <f t="shared" si="13"/>
        <v/>
      </c>
      <c r="V106" s="14" t="s">
        <v>761</v>
      </c>
    </row>
    <row r="107" spans="2:22" x14ac:dyDescent="0.25">
      <c r="B107" s="20" t="s">
        <v>25</v>
      </c>
      <c r="C107" s="17"/>
      <c r="D107" s="86" t="str">
        <f>INDEX(Cad_Natureza!$B$3:$C$52,MATCH('2025'!F107,Cad_Natureza!$C$3:$C$52,0),MATCH('2025'!D$2,Cad_Natureza!$B$3:$C$3,0))</f>
        <v>GAST1</v>
      </c>
      <c r="E107" s="84" t="s">
        <v>129</v>
      </c>
      <c r="F107" s="85" t="s">
        <v>742</v>
      </c>
      <c r="G107" s="86" t="s">
        <v>25</v>
      </c>
      <c r="H107" s="87">
        <v>45698</v>
      </c>
      <c r="I107" s="87"/>
      <c r="J107" s="79" t="s">
        <v>185</v>
      </c>
      <c r="K107" s="62">
        <v>-11</v>
      </c>
      <c r="L107" s="68">
        <v>2087.2000000000003</v>
      </c>
      <c r="M107" s="17"/>
      <c r="N107" s="21" t="str">
        <f t="shared" si="7"/>
        <v>MCSGAST1CPF - Desp. Lazer e Entretenimento - Bares</v>
      </c>
      <c r="O107" s="21" t="str">
        <f t="shared" si="8"/>
        <v>GAST1CPF - Desp. Lazer e Entretenimento - Bares</v>
      </c>
      <c r="P107" s="21" t="str">
        <f t="shared" si="9"/>
        <v>MCSGAST1CPF - Desp. Lazer e Entretenimento - Bares</v>
      </c>
      <c r="Q107" s="21" t="str">
        <f t="shared" si="10"/>
        <v>MCSGAST1</v>
      </c>
      <c r="R107" s="21" t="str">
        <f t="shared" si="11"/>
        <v>MCSGAST1</v>
      </c>
      <c r="S107" s="17"/>
      <c r="T107" s="24">
        <f t="shared" si="12"/>
        <v>45689</v>
      </c>
      <c r="U107" s="24" t="str">
        <f t="shared" si="13"/>
        <v/>
      </c>
      <c r="V107" s="14" t="s">
        <v>761</v>
      </c>
    </row>
    <row r="108" spans="2:22" x14ac:dyDescent="0.25">
      <c r="B108" s="20" t="s">
        <v>25</v>
      </c>
      <c r="C108" s="17"/>
      <c r="D108" s="86" t="str">
        <f>INDEX(Cad_Natureza!$B$3:$C$52,MATCH('2025'!F108,Cad_Natureza!$C$3:$C$52,0),MATCH('2025'!D$2,Cad_Natureza!$B$3:$C$3,0))</f>
        <v>PENS4</v>
      </c>
      <c r="E108" s="84" t="s">
        <v>130</v>
      </c>
      <c r="F108" s="85" t="s">
        <v>749</v>
      </c>
      <c r="G108" s="86" t="s">
        <v>25</v>
      </c>
      <c r="H108" s="87">
        <v>45698</v>
      </c>
      <c r="I108" s="87"/>
      <c r="J108" s="78" t="s">
        <v>195</v>
      </c>
      <c r="K108" s="62">
        <v>-800</v>
      </c>
      <c r="L108" s="68">
        <v>1287.2000000000003</v>
      </c>
      <c r="M108" s="17"/>
      <c r="N108" s="21" t="str">
        <f t="shared" si="7"/>
        <v>MCSPENS4CPF - Pensão - Supermercado</v>
      </c>
      <c r="O108" s="21" t="str">
        <f t="shared" si="8"/>
        <v>PENS4CPF - Pensão - Supermercado</v>
      </c>
      <c r="P108" s="21" t="str">
        <f t="shared" si="9"/>
        <v>MCSPENS4CPF - Pensão - Supermercado</v>
      </c>
      <c r="Q108" s="21" t="str">
        <f t="shared" si="10"/>
        <v>MCSPENS4</v>
      </c>
      <c r="R108" s="21" t="str">
        <f t="shared" si="11"/>
        <v>MCSPENS4</v>
      </c>
      <c r="S108" s="17"/>
      <c r="T108" s="24">
        <f t="shared" si="12"/>
        <v>45689</v>
      </c>
      <c r="U108" s="24" t="str">
        <f t="shared" si="13"/>
        <v/>
      </c>
      <c r="V108" s="14" t="s">
        <v>731</v>
      </c>
    </row>
    <row r="109" spans="2:22" x14ac:dyDescent="0.25">
      <c r="B109" s="20" t="s">
        <v>25</v>
      </c>
      <c r="C109" s="17"/>
      <c r="D109" s="86" t="str">
        <f>INDEX(Cad_Natureza!$B$3:$C$52,MATCH('2025'!F109,Cad_Natureza!$C$3:$C$52,0),MATCH('2025'!D$2,Cad_Natureza!$B$3:$C$3,0))</f>
        <v>GAST2</v>
      </c>
      <c r="E109" s="84" t="s">
        <v>119</v>
      </c>
      <c r="F109" s="85" t="s">
        <v>743</v>
      </c>
      <c r="G109" s="86" t="s">
        <v>25</v>
      </c>
      <c r="H109" s="87">
        <v>45698</v>
      </c>
      <c r="I109" s="87"/>
      <c r="J109" s="79" t="s">
        <v>180</v>
      </c>
      <c r="K109" s="62">
        <v>-4</v>
      </c>
      <c r="L109" s="68">
        <v>1283.2000000000003</v>
      </c>
      <c r="M109" s="17"/>
      <c r="N109" s="21" t="str">
        <f t="shared" si="7"/>
        <v>MCSGAST2CPF - Desp. Lazer e Entretenimento - Cigarro</v>
      </c>
      <c r="O109" s="21" t="str">
        <f t="shared" si="8"/>
        <v>GAST2CPF - Desp. Lazer e Entretenimento - Cigarro</v>
      </c>
      <c r="P109" s="21" t="str">
        <f t="shared" si="9"/>
        <v>MCSGAST2CPF - Desp. Lazer e Entretenimento - Cigarro</v>
      </c>
      <c r="Q109" s="21" t="str">
        <f t="shared" si="10"/>
        <v>MCSGAST2</v>
      </c>
      <c r="R109" s="21" t="str">
        <f t="shared" si="11"/>
        <v>MCSGAST2</v>
      </c>
      <c r="S109" s="17"/>
      <c r="T109" s="24">
        <f t="shared" si="12"/>
        <v>45689</v>
      </c>
      <c r="U109" s="24" t="str">
        <f t="shared" si="13"/>
        <v/>
      </c>
      <c r="V109" s="14" t="s">
        <v>761</v>
      </c>
    </row>
    <row r="110" spans="2:22" x14ac:dyDescent="0.25">
      <c r="B110" s="20" t="s">
        <v>25</v>
      </c>
      <c r="C110" s="17"/>
      <c r="D110" s="86" t="str">
        <f>INDEX(Cad_Natureza!$B$3:$C$52,MATCH('2025'!F110,Cad_Natureza!$C$3:$C$52,0),MATCH('2025'!D$2,Cad_Natureza!$B$3:$C$3,0))</f>
        <v>OPF1</v>
      </c>
      <c r="E110" s="84" t="s">
        <v>131</v>
      </c>
      <c r="F110" s="85" t="s">
        <v>744</v>
      </c>
      <c r="G110" s="86" t="s">
        <v>25</v>
      </c>
      <c r="H110" s="87">
        <v>45699</v>
      </c>
      <c r="I110" s="87"/>
      <c r="J110" s="79" t="s">
        <v>182</v>
      </c>
      <c r="K110" s="62">
        <v>-23</v>
      </c>
      <c r="L110" s="68">
        <v>1260.2000000000003</v>
      </c>
      <c r="M110" s="17"/>
      <c r="N110" s="21" t="str">
        <f t="shared" si="7"/>
        <v>MCSOPF1CPF - Desp. Alimentação / Refeição</v>
      </c>
      <c r="O110" s="21" t="str">
        <f t="shared" si="8"/>
        <v>OPF1CPF - Desp. Alimentação / Refeição</v>
      </c>
      <c r="P110" s="21" t="str">
        <f t="shared" si="9"/>
        <v>MCSOPF1CPF - Desp. Alimentação / Refeição</v>
      </c>
      <c r="Q110" s="21" t="str">
        <f t="shared" si="10"/>
        <v>MCSOPF1</v>
      </c>
      <c r="R110" s="21" t="str">
        <f t="shared" si="11"/>
        <v>MCSOPF1</v>
      </c>
      <c r="S110" s="17"/>
      <c r="T110" s="24">
        <f t="shared" si="12"/>
        <v>45689</v>
      </c>
      <c r="U110" s="24" t="str">
        <f t="shared" si="13"/>
        <v/>
      </c>
      <c r="V110" s="14" t="s">
        <v>761</v>
      </c>
    </row>
    <row r="111" spans="2:22" x14ac:dyDescent="0.25">
      <c r="B111" s="20" t="s">
        <v>25</v>
      </c>
      <c r="C111" s="17"/>
      <c r="D111" s="86" t="str">
        <f>INDEX(Cad_Natureza!$B$3:$C$52,MATCH('2025'!F111,Cad_Natureza!$C$3:$C$52,0),MATCH('2025'!D$2,Cad_Natureza!$B$3:$C$3,0))</f>
        <v>OPF1</v>
      </c>
      <c r="E111" s="84" t="s">
        <v>132</v>
      </c>
      <c r="F111" s="85" t="s">
        <v>744</v>
      </c>
      <c r="G111" s="86" t="s">
        <v>25</v>
      </c>
      <c r="H111" s="87">
        <v>45700</v>
      </c>
      <c r="I111" s="87"/>
      <c r="J111" s="79" t="s">
        <v>182</v>
      </c>
      <c r="K111" s="62">
        <v>-23</v>
      </c>
      <c r="L111" s="68">
        <v>1237.2000000000003</v>
      </c>
      <c r="M111" s="17"/>
      <c r="N111" s="21" t="str">
        <f t="shared" si="7"/>
        <v>MCSOPF1CPF - Desp. Alimentação / Refeição</v>
      </c>
      <c r="O111" s="21" t="str">
        <f t="shared" si="8"/>
        <v>OPF1CPF - Desp. Alimentação / Refeição</v>
      </c>
      <c r="P111" s="21" t="str">
        <f t="shared" si="9"/>
        <v>MCSOPF1CPF - Desp. Alimentação / Refeição</v>
      </c>
      <c r="Q111" s="21" t="str">
        <f t="shared" si="10"/>
        <v>MCSOPF1</v>
      </c>
      <c r="R111" s="21" t="str">
        <f t="shared" si="11"/>
        <v>MCSOPF1</v>
      </c>
      <c r="S111" s="17"/>
      <c r="T111" s="24">
        <f t="shared" si="12"/>
        <v>45689</v>
      </c>
      <c r="U111" s="24" t="str">
        <f t="shared" si="13"/>
        <v/>
      </c>
      <c r="V111" s="14" t="s">
        <v>761</v>
      </c>
    </row>
    <row r="112" spans="2:22" x14ac:dyDescent="0.25">
      <c r="B112" s="20" t="s">
        <v>25</v>
      </c>
      <c r="C112" s="17"/>
      <c r="D112" s="86" t="str">
        <f>INDEX(Cad_Natureza!$B$3:$C$52,MATCH('2025'!F112,Cad_Natureza!$C$3:$C$52,0),MATCH('2025'!D$2,Cad_Natureza!$B$3:$C$3,0))</f>
        <v>FIN3</v>
      </c>
      <c r="E112" s="84" t="s">
        <v>133</v>
      </c>
      <c r="F112" s="85" t="s">
        <v>939</v>
      </c>
      <c r="G112" s="86" t="s">
        <v>25</v>
      </c>
      <c r="H112" s="87">
        <v>45701</v>
      </c>
      <c r="I112" s="87"/>
      <c r="J112" s="79" t="s">
        <v>572</v>
      </c>
      <c r="K112" s="62">
        <v>-538.03</v>
      </c>
      <c r="L112" s="68">
        <v>699.1700000000003</v>
      </c>
      <c r="M112" s="17"/>
      <c r="N112" s="21" t="str">
        <f t="shared" si="7"/>
        <v>MCSFIN3CPF - Desp. Financeiras - Empréstimos bancários</v>
      </c>
      <c r="O112" s="21" t="str">
        <f t="shared" si="8"/>
        <v>FIN3CPF - Desp. Financeiras - Empréstimos bancários</v>
      </c>
      <c r="P112" s="21" t="str">
        <f t="shared" si="9"/>
        <v>MCSFIN3CPF - Desp. Financeiras - Empréstimos bancários</v>
      </c>
      <c r="Q112" s="21" t="str">
        <f t="shared" si="10"/>
        <v>MCSFIN3</v>
      </c>
      <c r="R112" s="21" t="str">
        <f t="shared" si="11"/>
        <v>MCSFIN3</v>
      </c>
      <c r="S112" s="17"/>
      <c r="T112" s="24">
        <f t="shared" si="12"/>
        <v>45689</v>
      </c>
      <c r="U112" s="24" t="str">
        <f t="shared" si="13"/>
        <v/>
      </c>
      <c r="V112" s="14" t="s">
        <v>761</v>
      </c>
    </row>
    <row r="113" spans="2:22" x14ac:dyDescent="0.25">
      <c r="B113" s="20" t="s">
        <v>25</v>
      </c>
      <c r="C113" s="17"/>
      <c r="D113" s="86" t="str">
        <f>INDEX(Cad_Natureza!$B$3:$C$52,MATCH('2025'!F113,Cad_Natureza!$C$3:$C$52,0),MATCH('2025'!D$2,Cad_Natureza!$B$3:$C$3,0))</f>
        <v>OPF1</v>
      </c>
      <c r="E113" s="84" t="s">
        <v>134</v>
      </c>
      <c r="F113" s="85" t="s">
        <v>744</v>
      </c>
      <c r="G113" s="86" t="s">
        <v>25</v>
      </c>
      <c r="H113" s="87">
        <v>45701</v>
      </c>
      <c r="I113" s="87"/>
      <c r="J113" s="79" t="s">
        <v>182</v>
      </c>
      <c r="K113" s="62">
        <v>-23</v>
      </c>
      <c r="L113" s="68">
        <v>676.1700000000003</v>
      </c>
      <c r="M113" s="17"/>
      <c r="N113" s="21" t="str">
        <f t="shared" si="7"/>
        <v>MCSOPF1CPF - Desp. Alimentação / Refeição</v>
      </c>
      <c r="O113" s="21" t="str">
        <f t="shared" si="8"/>
        <v>OPF1CPF - Desp. Alimentação / Refeição</v>
      </c>
      <c r="P113" s="21" t="str">
        <f t="shared" si="9"/>
        <v>MCSOPF1CPF - Desp. Alimentação / Refeição</v>
      </c>
      <c r="Q113" s="21" t="str">
        <f t="shared" si="10"/>
        <v>MCSOPF1</v>
      </c>
      <c r="R113" s="21" t="str">
        <f t="shared" si="11"/>
        <v>MCSOPF1</v>
      </c>
      <c r="S113" s="17"/>
      <c r="T113" s="24">
        <f t="shared" si="12"/>
        <v>45689</v>
      </c>
      <c r="U113" s="24" t="str">
        <f t="shared" si="13"/>
        <v/>
      </c>
      <c r="V113" s="14" t="s">
        <v>761</v>
      </c>
    </row>
    <row r="114" spans="2:22" x14ac:dyDescent="0.25">
      <c r="B114" s="20" t="s">
        <v>25</v>
      </c>
      <c r="C114" s="17"/>
      <c r="D114" s="86" t="str">
        <f>INDEX(Cad_Natureza!$B$3:$C$52,MATCH('2025'!F114,Cad_Natureza!$C$3:$C$52,0),MATCH('2025'!D$2,Cad_Natureza!$B$3:$C$3,0))</f>
        <v>OPF2</v>
      </c>
      <c r="E114" s="84" t="s">
        <v>135</v>
      </c>
      <c r="F114" s="85" t="s">
        <v>741</v>
      </c>
      <c r="G114" s="86" t="s">
        <v>25</v>
      </c>
      <c r="H114" s="87">
        <v>45701</v>
      </c>
      <c r="I114" s="87"/>
      <c r="J114" s="79" t="s">
        <v>184</v>
      </c>
      <c r="K114" s="62">
        <v>-50</v>
      </c>
      <c r="L114" s="68">
        <v>626.1700000000003</v>
      </c>
      <c r="M114" s="17"/>
      <c r="N114" s="21" t="str">
        <f t="shared" si="7"/>
        <v>MCSOPF2CPF - Desp. Transporte / Combustível</v>
      </c>
      <c r="O114" s="21" t="str">
        <f t="shared" si="8"/>
        <v>OPF2CPF - Desp. Transporte / Combustível</v>
      </c>
      <c r="P114" s="21" t="str">
        <f t="shared" si="9"/>
        <v>MCSOPF2CPF - Desp. Transporte / Combustível</v>
      </c>
      <c r="Q114" s="21" t="str">
        <f t="shared" si="10"/>
        <v>MCSOPF2</v>
      </c>
      <c r="R114" s="21" t="str">
        <f t="shared" si="11"/>
        <v>MCSOPF2</v>
      </c>
      <c r="S114" s="17"/>
      <c r="T114" s="24">
        <f t="shared" si="12"/>
        <v>45689</v>
      </c>
      <c r="U114" s="24" t="str">
        <f t="shared" si="13"/>
        <v/>
      </c>
      <c r="V114" s="14" t="s">
        <v>761</v>
      </c>
    </row>
    <row r="115" spans="2:22" x14ac:dyDescent="0.25">
      <c r="B115" s="20" t="s">
        <v>25</v>
      </c>
      <c r="C115" s="17"/>
      <c r="D115" s="86" t="str">
        <f>INDEX(Cad_Natureza!$B$3:$C$52,MATCH('2025'!F115,Cad_Natureza!$C$3:$C$52,0),MATCH('2025'!D$2,Cad_Natureza!$B$3:$C$3,0))</f>
        <v>OPF1</v>
      </c>
      <c r="E115" s="84" t="s">
        <v>136</v>
      </c>
      <c r="F115" s="85" t="s">
        <v>744</v>
      </c>
      <c r="G115" s="86" t="s">
        <v>25</v>
      </c>
      <c r="H115" s="87">
        <v>45702</v>
      </c>
      <c r="I115" s="87"/>
      <c r="J115" s="79" t="s">
        <v>182</v>
      </c>
      <c r="K115" s="62">
        <v>-23</v>
      </c>
      <c r="L115" s="68">
        <v>603.1700000000003</v>
      </c>
      <c r="M115" s="17"/>
      <c r="N115" s="21" t="str">
        <f t="shared" si="7"/>
        <v>MCSOPF1CPF - Desp. Alimentação / Refeição</v>
      </c>
      <c r="O115" s="21" t="str">
        <f t="shared" si="8"/>
        <v>OPF1CPF - Desp. Alimentação / Refeição</v>
      </c>
      <c r="P115" s="21" t="str">
        <f t="shared" si="9"/>
        <v>MCSOPF1CPF - Desp. Alimentação / Refeição</v>
      </c>
      <c r="Q115" s="21" t="str">
        <f t="shared" si="10"/>
        <v>MCSOPF1</v>
      </c>
      <c r="R115" s="21" t="str">
        <f t="shared" si="11"/>
        <v>MCSOPF1</v>
      </c>
      <c r="S115" s="17"/>
      <c r="T115" s="24">
        <f t="shared" si="12"/>
        <v>45689</v>
      </c>
      <c r="U115" s="24" t="str">
        <f t="shared" si="13"/>
        <v/>
      </c>
      <c r="V115" s="14" t="s">
        <v>761</v>
      </c>
    </row>
    <row r="116" spans="2:22" x14ac:dyDescent="0.25">
      <c r="B116" s="20" t="s">
        <v>25</v>
      </c>
      <c r="C116" s="17"/>
      <c r="D116" s="86" t="str">
        <f>INDEX(Cad_Natureza!$B$3:$C$52,MATCH('2025'!F116,Cad_Natureza!$C$3:$C$52,0),MATCH('2025'!D$2,Cad_Natureza!$B$3:$C$3,0))</f>
        <v>OPF1</v>
      </c>
      <c r="E116" s="84" t="s">
        <v>137</v>
      </c>
      <c r="F116" s="85" t="s">
        <v>744</v>
      </c>
      <c r="G116" s="86" t="s">
        <v>25</v>
      </c>
      <c r="H116" s="87">
        <v>45705</v>
      </c>
      <c r="I116" s="87"/>
      <c r="J116" s="79" t="s">
        <v>182</v>
      </c>
      <c r="K116" s="62">
        <v>-23</v>
      </c>
      <c r="L116" s="68">
        <v>580.1700000000003</v>
      </c>
      <c r="M116" s="17"/>
      <c r="N116" s="21" t="str">
        <f t="shared" si="7"/>
        <v>MCSOPF1CPF - Desp. Alimentação / Refeição</v>
      </c>
      <c r="O116" s="21" t="str">
        <f t="shared" si="8"/>
        <v>OPF1CPF - Desp. Alimentação / Refeição</v>
      </c>
      <c r="P116" s="21" t="str">
        <f t="shared" si="9"/>
        <v>MCSOPF1CPF - Desp. Alimentação / Refeição</v>
      </c>
      <c r="Q116" s="21" t="str">
        <f t="shared" si="10"/>
        <v>MCSOPF1</v>
      </c>
      <c r="R116" s="21" t="str">
        <f t="shared" si="11"/>
        <v>MCSOPF1</v>
      </c>
      <c r="S116" s="17"/>
      <c r="T116" s="24">
        <f t="shared" si="12"/>
        <v>45689</v>
      </c>
      <c r="U116" s="24" t="str">
        <f t="shared" si="13"/>
        <v/>
      </c>
      <c r="V116" s="14" t="s">
        <v>761</v>
      </c>
    </row>
    <row r="117" spans="2:22" x14ac:dyDescent="0.25">
      <c r="B117" s="20" t="s">
        <v>25</v>
      </c>
      <c r="C117" s="17"/>
      <c r="D117" s="86" t="str">
        <f>INDEX(Cad_Natureza!$B$3:$C$52,MATCH('2025'!F117,Cad_Natureza!$C$3:$C$52,0),MATCH('2025'!D$2,Cad_Natureza!$B$3:$C$3,0))</f>
        <v>OPF2</v>
      </c>
      <c r="E117" s="84" t="s">
        <v>138</v>
      </c>
      <c r="F117" s="85" t="s">
        <v>741</v>
      </c>
      <c r="G117" s="86" t="s">
        <v>25</v>
      </c>
      <c r="H117" s="87">
        <v>45705</v>
      </c>
      <c r="I117" s="87"/>
      <c r="J117" s="79" t="s">
        <v>184</v>
      </c>
      <c r="K117" s="62">
        <v>-50</v>
      </c>
      <c r="L117" s="68">
        <v>530.1700000000003</v>
      </c>
      <c r="M117" s="17"/>
      <c r="N117" s="21" t="str">
        <f t="shared" si="7"/>
        <v>MCSOPF2CPF - Desp. Transporte / Combustível</v>
      </c>
      <c r="O117" s="21" t="str">
        <f t="shared" si="8"/>
        <v>OPF2CPF - Desp. Transporte / Combustível</v>
      </c>
      <c r="P117" s="21" t="str">
        <f t="shared" si="9"/>
        <v>MCSOPF2CPF - Desp. Transporte / Combustível</v>
      </c>
      <c r="Q117" s="21" t="str">
        <f t="shared" si="10"/>
        <v>MCSOPF2</v>
      </c>
      <c r="R117" s="21" t="str">
        <f t="shared" si="11"/>
        <v>MCSOPF2</v>
      </c>
      <c r="S117" s="17"/>
      <c r="T117" s="24">
        <f t="shared" si="12"/>
        <v>45689</v>
      </c>
      <c r="U117" s="24" t="str">
        <f t="shared" si="13"/>
        <v/>
      </c>
      <c r="V117" s="14" t="s">
        <v>761</v>
      </c>
    </row>
    <row r="118" spans="2:22" x14ac:dyDescent="0.25">
      <c r="B118" s="20" t="s">
        <v>25</v>
      </c>
      <c r="C118" s="17"/>
      <c r="D118" s="86" t="str">
        <f>INDEX(Cad_Natureza!$B$3:$C$52,MATCH('2025'!F118,Cad_Natureza!$C$3:$C$52,0),MATCH('2025'!D$2,Cad_Natureza!$B$3:$C$3,0))</f>
        <v>GAST1</v>
      </c>
      <c r="E118" s="84" t="s">
        <v>139</v>
      </c>
      <c r="F118" s="85" t="s">
        <v>742</v>
      </c>
      <c r="G118" s="86" t="s">
        <v>25</v>
      </c>
      <c r="H118" s="87">
        <v>45705</v>
      </c>
      <c r="I118" s="87"/>
      <c r="J118" s="79" t="s">
        <v>185</v>
      </c>
      <c r="K118" s="62">
        <v>-7</v>
      </c>
      <c r="L118" s="68">
        <v>523.1700000000003</v>
      </c>
      <c r="M118" s="17"/>
      <c r="N118" s="21" t="str">
        <f t="shared" si="7"/>
        <v>MCSGAST1CPF - Desp. Lazer e Entretenimento - Bares</v>
      </c>
      <c r="O118" s="21" t="str">
        <f t="shared" si="8"/>
        <v>GAST1CPF - Desp. Lazer e Entretenimento - Bares</v>
      </c>
      <c r="P118" s="21" t="str">
        <f t="shared" si="9"/>
        <v>MCSGAST1CPF - Desp. Lazer e Entretenimento - Bares</v>
      </c>
      <c r="Q118" s="21" t="str">
        <f t="shared" si="10"/>
        <v>MCSGAST1</v>
      </c>
      <c r="R118" s="21" t="str">
        <f t="shared" si="11"/>
        <v>MCSGAST1</v>
      </c>
      <c r="S118" s="17"/>
      <c r="T118" s="24">
        <f t="shared" si="12"/>
        <v>45689</v>
      </c>
      <c r="U118" s="24" t="str">
        <f t="shared" si="13"/>
        <v/>
      </c>
      <c r="V118" s="14" t="s">
        <v>761</v>
      </c>
    </row>
    <row r="119" spans="2:22" x14ac:dyDescent="0.25">
      <c r="B119" s="20" t="s">
        <v>25</v>
      </c>
      <c r="C119" s="17"/>
      <c r="D119" s="86" t="str">
        <f>INDEX(Cad_Natureza!$B$3:$C$52,MATCH('2025'!F119,Cad_Natureza!$C$3:$C$52,0),MATCH('2025'!D$2,Cad_Natureza!$B$3:$C$3,0))</f>
        <v>DESP2</v>
      </c>
      <c r="E119" s="84" t="s">
        <v>44</v>
      </c>
      <c r="F119" s="85" t="s">
        <v>739</v>
      </c>
      <c r="G119" s="86" t="s">
        <v>25</v>
      </c>
      <c r="H119" s="87">
        <v>45705</v>
      </c>
      <c r="I119" s="87"/>
      <c r="J119" s="79" t="s">
        <v>355</v>
      </c>
      <c r="K119" s="62">
        <v>-95.9</v>
      </c>
      <c r="L119" s="68">
        <v>427.27000000000032</v>
      </c>
      <c r="M119" s="17"/>
      <c r="N119" s="21" t="str">
        <f t="shared" si="7"/>
        <v>MCSDESP2CPF - Desp. Telefone / Internet</v>
      </c>
      <c r="O119" s="21" t="str">
        <f t="shared" si="8"/>
        <v>DESP2CPF - Desp. Telefone / Internet</v>
      </c>
      <c r="P119" s="21" t="str">
        <f t="shared" si="9"/>
        <v>MCSDESP2CPF - Desp. Telefone / Internet</v>
      </c>
      <c r="Q119" s="21" t="str">
        <f t="shared" si="10"/>
        <v>MCSDESP2</v>
      </c>
      <c r="R119" s="21" t="str">
        <f t="shared" si="11"/>
        <v>MCSDESP2</v>
      </c>
      <c r="S119" s="17"/>
      <c r="T119" s="24">
        <f t="shared" si="12"/>
        <v>45689</v>
      </c>
      <c r="U119" s="24" t="str">
        <f t="shared" si="13"/>
        <v/>
      </c>
      <c r="V119" s="14" t="s">
        <v>761</v>
      </c>
    </row>
    <row r="120" spans="2:22" x14ac:dyDescent="0.25">
      <c r="B120" s="20" t="s">
        <v>25</v>
      </c>
      <c r="C120" s="17"/>
      <c r="D120" s="86" t="str">
        <f>INDEX(Cad_Natureza!$B$3:$C$52,MATCH('2025'!F120,Cad_Natureza!$C$3:$C$52,0),MATCH('2025'!D$2,Cad_Natureza!$B$3:$C$3,0))</f>
        <v>OPF1</v>
      </c>
      <c r="E120" s="84" t="s">
        <v>140</v>
      </c>
      <c r="F120" s="85" t="s">
        <v>744</v>
      </c>
      <c r="G120" s="86" t="s">
        <v>25</v>
      </c>
      <c r="H120" s="87">
        <v>45706</v>
      </c>
      <c r="I120" s="87"/>
      <c r="J120" s="79" t="s">
        <v>182</v>
      </c>
      <c r="K120" s="62">
        <v>-23</v>
      </c>
      <c r="L120" s="68">
        <v>404.27000000000032</v>
      </c>
      <c r="M120" s="17"/>
      <c r="N120" s="21" t="str">
        <f t="shared" si="7"/>
        <v>MCSOPF1CPF - Desp. Alimentação / Refeição</v>
      </c>
      <c r="O120" s="21" t="str">
        <f t="shared" si="8"/>
        <v>OPF1CPF - Desp. Alimentação / Refeição</v>
      </c>
      <c r="P120" s="21" t="str">
        <f t="shared" si="9"/>
        <v>MCSOPF1CPF - Desp. Alimentação / Refeição</v>
      </c>
      <c r="Q120" s="21" t="str">
        <f t="shared" si="10"/>
        <v>MCSOPF1</v>
      </c>
      <c r="R120" s="21" t="str">
        <f t="shared" si="11"/>
        <v>MCSOPF1</v>
      </c>
      <c r="S120" s="17"/>
      <c r="T120" s="24">
        <f t="shared" si="12"/>
        <v>45689</v>
      </c>
      <c r="U120" s="24" t="str">
        <f t="shared" si="13"/>
        <v/>
      </c>
      <c r="V120" s="14" t="s">
        <v>761</v>
      </c>
    </row>
    <row r="121" spans="2:22" x14ac:dyDescent="0.25">
      <c r="B121" s="20" t="s">
        <v>25</v>
      </c>
      <c r="C121" s="17"/>
      <c r="D121" s="86" t="str">
        <f>INDEX(Cad_Natureza!$B$3:$C$52,MATCH('2025'!F121,Cad_Natureza!$C$3:$C$52,0),MATCH('2025'!D$2,Cad_Natureza!$B$3:$C$3,0))</f>
        <v>GAST2</v>
      </c>
      <c r="E121" s="84" t="s">
        <v>141</v>
      </c>
      <c r="F121" s="85" t="s">
        <v>743</v>
      </c>
      <c r="G121" s="86" t="s">
        <v>25</v>
      </c>
      <c r="H121" s="87">
        <v>45706</v>
      </c>
      <c r="I121" s="87"/>
      <c r="J121" s="79" t="s">
        <v>180</v>
      </c>
      <c r="K121" s="62">
        <v>-36</v>
      </c>
      <c r="L121" s="68">
        <v>368.27000000000032</v>
      </c>
      <c r="M121" s="17"/>
      <c r="N121" s="21" t="str">
        <f t="shared" si="7"/>
        <v>MCSGAST2CPF - Desp. Lazer e Entretenimento - Cigarro</v>
      </c>
      <c r="O121" s="21" t="str">
        <f t="shared" si="8"/>
        <v>GAST2CPF - Desp. Lazer e Entretenimento - Cigarro</v>
      </c>
      <c r="P121" s="21" t="str">
        <f t="shared" si="9"/>
        <v>MCSGAST2CPF - Desp. Lazer e Entretenimento - Cigarro</v>
      </c>
      <c r="Q121" s="21" t="str">
        <f t="shared" si="10"/>
        <v>MCSGAST2</v>
      </c>
      <c r="R121" s="21" t="str">
        <f t="shared" si="11"/>
        <v>MCSGAST2</v>
      </c>
      <c r="S121" s="17"/>
      <c r="T121" s="24">
        <f t="shared" si="12"/>
        <v>45689</v>
      </c>
      <c r="U121" s="24" t="str">
        <f t="shared" si="13"/>
        <v/>
      </c>
      <c r="V121" s="14" t="s">
        <v>761</v>
      </c>
    </row>
    <row r="122" spans="2:22" x14ac:dyDescent="0.25">
      <c r="B122" s="20" t="s">
        <v>25</v>
      </c>
      <c r="C122" s="17"/>
      <c r="D122" s="86" t="str">
        <f>INDEX(Cad_Natureza!$B$3:$C$52,MATCH('2025'!F122,Cad_Natureza!$C$3:$C$52,0),MATCH('2025'!D$2,Cad_Natureza!$B$3:$C$3,0))</f>
        <v>OPF1</v>
      </c>
      <c r="E122" s="84" t="s">
        <v>142</v>
      </c>
      <c r="F122" s="85" t="s">
        <v>744</v>
      </c>
      <c r="G122" s="86" t="s">
        <v>25</v>
      </c>
      <c r="H122" s="87">
        <v>45707</v>
      </c>
      <c r="I122" s="87"/>
      <c r="J122" s="79" t="s">
        <v>182</v>
      </c>
      <c r="K122" s="62">
        <v>-23</v>
      </c>
      <c r="L122" s="68">
        <v>345.27000000000032</v>
      </c>
      <c r="M122" s="17"/>
      <c r="N122" s="21" t="str">
        <f t="shared" si="7"/>
        <v>MCSOPF1CPF - Desp. Alimentação / Refeição</v>
      </c>
      <c r="O122" s="21" t="str">
        <f t="shared" si="8"/>
        <v>OPF1CPF - Desp. Alimentação / Refeição</v>
      </c>
      <c r="P122" s="21" t="str">
        <f t="shared" si="9"/>
        <v>MCSOPF1CPF - Desp. Alimentação / Refeição</v>
      </c>
      <c r="Q122" s="21" t="str">
        <f t="shared" si="10"/>
        <v>MCSOPF1</v>
      </c>
      <c r="R122" s="21" t="str">
        <f t="shared" si="11"/>
        <v>MCSOPF1</v>
      </c>
      <c r="S122" s="17"/>
      <c r="T122" s="24">
        <f t="shared" si="12"/>
        <v>45689</v>
      </c>
      <c r="U122" s="24" t="str">
        <f t="shared" si="13"/>
        <v/>
      </c>
      <c r="V122" s="14" t="s">
        <v>761</v>
      </c>
    </row>
    <row r="123" spans="2:22" x14ac:dyDescent="0.25">
      <c r="B123" s="20" t="s">
        <v>25</v>
      </c>
      <c r="C123" s="17"/>
      <c r="D123" s="86" t="str">
        <f>INDEX(Cad_Natureza!$B$3:$C$52,MATCH('2025'!F123,Cad_Natureza!$C$3:$C$52,0),MATCH('2025'!D$2,Cad_Natureza!$B$3:$C$3,0))</f>
        <v>OPF1</v>
      </c>
      <c r="E123" s="84" t="s">
        <v>143</v>
      </c>
      <c r="F123" s="85" t="s">
        <v>744</v>
      </c>
      <c r="G123" s="86" t="s">
        <v>25</v>
      </c>
      <c r="H123" s="87">
        <v>45708</v>
      </c>
      <c r="I123" s="87"/>
      <c r="J123" s="79" t="s">
        <v>182</v>
      </c>
      <c r="K123" s="62">
        <v>-23</v>
      </c>
      <c r="L123" s="68">
        <v>322.27000000000032</v>
      </c>
      <c r="M123" s="17"/>
      <c r="N123" s="21" t="str">
        <f t="shared" si="7"/>
        <v>MCSOPF1CPF - Desp. Alimentação / Refeição</v>
      </c>
      <c r="O123" s="21" t="str">
        <f t="shared" si="8"/>
        <v>OPF1CPF - Desp. Alimentação / Refeição</v>
      </c>
      <c r="P123" s="21" t="str">
        <f t="shared" si="9"/>
        <v>MCSOPF1CPF - Desp. Alimentação / Refeição</v>
      </c>
      <c r="Q123" s="21" t="str">
        <f t="shared" si="10"/>
        <v>MCSOPF1</v>
      </c>
      <c r="R123" s="21" t="str">
        <f t="shared" si="11"/>
        <v>MCSOPF1</v>
      </c>
      <c r="S123" s="17"/>
      <c r="T123" s="24">
        <f t="shared" si="12"/>
        <v>45689</v>
      </c>
      <c r="U123" s="24" t="str">
        <f t="shared" si="13"/>
        <v/>
      </c>
      <c r="V123" s="14" t="s">
        <v>761</v>
      </c>
    </row>
    <row r="124" spans="2:22" x14ac:dyDescent="0.25">
      <c r="B124" s="20" t="s">
        <v>25</v>
      </c>
      <c r="C124" s="17"/>
      <c r="D124" s="86" t="str">
        <f>INDEX(Cad_Natureza!$B$3:$C$52,MATCH('2025'!F124,Cad_Natureza!$C$3:$C$52,0),MATCH('2025'!D$2,Cad_Natureza!$B$3:$C$3,0))</f>
        <v>OPF2</v>
      </c>
      <c r="E124" s="84" t="s">
        <v>144</v>
      </c>
      <c r="F124" s="85" t="s">
        <v>741</v>
      </c>
      <c r="G124" s="86" t="s">
        <v>25</v>
      </c>
      <c r="H124" s="87">
        <v>45708</v>
      </c>
      <c r="I124" s="87"/>
      <c r="J124" s="79" t="s">
        <v>184</v>
      </c>
      <c r="K124" s="62">
        <v>-50</v>
      </c>
      <c r="L124" s="68">
        <v>272.27000000000032</v>
      </c>
      <c r="M124" s="17"/>
      <c r="N124" s="21" t="str">
        <f t="shared" si="7"/>
        <v>MCSOPF2CPF - Desp. Transporte / Combustível</v>
      </c>
      <c r="O124" s="21" t="str">
        <f t="shared" si="8"/>
        <v>OPF2CPF - Desp. Transporte / Combustível</v>
      </c>
      <c r="P124" s="21" t="str">
        <f t="shared" si="9"/>
        <v>MCSOPF2CPF - Desp. Transporte / Combustível</v>
      </c>
      <c r="Q124" s="21" t="str">
        <f t="shared" si="10"/>
        <v>MCSOPF2</v>
      </c>
      <c r="R124" s="21" t="str">
        <f t="shared" si="11"/>
        <v>MCSOPF2</v>
      </c>
      <c r="S124" s="17"/>
      <c r="T124" s="24">
        <f t="shared" si="12"/>
        <v>45689</v>
      </c>
      <c r="U124" s="24" t="str">
        <f t="shared" si="13"/>
        <v/>
      </c>
      <c r="V124" s="14" t="s">
        <v>761</v>
      </c>
    </row>
    <row r="125" spans="2:22" x14ac:dyDescent="0.25">
      <c r="B125" s="20" t="s">
        <v>25</v>
      </c>
      <c r="C125" s="17"/>
      <c r="D125" s="86" t="str">
        <f>INDEX(Cad_Natureza!$B$3:$C$52,MATCH('2025'!F125,Cad_Natureza!$C$3:$C$52,0),MATCH('2025'!D$2,Cad_Natureza!$B$3:$C$3,0))</f>
        <v>OPF1</v>
      </c>
      <c r="E125" s="84" t="s">
        <v>145</v>
      </c>
      <c r="F125" s="85" t="s">
        <v>744</v>
      </c>
      <c r="G125" s="86" t="s">
        <v>25</v>
      </c>
      <c r="H125" s="87">
        <v>45708</v>
      </c>
      <c r="I125" s="87"/>
      <c r="J125" s="79" t="s">
        <v>185</v>
      </c>
      <c r="K125" s="62">
        <v>-18</v>
      </c>
      <c r="L125" s="68">
        <v>254.27000000000032</v>
      </c>
      <c r="M125" s="17"/>
      <c r="N125" s="21" t="str">
        <f t="shared" si="7"/>
        <v>MCSOPF1CPF - Desp. Alimentação / Refeição</v>
      </c>
      <c r="O125" s="21" t="str">
        <f t="shared" si="8"/>
        <v>OPF1CPF - Desp. Alimentação / Refeição</v>
      </c>
      <c r="P125" s="21" t="str">
        <f t="shared" si="9"/>
        <v>MCSOPF1CPF - Desp. Alimentação / Refeição</v>
      </c>
      <c r="Q125" s="21" t="str">
        <f t="shared" si="10"/>
        <v>MCSOPF1</v>
      </c>
      <c r="R125" s="21" t="str">
        <f t="shared" si="11"/>
        <v>MCSOPF1</v>
      </c>
      <c r="S125" s="17"/>
      <c r="T125" s="24">
        <f t="shared" si="12"/>
        <v>45689</v>
      </c>
      <c r="U125" s="24" t="str">
        <f t="shared" si="13"/>
        <v/>
      </c>
      <c r="V125" s="14" t="s">
        <v>761</v>
      </c>
    </row>
    <row r="126" spans="2:22" x14ac:dyDescent="0.25">
      <c r="B126" s="20" t="s">
        <v>25</v>
      </c>
      <c r="C126" s="17"/>
      <c r="D126" s="86" t="str">
        <f>INDEX(Cad_Natureza!$B$3:$C$52,MATCH('2025'!F126,Cad_Natureza!$C$3:$C$52,0),MATCH('2025'!D$2,Cad_Natureza!$B$3:$C$3,0))</f>
        <v>GAST1</v>
      </c>
      <c r="E126" s="84" t="s">
        <v>146</v>
      </c>
      <c r="F126" s="85" t="s">
        <v>742</v>
      </c>
      <c r="G126" s="86" t="s">
        <v>25</v>
      </c>
      <c r="H126" s="87">
        <v>45708</v>
      </c>
      <c r="I126" s="87"/>
      <c r="J126" s="79" t="s">
        <v>185</v>
      </c>
      <c r="K126" s="62">
        <v>-4</v>
      </c>
      <c r="L126" s="68">
        <v>250.27000000000032</v>
      </c>
      <c r="M126" s="17"/>
      <c r="N126" s="21" t="str">
        <f t="shared" si="7"/>
        <v>MCSGAST1CPF - Desp. Lazer e Entretenimento - Bares</v>
      </c>
      <c r="O126" s="21" t="str">
        <f t="shared" si="8"/>
        <v>GAST1CPF - Desp. Lazer e Entretenimento - Bares</v>
      </c>
      <c r="P126" s="21" t="str">
        <f t="shared" si="9"/>
        <v>MCSGAST1CPF - Desp. Lazer e Entretenimento - Bares</v>
      </c>
      <c r="Q126" s="21" t="str">
        <f t="shared" si="10"/>
        <v>MCSGAST1</v>
      </c>
      <c r="R126" s="21" t="str">
        <f t="shared" si="11"/>
        <v>MCSGAST1</v>
      </c>
      <c r="S126" s="17"/>
      <c r="T126" s="24">
        <f t="shared" si="12"/>
        <v>45689</v>
      </c>
      <c r="U126" s="24" t="str">
        <f t="shared" si="13"/>
        <v/>
      </c>
      <c r="V126" s="14" t="s">
        <v>761</v>
      </c>
    </row>
    <row r="127" spans="2:22" x14ac:dyDescent="0.25">
      <c r="B127" s="20" t="s">
        <v>25</v>
      </c>
      <c r="C127" s="17"/>
      <c r="D127" s="86" t="str">
        <f>INDEX(Cad_Natureza!$B$3:$C$52,MATCH('2025'!F127,Cad_Natureza!$C$3:$C$52,0),MATCH('2025'!D$2,Cad_Natureza!$B$3:$C$3,0))</f>
        <v>GAST1</v>
      </c>
      <c r="E127" s="84" t="s">
        <v>146</v>
      </c>
      <c r="F127" s="85" t="s">
        <v>742</v>
      </c>
      <c r="G127" s="86" t="s">
        <v>25</v>
      </c>
      <c r="H127" s="87">
        <v>45708</v>
      </c>
      <c r="I127" s="87"/>
      <c r="J127" s="79" t="s">
        <v>185</v>
      </c>
      <c r="K127" s="62">
        <v>-2</v>
      </c>
      <c r="L127" s="68">
        <v>248.27000000000032</v>
      </c>
      <c r="M127" s="17"/>
      <c r="N127" s="21" t="str">
        <f t="shared" si="7"/>
        <v>MCSGAST1CPF - Desp. Lazer e Entretenimento - Bares</v>
      </c>
      <c r="O127" s="21" t="str">
        <f t="shared" si="8"/>
        <v>GAST1CPF - Desp. Lazer e Entretenimento - Bares</v>
      </c>
      <c r="P127" s="21" t="str">
        <f t="shared" si="9"/>
        <v>MCSGAST1CPF - Desp. Lazer e Entretenimento - Bares</v>
      </c>
      <c r="Q127" s="21" t="str">
        <f t="shared" si="10"/>
        <v>MCSGAST1</v>
      </c>
      <c r="R127" s="21" t="str">
        <f t="shared" si="11"/>
        <v>MCSGAST1</v>
      </c>
      <c r="S127" s="17"/>
      <c r="T127" s="24">
        <f t="shared" si="12"/>
        <v>45689</v>
      </c>
      <c r="U127" s="24" t="str">
        <f t="shared" si="13"/>
        <v/>
      </c>
      <c r="V127" s="14" t="s">
        <v>761</v>
      </c>
    </row>
    <row r="128" spans="2:22" x14ac:dyDescent="0.25">
      <c r="B128" s="20" t="s">
        <v>25</v>
      </c>
      <c r="C128" s="17"/>
      <c r="D128" s="86" t="str">
        <f>INDEX(Cad_Natureza!$B$3:$C$52,MATCH('2025'!F128,Cad_Natureza!$C$3:$C$52,0),MATCH('2025'!D$2,Cad_Natureza!$B$3:$C$3,0))</f>
        <v>DESP1</v>
      </c>
      <c r="E128" s="84" t="s">
        <v>147</v>
      </c>
      <c r="F128" s="85" t="s">
        <v>733</v>
      </c>
      <c r="G128" s="86" t="s">
        <v>25</v>
      </c>
      <c r="H128" s="87">
        <v>45708</v>
      </c>
      <c r="I128" s="87"/>
      <c r="J128" s="79" t="s">
        <v>194</v>
      </c>
      <c r="K128" s="62">
        <v>-166.38</v>
      </c>
      <c r="L128" s="68">
        <v>81.890000000000327</v>
      </c>
      <c r="M128" s="17"/>
      <c r="N128" s="21" t="str">
        <f t="shared" si="7"/>
        <v>MCSDESP1CPF - Desp. Cartão de crédito</v>
      </c>
      <c r="O128" s="21" t="str">
        <f t="shared" si="8"/>
        <v>DESP1CPF - Desp. Cartão de crédito</v>
      </c>
      <c r="P128" s="21" t="str">
        <f t="shared" si="9"/>
        <v>MCSDESP1CPF - Desp. Cartão de crédito</v>
      </c>
      <c r="Q128" s="21" t="str">
        <f t="shared" si="10"/>
        <v>MCSDESP1</v>
      </c>
      <c r="R128" s="21" t="str">
        <f t="shared" si="11"/>
        <v>MCSDESP1</v>
      </c>
      <c r="S128" s="17"/>
      <c r="T128" s="24">
        <f t="shared" si="12"/>
        <v>45689</v>
      </c>
      <c r="U128" s="24" t="str">
        <f t="shared" si="13"/>
        <v/>
      </c>
      <c r="V128" s="14" t="s">
        <v>761</v>
      </c>
    </row>
    <row r="129" spans="2:22" x14ac:dyDescent="0.25">
      <c r="B129" s="20" t="s">
        <v>25</v>
      </c>
      <c r="C129" s="17"/>
      <c r="D129" s="86" t="str">
        <f>INDEX(Cad_Natureza!$B$3:$C$52,MATCH('2025'!F129,Cad_Natureza!$C$3:$C$52,0),MATCH('2025'!D$2,Cad_Natureza!$B$3:$C$3,0))</f>
        <v>FIN2</v>
      </c>
      <c r="E129" s="84" t="s">
        <v>45</v>
      </c>
      <c r="F129" s="85" t="s">
        <v>751</v>
      </c>
      <c r="G129" s="86" t="s">
        <v>25</v>
      </c>
      <c r="H129" s="87">
        <v>45708</v>
      </c>
      <c r="I129" s="87"/>
      <c r="J129" s="79" t="s">
        <v>193</v>
      </c>
      <c r="K129" s="62">
        <v>-0.14000000000000001</v>
      </c>
      <c r="L129" s="68">
        <v>81.750000000000327</v>
      </c>
      <c r="M129" s="17"/>
      <c r="N129" s="21" t="str">
        <f t="shared" si="7"/>
        <v>MCSFIN2CPF - Desp. Financeiras - Juros / Tarifas</v>
      </c>
      <c r="O129" s="21" t="str">
        <f t="shared" si="8"/>
        <v>FIN2CPF - Desp. Financeiras - Juros / Tarifas</v>
      </c>
      <c r="P129" s="21" t="str">
        <f t="shared" si="9"/>
        <v>MCSFIN2CPF - Desp. Financeiras - Juros / Tarifas</v>
      </c>
      <c r="Q129" s="21" t="str">
        <f t="shared" si="10"/>
        <v>MCSFIN2</v>
      </c>
      <c r="R129" s="21" t="str">
        <f t="shared" si="11"/>
        <v>MCSFIN2</v>
      </c>
      <c r="S129" s="17"/>
      <c r="T129" s="24">
        <f t="shared" si="12"/>
        <v>45689</v>
      </c>
      <c r="U129" s="24" t="str">
        <f t="shared" si="13"/>
        <v/>
      </c>
      <c r="V129" s="14" t="s">
        <v>761</v>
      </c>
    </row>
    <row r="130" spans="2:22" x14ac:dyDescent="0.25">
      <c r="B130" s="20" t="s">
        <v>25</v>
      </c>
      <c r="C130" s="17"/>
      <c r="D130" s="86" t="str">
        <f>INDEX(Cad_Natureza!$B$3:$C$52,MATCH('2025'!F130,Cad_Natureza!$C$3:$C$52,0),MATCH('2025'!D$2,Cad_Natureza!$B$3:$C$3,0))</f>
        <v>OPF1</v>
      </c>
      <c r="E130" s="84" t="s">
        <v>148</v>
      </c>
      <c r="F130" s="85" t="s">
        <v>744</v>
      </c>
      <c r="G130" s="86" t="s">
        <v>25</v>
      </c>
      <c r="H130" s="87">
        <v>45709</v>
      </c>
      <c r="I130" s="87"/>
      <c r="J130" s="79" t="s">
        <v>182</v>
      </c>
      <c r="K130" s="62">
        <v>-23</v>
      </c>
      <c r="L130" s="68">
        <v>58.750000000000327</v>
      </c>
      <c r="M130" s="17"/>
      <c r="N130" s="21" t="str">
        <f t="shared" si="7"/>
        <v>MCSOPF1CPF - Desp. Alimentação / Refeição</v>
      </c>
      <c r="O130" s="21" t="str">
        <f t="shared" si="8"/>
        <v>OPF1CPF - Desp. Alimentação / Refeição</v>
      </c>
      <c r="P130" s="21" t="str">
        <f t="shared" si="9"/>
        <v>MCSOPF1CPF - Desp. Alimentação / Refeição</v>
      </c>
      <c r="Q130" s="21" t="str">
        <f t="shared" si="10"/>
        <v>MCSOPF1</v>
      </c>
      <c r="R130" s="21" t="str">
        <f t="shared" si="11"/>
        <v>MCSOPF1</v>
      </c>
      <c r="S130" s="17"/>
      <c r="T130" s="24">
        <f t="shared" si="12"/>
        <v>45689</v>
      </c>
      <c r="U130" s="24" t="str">
        <f t="shared" si="13"/>
        <v/>
      </c>
      <c r="V130" s="14" t="s">
        <v>761</v>
      </c>
    </row>
    <row r="131" spans="2:22" x14ac:dyDescent="0.25">
      <c r="B131" s="20" t="s">
        <v>25</v>
      </c>
      <c r="C131" s="17"/>
      <c r="D131" s="86" t="str">
        <f>INDEX(Cad_Natureza!$B$3:$C$52,MATCH('2025'!F131,Cad_Natureza!$C$3:$C$52,0),MATCH('2025'!D$2,Cad_Natureza!$B$3:$C$3,0))</f>
        <v>GAST1</v>
      </c>
      <c r="E131" s="84" t="s">
        <v>149</v>
      </c>
      <c r="F131" s="85" t="s">
        <v>742</v>
      </c>
      <c r="G131" s="86" t="s">
        <v>25</v>
      </c>
      <c r="H131" s="87">
        <v>45709</v>
      </c>
      <c r="I131" s="87"/>
      <c r="J131" s="79" t="s">
        <v>185</v>
      </c>
      <c r="K131" s="62">
        <v>-8</v>
      </c>
      <c r="L131" s="68">
        <v>50.750000000000327</v>
      </c>
      <c r="M131" s="17"/>
      <c r="N131" s="21" t="str">
        <f t="shared" ref="N131:N194" si="14">B131&amp;D131&amp;F131</f>
        <v>MCSGAST1CPF - Desp. Lazer e Entretenimento - Bares</v>
      </c>
      <c r="O131" s="21" t="str">
        <f t="shared" ref="O131:O194" si="15">D131&amp;F131</f>
        <v>GAST1CPF - Desp. Lazer e Entretenimento - Bares</v>
      </c>
      <c r="P131" s="21" t="str">
        <f t="shared" ref="P131:P194" si="16">"MCS"&amp;D131&amp;F131</f>
        <v>MCSGAST1CPF - Desp. Lazer e Entretenimento - Bares</v>
      </c>
      <c r="Q131" s="21" t="str">
        <f t="shared" ref="Q131:Q194" si="17">"MCS"&amp;D131</f>
        <v>MCSGAST1</v>
      </c>
      <c r="R131" s="21" t="str">
        <f t="shared" ref="R131:R194" si="18">B131&amp;D131</f>
        <v>MCSGAST1</v>
      </c>
      <c r="S131" s="17"/>
      <c r="T131" s="24">
        <f t="shared" ref="T131:T194" si="19">(1&amp;"/"&amp;MONTH(H131)&amp;"/"&amp;YEAR(H131))*1</f>
        <v>45689</v>
      </c>
      <c r="U131" s="24" t="str">
        <f t="shared" ref="U131:U194" si="20">IF(I131="","",(1&amp;"/"&amp;MONTH(I131)&amp;"/"&amp;YEAR(I131))*1)</f>
        <v/>
      </c>
      <c r="V131" s="14" t="s">
        <v>761</v>
      </c>
    </row>
    <row r="132" spans="2:22" x14ac:dyDescent="0.25">
      <c r="B132" s="20" t="s">
        <v>25</v>
      </c>
      <c r="C132" s="17"/>
      <c r="D132" s="86" t="str">
        <f>INDEX(Cad_Natureza!$B$3:$C$52,MATCH('2025'!F132,Cad_Natureza!$C$3:$C$52,0),MATCH('2025'!D$2,Cad_Natureza!$B$3:$C$3,0))</f>
        <v>GAST1</v>
      </c>
      <c r="E132" s="84" t="s">
        <v>150</v>
      </c>
      <c r="F132" s="85" t="s">
        <v>742</v>
      </c>
      <c r="G132" s="86" t="s">
        <v>25</v>
      </c>
      <c r="H132" s="87">
        <v>45709</v>
      </c>
      <c r="I132" s="87"/>
      <c r="J132" s="79" t="s">
        <v>185</v>
      </c>
      <c r="K132" s="62">
        <v>-7</v>
      </c>
      <c r="L132" s="68">
        <v>43.750000000000327</v>
      </c>
      <c r="M132" s="17"/>
      <c r="N132" s="21" t="str">
        <f t="shared" si="14"/>
        <v>MCSGAST1CPF - Desp. Lazer e Entretenimento - Bares</v>
      </c>
      <c r="O132" s="21" t="str">
        <f t="shared" si="15"/>
        <v>GAST1CPF - Desp. Lazer e Entretenimento - Bares</v>
      </c>
      <c r="P132" s="21" t="str">
        <f t="shared" si="16"/>
        <v>MCSGAST1CPF - Desp. Lazer e Entretenimento - Bares</v>
      </c>
      <c r="Q132" s="21" t="str">
        <f t="shared" si="17"/>
        <v>MCSGAST1</v>
      </c>
      <c r="R132" s="21" t="str">
        <f t="shared" si="18"/>
        <v>MCSGAST1</v>
      </c>
      <c r="S132" s="17"/>
      <c r="T132" s="24">
        <f t="shared" si="19"/>
        <v>45689</v>
      </c>
      <c r="U132" s="24" t="str">
        <f t="shared" si="20"/>
        <v/>
      </c>
      <c r="V132" s="14" t="s">
        <v>761</v>
      </c>
    </row>
    <row r="133" spans="2:22" x14ac:dyDescent="0.25">
      <c r="B133" s="20" t="s">
        <v>25</v>
      </c>
      <c r="C133" s="17"/>
      <c r="D133" s="86" t="str">
        <f>INDEX(Cad_Natureza!$B$3:$C$52,MATCH('2025'!F133,Cad_Natureza!$C$3:$C$52,0),MATCH('2025'!D$2,Cad_Natureza!$B$3:$C$3,0))</f>
        <v>GAST2</v>
      </c>
      <c r="E133" s="84" t="s">
        <v>151</v>
      </c>
      <c r="F133" s="85" t="s">
        <v>743</v>
      </c>
      <c r="G133" s="86" t="s">
        <v>25</v>
      </c>
      <c r="H133" s="87">
        <v>45709</v>
      </c>
      <c r="I133" s="87"/>
      <c r="J133" s="79" t="s">
        <v>192</v>
      </c>
      <c r="K133" s="62">
        <v>-5</v>
      </c>
      <c r="L133" s="68">
        <v>38.750000000000327</v>
      </c>
      <c r="M133" s="17"/>
      <c r="N133" s="21" t="str">
        <f t="shared" si="14"/>
        <v>MCSGAST2CPF - Desp. Lazer e Entretenimento - Cigarro</v>
      </c>
      <c r="O133" s="21" t="str">
        <f t="shared" si="15"/>
        <v>GAST2CPF - Desp. Lazer e Entretenimento - Cigarro</v>
      </c>
      <c r="P133" s="21" t="str">
        <f t="shared" si="16"/>
        <v>MCSGAST2CPF - Desp. Lazer e Entretenimento - Cigarro</v>
      </c>
      <c r="Q133" s="21" t="str">
        <f t="shared" si="17"/>
        <v>MCSGAST2</v>
      </c>
      <c r="R133" s="21" t="str">
        <f t="shared" si="18"/>
        <v>MCSGAST2</v>
      </c>
      <c r="S133" s="17"/>
      <c r="T133" s="24">
        <f t="shared" si="19"/>
        <v>45689</v>
      </c>
      <c r="U133" s="24" t="str">
        <f t="shared" si="20"/>
        <v/>
      </c>
      <c r="V133" s="14" t="s">
        <v>761</v>
      </c>
    </row>
    <row r="134" spans="2:22" x14ac:dyDescent="0.25">
      <c r="B134" s="20" t="s">
        <v>25</v>
      </c>
      <c r="C134" s="17"/>
      <c r="D134" s="86" t="str">
        <f>INDEX(Cad_Natureza!$B$3:$C$52,MATCH('2025'!F134,Cad_Natureza!$C$3:$C$52,0),MATCH('2025'!D$2,Cad_Natureza!$B$3:$C$3,0))</f>
        <v>OPF1</v>
      </c>
      <c r="E134" s="84" t="s">
        <v>152</v>
      </c>
      <c r="F134" s="85" t="s">
        <v>744</v>
      </c>
      <c r="G134" s="86" t="s">
        <v>25</v>
      </c>
      <c r="H134" s="87">
        <v>45712</v>
      </c>
      <c r="I134" s="87"/>
      <c r="J134" s="79" t="s">
        <v>182</v>
      </c>
      <c r="K134" s="62">
        <v>-23</v>
      </c>
      <c r="L134" s="68">
        <v>15.750000000000327</v>
      </c>
      <c r="M134" s="17"/>
      <c r="N134" s="21" t="str">
        <f t="shared" si="14"/>
        <v>MCSOPF1CPF - Desp. Alimentação / Refeição</v>
      </c>
      <c r="O134" s="21" t="str">
        <f t="shared" si="15"/>
        <v>OPF1CPF - Desp. Alimentação / Refeição</v>
      </c>
      <c r="P134" s="21" t="str">
        <f t="shared" si="16"/>
        <v>MCSOPF1CPF - Desp. Alimentação / Refeição</v>
      </c>
      <c r="Q134" s="21" t="str">
        <f t="shared" si="17"/>
        <v>MCSOPF1</v>
      </c>
      <c r="R134" s="21" t="str">
        <f t="shared" si="18"/>
        <v>MCSOPF1</v>
      </c>
      <c r="S134" s="17"/>
      <c r="T134" s="24">
        <f t="shared" si="19"/>
        <v>45689</v>
      </c>
      <c r="U134" s="24" t="str">
        <f t="shared" si="20"/>
        <v/>
      </c>
      <c r="V134" s="14" t="s">
        <v>761</v>
      </c>
    </row>
    <row r="135" spans="2:22" x14ac:dyDescent="0.25">
      <c r="B135" s="20" t="s">
        <v>25</v>
      </c>
      <c r="C135" s="17"/>
      <c r="D135" s="86" t="str">
        <f>INDEX(Cad_Natureza!$B$3:$C$52,MATCH('2025'!F135,Cad_Natureza!$C$3:$C$52,0),MATCH('2025'!D$2,Cad_Natureza!$B$3:$C$3,0))</f>
        <v>OPF2</v>
      </c>
      <c r="E135" s="84" t="s">
        <v>768</v>
      </c>
      <c r="F135" s="85" t="s">
        <v>741</v>
      </c>
      <c r="G135" s="86" t="s">
        <v>25</v>
      </c>
      <c r="H135" s="87">
        <v>45712</v>
      </c>
      <c r="I135" s="87"/>
      <c r="J135" s="79" t="s">
        <v>184</v>
      </c>
      <c r="K135" s="62">
        <v>-20</v>
      </c>
      <c r="L135" s="62">
        <v>-4.2499999999996732</v>
      </c>
      <c r="M135" s="17"/>
      <c r="N135" s="21" t="str">
        <f t="shared" si="14"/>
        <v>MCSOPF2CPF - Desp. Transporte / Combustível</v>
      </c>
      <c r="O135" s="21" t="str">
        <f t="shared" si="15"/>
        <v>OPF2CPF - Desp. Transporte / Combustível</v>
      </c>
      <c r="P135" s="21" t="str">
        <f t="shared" si="16"/>
        <v>MCSOPF2CPF - Desp. Transporte / Combustível</v>
      </c>
      <c r="Q135" s="21" t="str">
        <f t="shared" si="17"/>
        <v>MCSOPF2</v>
      </c>
      <c r="R135" s="21" t="str">
        <f t="shared" si="18"/>
        <v>MCSOPF2</v>
      </c>
      <c r="S135" s="17"/>
      <c r="T135" s="24">
        <f t="shared" si="19"/>
        <v>45689</v>
      </c>
      <c r="U135" s="24" t="str">
        <f t="shared" si="20"/>
        <v/>
      </c>
      <c r="V135" s="14" t="s">
        <v>761</v>
      </c>
    </row>
    <row r="136" spans="2:22" x14ac:dyDescent="0.25">
      <c r="B136" s="20" t="s">
        <v>25</v>
      </c>
      <c r="C136" s="17"/>
      <c r="D136" s="86" t="str">
        <f>INDEX(Cad_Natureza!$B$3:$C$52,MATCH('2025'!F136,Cad_Natureza!$C$3:$C$52,0),MATCH('2025'!D$2,Cad_Natureza!$B$3:$C$3,0))</f>
        <v>GAST2</v>
      </c>
      <c r="E136" s="84" t="s">
        <v>769</v>
      </c>
      <c r="F136" s="85" t="s">
        <v>743</v>
      </c>
      <c r="G136" s="86" t="s">
        <v>25</v>
      </c>
      <c r="H136" s="87">
        <v>45712</v>
      </c>
      <c r="I136" s="87"/>
      <c r="J136" s="79" t="s">
        <v>192</v>
      </c>
      <c r="K136" s="62">
        <v>-4.5</v>
      </c>
      <c r="L136" s="62">
        <v>-8.7499999999996732</v>
      </c>
      <c r="M136" s="17"/>
      <c r="N136" s="21" t="str">
        <f t="shared" si="14"/>
        <v>MCSGAST2CPF - Desp. Lazer e Entretenimento - Cigarro</v>
      </c>
      <c r="O136" s="21" t="str">
        <f t="shared" si="15"/>
        <v>GAST2CPF - Desp. Lazer e Entretenimento - Cigarro</v>
      </c>
      <c r="P136" s="21" t="str">
        <f t="shared" si="16"/>
        <v>MCSGAST2CPF - Desp. Lazer e Entretenimento - Cigarro</v>
      </c>
      <c r="Q136" s="21" t="str">
        <f t="shared" si="17"/>
        <v>MCSGAST2</v>
      </c>
      <c r="R136" s="21" t="str">
        <f t="shared" si="18"/>
        <v>MCSGAST2</v>
      </c>
      <c r="S136" s="17"/>
      <c r="T136" s="24">
        <f t="shared" si="19"/>
        <v>45689</v>
      </c>
      <c r="U136" s="24" t="str">
        <f t="shared" si="20"/>
        <v/>
      </c>
      <c r="V136" s="14" t="s">
        <v>761</v>
      </c>
    </row>
    <row r="137" spans="2:22" x14ac:dyDescent="0.25">
      <c r="B137" s="20" t="s">
        <v>25</v>
      </c>
      <c r="C137" s="17"/>
      <c r="D137" s="86" t="str">
        <f>INDEX(Cad_Natureza!$B$3:$C$52,MATCH('2025'!F137,Cad_Natureza!$C$3:$C$52,0),MATCH('2025'!D$2,Cad_Natureza!$B$3:$C$3,0))</f>
        <v>DESP3</v>
      </c>
      <c r="E137" s="84" t="s">
        <v>153</v>
      </c>
      <c r="F137" s="85" t="s">
        <v>736</v>
      </c>
      <c r="G137" s="86" t="s">
        <v>25</v>
      </c>
      <c r="H137" s="87">
        <v>45721</v>
      </c>
      <c r="I137" s="87"/>
      <c r="J137" s="79" t="s">
        <v>190</v>
      </c>
      <c r="K137" s="62">
        <v>-5.4</v>
      </c>
      <c r="L137" s="62">
        <v>-14.15</v>
      </c>
      <c r="M137" s="17"/>
      <c r="N137" s="21" t="str">
        <f t="shared" si="14"/>
        <v xml:space="preserve">MCSDESP3CPF - Desp. com veículo - Manut. / Gastos </v>
      </c>
      <c r="O137" s="21" t="str">
        <f t="shared" si="15"/>
        <v xml:space="preserve">DESP3CPF - Desp. com veículo - Manut. / Gastos </v>
      </c>
      <c r="P137" s="21" t="str">
        <f t="shared" si="16"/>
        <v xml:space="preserve">MCSDESP3CPF - Desp. com veículo - Manut. / Gastos </v>
      </c>
      <c r="Q137" s="21" t="str">
        <f t="shared" si="17"/>
        <v>MCSDESP3</v>
      </c>
      <c r="R137" s="21" t="str">
        <f t="shared" si="18"/>
        <v>MCSDESP3</v>
      </c>
      <c r="S137" s="17"/>
      <c r="T137" s="24">
        <f t="shared" si="19"/>
        <v>45717</v>
      </c>
      <c r="U137" s="24" t="str">
        <f t="shared" si="20"/>
        <v/>
      </c>
      <c r="V137" s="14" t="s">
        <v>761</v>
      </c>
    </row>
    <row r="138" spans="2:22" x14ac:dyDescent="0.25">
      <c r="B138" s="20" t="s">
        <v>25</v>
      </c>
      <c r="C138" s="17"/>
      <c r="D138" s="86" t="str">
        <f>INDEX(Cad_Natureza!$B$3:$C$52,MATCH('2025'!F138,Cad_Natureza!$C$3:$C$52,0),MATCH('2025'!D$2,Cad_Natureza!$B$3:$C$3,0))</f>
        <v>GAST1</v>
      </c>
      <c r="E138" s="84" t="s">
        <v>154</v>
      </c>
      <c r="F138" s="85" t="s">
        <v>742</v>
      </c>
      <c r="G138" s="86" t="s">
        <v>25</v>
      </c>
      <c r="H138" s="87">
        <v>45721</v>
      </c>
      <c r="I138" s="87"/>
      <c r="J138" s="79" t="s">
        <v>185</v>
      </c>
      <c r="K138" s="62">
        <v>-5</v>
      </c>
      <c r="L138" s="62">
        <v>-19.149999999999999</v>
      </c>
      <c r="M138" s="17"/>
      <c r="N138" s="21" t="str">
        <f t="shared" si="14"/>
        <v>MCSGAST1CPF - Desp. Lazer e Entretenimento - Bares</v>
      </c>
      <c r="O138" s="21" t="str">
        <f t="shared" si="15"/>
        <v>GAST1CPF - Desp. Lazer e Entretenimento - Bares</v>
      </c>
      <c r="P138" s="21" t="str">
        <f t="shared" si="16"/>
        <v>MCSGAST1CPF - Desp. Lazer e Entretenimento - Bares</v>
      </c>
      <c r="Q138" s="21" t="str">
        <f t="shared" si="17"/>
        <v>MCSGAST1</v>
      </c>
      <c r="R138" s="21" t="str">
        <f t="shared" si="18"/>
        <v>MCSGAST1</v>
      </c>
      <c r="S138" s="17"/>
      <c r="T138" s="24">
        <f t="shared" si="19"/>
        <v>45717</v>
      </c>
      <c r="U138" s="24" t="str">
        <f t="shared" si="20"/>
        <v/>
      </c>
      <c r="V138" s="14" t="s">
        <v>761</v>
      </c>
    </row>
    <row r="139" spans="2:22" x14ac:dyDescent="0.25">
      <c r="B139" s="20" t="s">
        <v>25</v>
      </c>
      <c r="C139" s="17"/>
      <c r="D139" s="63" t="str">
        <f>INDEX(Cad_Natureza!$B$3:$C$52,MATCH('2025'!F139,Cad_Natureza!$C$3:$C$52,0),MATCH('2025'!D$2,Cad_Natureza!$B$3:$C$3,0))</f>
        <v>REC5</v>
      </c>
      <c r="E139" s="64" t="s">
        <v>155</v>
      </c>
      <c r="F139" s="65" t="s">
        <v>740</v>
      </c>
      <c r="G139" s="63" t="s">
        <v>25</v>
      </c>
      <c r="H139" s="66">
        <v>45722</v>
      </c>
      <c r="I139" s="66"/>
      <c r="J139" s="67" t="s">
        <v>609</v>
      </c>
      <c r="K139" s="68">
        <v>575.13</v>
      </c>
      <c r="L139" s="68">
        <v>555.98</v>
      </c>
      <c r="M139" s="17"/>
      <c r="N139" s="21" t="str">
        <f t="shared" si="14"/>
        <v>MCSREC5CPF - Outras receitas</v>
      </c>
      <c r="O139" s="21" t="str">
        <f t="shared" si="15"/>
        <v>REC5CPF - Outras receitas</v>
      </c>
      <c r="P139" s="21" t="str">
        <f t="shared" si="16"/>
        <v>MCSREC5CPF - Outras receitas</v>
      </c>
      <c r="Q139" s="21" t="str">
        <f t="shared" si="17"/>
        <v>MCSREC5</v>
      </c>
      <c r="R139" s="21" t="str">
        <f t="shared" si="18"/>
        <v>MCSREC5</v>
      </c>
      <c r="S139" s="17"/>
      <c r="T139" s="24">
        <f t="shared" si="19"/>
        <v>45717</v>
      </c>
      <c r="U139" s="24" t="str">
        <f t="shared" si="20"/>
        <v/>
      </c>
      <c r="V139" s="14" t="s">
        <v>761</v>
      </c>
    </row>
    <row r="140" spans="2:22" x14ac:dyDescent="0.25">
      <c r="B140" s="20" t="s">
        <v>25</v>
      </c>
      <c r="C140" s="17"/>
      <c r="D140" s="86" t="str">
        <f>INDEX(Cad_Natureza!$B$3:$C$52,MATCH('2025'!F140,Cad_Natureza!$C$3:$C$52,0),MATCH('2025'!D$2,Cad_Natureza!$B$3:$C$3,0))</f>
        <v>OPF1</v>
      </c>
      <c r="E140" s="84" t="s">
        <v>156</v>
      </c>
      <c r="F140" s="85" t="s">
        <v>744</v>
      </c>
      <c r="G140" s="86" t="s">
        <v>25</v>
      </c>
      <c r="H140" s="87">
        <v>45722</v>
      </c>
      <c r="I140" s="87"/>
      <c r="J140" s="79" t="s">
        <v>182</v>
      </c>
      <c r="K140" s="62">
        <v>-46</v>
      </c>
      <c r="L140" s="68">
        <v>509.98</v>
      </c>
      <c r="M140" s="17"/>
      <c r="N140" s="21" t="str">
        <f t="shared" si="14"/>
        <v>MCSOPF1CPF - Desp. Alimentação / Refeição</v>
      </c>
      <c r="O140" s="21" t="str">
        <f t="shared" si="15"/>
        <v>OPF1CPF - Desp. Alimentação / Refeição</v>
      </c>
      <c r="P140" s="21" t="str">
        <f t="shared" si="16"/>
        <v>MCSOPF1CPF - Desp. Alimentação / Refeição</v>
      </c>
      <c r="Q140" s="21" t="str">
        <f t="shared" si="17"/>
        <v>MCSOPF1</v>
      </c>
      <c r="R140" s="21" t="str">
        <f t="shared" si="18"/>
        <v>MCSOPF1</v>
      </c>
      <c r="S140" s="17"/>
      <c r="T140" s="24">
        <f t="shared" si="19"/>
        <v>45717</v>
      </c>
      <c r="U140" s="24" t="str">
        <f t="shared" si="20"/>
        <v/>
      </c>
      <c r="V140" s="14" t="s">
        <v>761</v>
      </c>
    </row>
    <row r="141" spans="2:22" x14ac:dyDescent="0.25">
      <c r="B141" s="20" t="s">
        <v>25</v>
      </c>
      <c r="C141" s="17"/>
      <c r="D141" s="63" t="str">
        <f>INDEX(Cad_Natureza!$B$3:$C$52,MATCH('2025'!F141,Cad_Natureza!$C$3:$C$52,0),MATCH('2025'!D$2,Cad_Natureza!$B$3:$C$3,0))</f>
        <v>REC1</v>
      </c>
      <c r="E141" s="64" t="s">
        <v>157</v>
      </c>
      <c r="F141" s="65" t="s">
        <v>745</v>
      </c>
      <c r="G141" s="63" t="s">
        <v>25</v>
      </c>
      <c r="H141" s="66">
        <v>45722</v>
      </c>
      <c r="I141" s="66"/>
      <c r="J141" s="81" t="s">
        <v>34</v>
      </c>
      <c r="K141" s="82">
        <v>2875</v>
      </c>
      <c r="L141" s="68">
        <v>3384.98</v>
      </c>
      <c r="M141" s="17"/>
      <c r="N141" s="21" t="str">
        <f t="shared" si="14"/>
        <v>MCSREC1CPF - Remun. Salário / Pró-Labore</v>
      </c>
      <c r="O141" s="21" t="str">
        <f t="shared" si="15"/>
        <v>REC1CPF - Remun. Salário / Pró-Labore</v>
      </c>
      <c r="P141" s="21" t="str">
        <f t="shared" si="16"/>
        <v>MCSREC1CPF - Remun. Salário / Pró-Labore</v>
      </c>
      <c r="Q141" s="21" t="str">
        <f t="shared" si="17"/>
        <v>MCSREC1</v>
      </c>
      <c r="R141" s="21" t="str">
        <f t="shared" si="18"/>
        <v>MCSREC1</v>
      </c>
      <c r="S141" s="17"/>
      <c r="T141" s="24">
        <f t="shared" si="19"/>
        <v>45717</v>
      </c>
      <c r="U141" s="24" t="str">
        <f t="shared" si="20"/>
        <v/>
      </c>
      <c r="V141" s="14" t="s">
        <v>761</v>
      </c>
    </row>
    <row r="142" spans="2:22" x14ac:dyDescent="0.25">
      <c r="B142" s="20" t="s">
        <v>25</v>
      </c>
      <c r="C142" s="17"/>
      <c r="D142" s="86" t="str">
        <f>INDEX(Cad_Natureza!$B$3:$C$52,MATCH('2025'!F142,Cad_Natureza!$C$3:$C$52,0),MATCH('2025'!D$2,Cad_Natureza!$B$3:$C$3,0))</f>
        <v>TRI1</v>
      </c>
      <c r="E142" s="84" t="s">
        <v>40</v>
      </c>
      <c r="F142" s="85" t="s">
        <v>35</v>
      </c>
      <c r="G142" s="86" t="s">
        <v>25</v>
      </c>
      <c r="H142" s="87">
        <v>45722</v>
      </c>
      <c r="I142" s="87"/>
      <c r="J142" s="79" t="s">
        <v>189</v>
      </c>
      <c r="K142" s="62">
        <v>-0.11</v>
      </c>
      <c r="L142" s="68">
        <v>3384.87</v>
      </c>
      <c r="M142" s="17"/>
      <c r="N142" s="21" t="str">
        <f t="shared" si="14"/>
        <v>MCSTRI1CPF - Desp. Impostos e Obrigações</v>
      </c>
      <c r="O142" s="21" t="str">
        <f t="shared" si="15"/>
        <v>TRI1CPF - Desp. Impostos e Obrigações</v>
      </c>
      <c r="P142" s="21" t="str">
        <f t="shared" si="16"/>
        <v>MCSTRI1CPF - Desp. Impostos e Obrigações</v>
      </c>
      <c r="Q142" s="21" t="str">
        <f t="shared" si="17"/>
        <v>MCSTRI1</v>
      </c>
      <c r="R142" s="21" t="str">
        <f t="shared" si="18"/>
        <v>MCSTRI1</v>
      </c>
      <c r="S142" s="17"/>
      <c r="T142" s="24">
        <f t="shared" si="19"/>
        <v>45717</v>
      </c>
      <c r="U142" s="24" t="str">
        <f t="shared" si="20"/>
        <v/>
      </c>
      <c r="V142" s="14" t="s">
        <v>761</v>
      </c>
    </row>
    <row r="143" spans="2:22" x14ac:dyDescent="0.25">
      <c r="B143" s="20" t="s">
        <v>25</v>
      </c>
      <c r="C143" s="17"/>
      <c r="D143" s="86" t="str">
        <f>INDEX(Cad_Natureza!$B$3:$C$52,MATCH('2025'!F143,Cad_Natureza!$C$3:$C$52,0),MATCH('2025'!D$2,Cad_Natureza!$B$3:$C$3,0))</f>
        <v>FIN2</v>
      </c>
      <c r="E143" s="84" t="s">
        <v>29</v>
      </c>
      <c r="F143" s="85" t="s">
        <v>751</v>
      </c>
      <c r="G143" s="86" t="s">
        <v>25</v>
      </c>
      <c r="H143" s="87">
        <v>45722</v>
      </c>
      <c r="I143" s="87"/>
      <c r="J143" s="79" t="s">
        <v>188</v>
      </c>
      <c r="K143" s="62">
        <v>-28</v>
      </c>
      <c r="L143" s="68">
        <v>3356.87</v>
      </c>
      <c r="M143" s="17"/>
      <c r="N143" s="21" t="str">
        <f t="shared" si="14"/>
        <v>MCSFIN2CPF - Desp. Financeiras - Juros / Tarifas</v>
      </c>
      <c r="O143" s="21" t="str">
        <f t="shared" si="15"/>
        <v>FIN2CPF - Desp. Financeiras - Juros / Tarifas</v>
      </c>
      <c r="P143" s="21" t="str">
        <f t="shared" si="16"/>
        <v>MCSFIN2CPF - Desp. Financeiras - Juros / Tarifas</v>
      </c>
      <c r="Q143" s="21" t="str">
        <f t="shared" si="17"/>
        <v>MCSFIN2</v>
      </c>
      <c r="R143" s="21" t="str">
        <f t="shared" si="18"/>
        <v>MCSFIN2</v>
      </c>
      <c r="S143" s="17"/>
      <c r="T143" s="24">
        <f t="shared" si="19"/>
        <v>45717</v>
      </c>
      <c r="U143" s="24" t="str">
        <f t="shared" si="20"/>
        <v/>
      </c>
      <c r="V143" s="14" t="s">
        <v>761</v>
      </c>
    </row>
    <row r="144" spans="2:22" x14ac:dyDescent="0.25">
      <c r="B144" s="20" t="s">
        <v>25</v>
      </c>
      <c r="C144" s="17"/>
      <c r="D144" s="86" t="str">
        <f>INDEX(Cad_Natureza!$B$3:$C$52,MATCH('2025'!F144,Cad_Natureza!$C$3:$C$52,0),MATCH('2025'!D$2,Cad_Natureza!$B$3:$C$3,0))</f>
        <v>GAST1</v>
      </c>
      <c r="E144" s="84" t="s">
        <v>158</v>
      </c>
      <c r="F144" s="85" t="s">
        <v>742</v>
      </c>
      <c r="G144" s="86" t="s">
        <v>25</v>
      </c>
      <c r="H144" s="87">
        <v>45723</v>
      </c>
      <c r="I144" s="87"/>
      <c r="J144" s="79" t="s">
        <v>185</v>
      </c>
      <c r="K144" s="62">
        <v>-32</v>
      </c>
      <c r="L144" s="68">
        <v>3324.87</v>
      </c>
      <c r="M144" s="17"/>
      <c r="N144" s="21" t="str">
        <f t="shared" si="14"/>
        <v>MCSGAST1CPF - Desp. Lazer e Entretenimento - Bares</v>
      </c>
      <c r="O144" s="21" t="str">
        <f t="shared" si="15"/>
        <v>GAST1CPF - Desp. Lazer e Entretenimento - Bares</v>
      </c>
      <c r="P144" s="21" t="str">
        <f t="shared" si="16"/>
        <v>MCSGAST1CPF - Desp. Lazer e Entretenimento - Bares</v>
      </c>
      <c r="Q144" s="21" t="str">
        <f t="shared" si="17"/>
        <v>MCSGAST1</v>
      </c>
      <c r="R144" s="21" t="str">
        <f t="shared" si="18"/>
        <v>MCSGAST1</v>
      </c>
      <c r="S144" s="17"/>
      <c r="T144" s="24">
        <f t="shared" si="19"/>
        <v>45717</v>
      </c>
      <c r="U144" s="24" t="str">
        <f t="shared" si="20"/>
        <v/>
      </c>
      <c r="V144" s="14" t="s">
        <v>761</v>
      </c>
    </row>
    <row r="145" spans="2:22" x14ac:dyDescent="0.25">
      <c r="B145" s="20" t="s">
        <v>25</v>
      </c>
      <c r="C145" s="17"/>
      <c r="D145" s="86" t="str">
        <f>INDEX(Cad_Natureza!$B$3:$C$52,MATCH('2025'!F145,Cad_Natureza!$C$3:$C$52,0),MATCH('2025'!D$2,Cad_Natureza!$B$3:$C$3,0))</f>
        <v>OPF2</v>
      </c>
      <c r="E145" s="84" t="s">
        <v>159</v>
      </c>
      <c r="F145" s="85" t="s">
        <v>741</v>
      </c>
      <c r="G145" s="86" t="s">
        <v>25</v>
      </c>
      <c r="H145" s="87">
        <v>45723</v>
      </c>
      <c r="I145" s="87"/>
      <c r="J145" s="79" t="s">
        <v>184</v>
      </c>
      <c r="K145" s="62">
        <v>-50</v>
      </c>
      <c r="L145" s="68">
        <v>3274.87</v>
      </c>
      <c r="M145" s="17"/>
      <c r="N145" s="21" t="str">
        <f t="shared" si="14"/>
        <v>MCSOPF2CPF - Desp. Transporte / Combustível</v>
      </c>
      <c r="O145" s="21" t="str">
        <f t="shared" si="15"/>
        <v>OPF2CPF - Desp. Transporte / Combustível</v>
      </c>
      <c r="P145" s="21" t="str">
        <f t="shared" si="16"/>
        <v>MCSOPF2CPF - Desp. Transporte / Combustível</v>
      </c>
      <c r="Q145" s="21" t="str">
        <f t="shared" si="17"/>
        <v>MCSOPF2</v>
      </c>
      <c r="R145" s="21" t="str">
        <f t="shared" si="18"/>
        <v>MCSOPF2</v>
      </c>
      <c r="S145" s="17"/>
      <c r="T145" s="24">
        <f t="shared" si="19"/>
        <v>45717</v>
      </c>
      <c r="U145" s="24" t="str">
        <f t="shared" si="20"/>
        <v/>
      </c>
      <c r="V145" s="14" t="s">
        <v>761</v>
      </c>
    </row>
    <row r="146" spans="2:22" x14ac:dyDescent="0.25">
      <c r="B146" s="20" t="s">
        <v>25</v>
      </c>
      <c r="C146" s="17"/>
      <c r="D146" s="86" t="str">
        <f>INDEX(Cad_Natureza!$B$3:$C$52,MATCH('2025'!F146,Cad_Natureza!$C$3:$C$52,0),MATCH('2025'!D$2,Cad_Natureza!$B$3:$C$3,0))</f>
        <v>GAST1</v>
      </c>
      <c r="E146" s="84" t="s">
        <v>160</v>
      </c>
      <c r="F146" s="85" t="s">
        <v>742</v>
      </c>
      <c r="G146" s="86" t="s">
        <v>25</v>
      </c>
      <c r="H146" s="87">
        <v>45723</v>
      </c>
      <c r="I146" s="87"/>
      <c r="J146" s="79" t="s">
        <v>185</v>
      </c>
      <c r="K146" s="62">
        <v>-11.5</v>
      </c>
      <c r="L146" s="68">
        <v>3263.37</v>
      </c>
      <c r="M146" s="17"/>
      <c r="N146" s="21" t="str">
        <f t="shared" si="14"/>
        <v>MCSGAST1CPF - Desp. Lazer e Entretenimento - Bares</v>
      </c>
      <c r="O146" s="21" t="str">
        <f t="shared" si="15"/>
        <v>GAST1CPF - Desp. Lazer e Entretenimento - Bares</v>
      </c>
      <c r="P146" s="21" t="str">
        <f t="shared" si="16"/>
        <v>MCSGAST1CPF - Desp. Lazer e Entretenimento - Bares</v>
      </c>
      <c r="Q146" s="21" t="str">
        <f t="shared" si="17"/>
        <v>MCSGAST1</v>
      </c>
      <c r="R146" s="21" t="str">
        <f t="shared" si="18"/>
        <v>MCSGAST1</v>
      </c>
      <c r="S146" s="17"/>
      <c r="T146" s="24">
        <f t="shared" si="19"/>
        <v>45717</v>
      </c>
      <c r="U146" s="24" t="str">
        <f t="shared" si="20"/>
        <v/>
      </c>
      <c r="V146" s="14" t="s">
        <v>761</v>
      </c>
    </row>
    <row r="147" spans="2:22" x14ac:dyDescent="0.25">
      <c r="B147" s="20" t="s">
        <v>25</v>
      </c>
      <c r="C147" s="17"/>
      <c r="D147" s="86" t="str">
        <f>INDEX(Cad_Natureza!$B$3:$C$52,MATCH('2025'!F147,Cad_Natureza!$C$3:$C$52,0),MATCH('2025'!D$2,Cad_Natureza!$B$3:$C$3,0))</f>
        <v>GAST1</v>
      </c>
      <c r="E147" s="84" t="s">
        <v>161</v>
      </c>
      <c r="F147" s="85" t="s">
        <v>742</v>
      </c>
      <c r="G147" s="86" t="s">
        <v>25</v>
      </c>
      <c r="H147" s="87">
        <v>45723</v>
      </c>
      <c r="I147" s="87"/>
      <c r="J147" s="79" t="s">
        <v>185</v>
      </c>
      <c r="K147" s="62">
        <v>-44</v>
      </c>
      <c r="L147" s="68">
        <v>3219.37</v>
      </c>
      <c r="M147" s="17"/>
      <c r="N147" s="21" t="str">
        <f t="shared" si="14"/>
        <v>MCSGAST1CPF - Desp. Lazer e Entretenimento - Bares</v>
      </c>
      <c r="O147" s="21" t="str">
        <f t="shared" si="15"/>
        <v>GAST1CPF - Desp. Lazer e Entretenimento - Bares</v>
      </c>
      <c r="P147" s="21" t="str">
        <f t="shared" si="16"/>
        <v>MCSGAST1CPF - Desp. Lazer e Entretenimento - Bares</v>
      </c>
      <c r="Q147" s="21" t="str">
        <f t="shared" si="17"/>
        <v>MCSGAST1</v>
      </c>
      <c r="R147" s="21" t="str">
        <f t="shared" si="18"/>
        <v>MCSGAST1</v>
      </c>
      <c r="S147" s="17"/>
      <c r="T147" s="24">
        <f t="shared" si="19"/>
        <v>45717</v>
      </c>
      <c r="U147" s="24" t="str">
        <f t="shared" si="20"/>
        <v/>
      </c>
      <c r="V147" s="14" t="s">
        <v>761</v>
      </c>
    </row>
    <row r="148" spans="2:22" x14ac:dyDescent="0.25">
      <c r="B148" s="20" t="s">
        <v>25</v>
      </c>
      <c r="C148" s="17"/>
      <c r="D148" s="86" t="str">
        <f>INDEX(Cad_Natureza!$B$3:$C$52,MATCH('2025'!F148,Cad_Natureza!$C$3:$C$52,0),MATCH('2025'!D$2,Cad_Natureza!$B$3:$C$3,0))</f>
        <v>FIN2</v>
      </c>
      <c r="E148" s="84" t="s">
        <v>162</v>
      </c>
      <c r="F148" s="85" t="s">
        <v>751</v>
      </c>
      <c r="G148" s="86" t="s">
        <v>25</v>
      </c>
      <c r="H148" s="87">
        <v>45723</v>
      </c>
      <c r="I148" s="87"/>
      <c r="J148" s="79" t="s">
        <v>188</v>
      </c>
      <c r="K148" s="62">
        <v>-9.4</v>
      </c>
      <c r="L148" s="68">
        <v>3209.97</v>
      </c>
      <c r="M148" s="17"/>
      <c r="N148" s="21" t="str">
        <f t="shared" si="14"/>
        <v>MCSFIN2CPF - Desp. Financeiras - Juros / Tarifas</v>
      </c>
      <c r="O148" s="21" t="str">
        <f t="shared" si="15"/>
        <v>FIN2CPF - Desp. Financeiras - Juros / Tarifas</v>
      </c>
      <c r="P148" s="21" t="str">
        <f t="shared" si="16"/>
        <v>MCSFIN2CPF - Desp. Financeiras - Juros / Tarifas</v>
      </c>
      <c r="Q148" s="21" t="str">
        <f t="shared" si="17"/>
        <v>MCSFIN2</v>
      </c>
      <c r="R148" s="21" t="str">
        <f t="shared" si="18"/>
        <v>MCSFIN2</v>
      </c>
      <c r="S148" s="17"/>
      <c r="T148" s="24">
        <f t="shared" si="19"/>
        <v>45717</v>
      </c>
      <c r="U148" s="24" t="str">
        <f t="shared" si="20"/>
        <v/>
      </c>
      <c r="V148" s="14" t="s">
        <v>761</v>
      </c>
    </row>
    <row r="149" spans="2:22" x14ac:dyDescent="0.25">
      <c r="B149" s="20" t="s">
        <v>25</v>
      </c>
      <c r="C149" s="17"/>
      <c r="D149" s="86" t="str">
        <f>INDEX(Cad_Natureza!$B$3:$C$52,MATCH('2025'!F149,Cad_Natureza!$C$3:$C$52,0),MATCH('2025'!D$2,Cad_Natureza!$B$3:$C$3,0))</f>
        <v>GAST1</v>
      </c>
      <c r="E149" s="84" t="s">
        <v>163</v>
      </c>
      <c r="F149" s="85" t="s">
        <v>742</v>
      </c>
      <c r="G149" s="86" t="s">
        <v>25</v>
      </c>
      <c r="H149" s="87">
        <v>45726</v>
      </c>
      <c r="I149" s="87"/>
      <c r="J149" s="79" t="s">
        <v>185</v>
      </c>
      <c r="K149" s="62">
        <v>-30</v>
      </c>
      <c r="L149" s="68">
        <v>3179.97</v>
      </c>
      <c r="M149" s="17"/>
      <c r="N149" s="21" t="str">
        <f t="shared" si="14"/>
        <v>MCSGAST1CPF - Desp. Lazer e Entretenimento - Bares</v>
      </c>
      <c r="O149" s="21" t="str">
        <f t="shared" si="15"/>
        <v>GAST1CPF - Desp. Lazer e Entretenimento - Bares</v>
      </c>
      <c r="P149" s="21" t="str">
        <f t="shared" si="16"/>
        <v>MCSGAST1CPF - Desp. Lazer e Entretenimento - Bares</v>
      </c>
      <c r="Q149" s="21" t="str">
        <f t="shared" si="17"/>
        <v>MCSGAST1</v>
      </c>
      <c r="R149" s="21" t="str">
        <f t="shared" si="18"/>
        <v>MCSGAST1</v>
      </c>
      <c r="S149" s="17"/>
      <c r="T149" s="24">
        <f t="shared" si="19"/>
        <v>45717</v>
      </c>
      <c r="U149" s="24" t="str">
        <f t="shared" si="20"/>
        <v/>
      </c>
      <c r="V149" s="14" t="s">
        <v>761</v>
      </c>
    </row>
    <row r="150" spans="2:22" x14ac:dyDescent="0.25">
      <c r="B150" s="20" t="s">
        <v>25</v>
      </c>
      <c r="C150" s="17"/>
      <c r="D150" s="86" t="str">
        <f>INDEX(Cad_Natureza!$B$3:$C$52,MATCH('2025'!F150,Cad_Natureza!$C$3:$C$52,0),MATCH('2025'!D$2,Cad_Natureza!$B$3:$C$3,0))</f>
        <v>GAST1</v>
      </c>
      <c r="E150" s="84" t="s">
        <v>164</v>
      </c>
      <c r="F150" s="85" t="s">
        <v>742</v>
      </c>
      <c r="G150" s="86" t="s">
        <v>25</v>
      </c>
      <c r="H150" s="87">
        <v>45726</v>
      </c>
      <c r="I150" s="87"/>
      <c r="J150" s="79" t="s">
        <v>185</v>
      </c>
      <c r="K150" s="62">
        <v>-15</v>
      </c>
      <c r="L150" s="68">
        <v>3164.97</v>
      </c>
      <c r="M150" s="17"/>
      <c r="N150" s="21" t="str">
        <f t="shared" si="14"/>
        <v>MCSGAST1CPF - Desp. Lazer e Entretenimento - Bares</v>
      </c>
      <c r="O150" s="21" t="str">
        <f t="shared" si="15"/>
        <v>GAST1CPF - Desp. Lazer e Entretenimento - Bares</v>
      </c>
      <c r="P150" s="21" t="str">
        <f t="shared" si="16"/>
        <v>MCSGAST1CPF - Desp. Lazer e Entretenimento - Bares</v>
      </c>
      <c r="Q150" s="21" t="str">
        <f t="shared" si="17"/>
        <v>MCSGAST1</v>
      </c>
      <c r="R150" s="21" t="str">
        <f t="shared" si="18"/>
        <v>MCSGAST1</v>
      </c>
      <c r="S150" s="17"/>
      <c r="T150" s="24">
        <f t="shared" si="19"/>
        <v>45717</v>
      </c>
      <c r="U150" s="24" t="str">
        <f t="shared" si="20"/>
        <v/>
      </c>
      <c r="V150" s="14" t="s">
        <v>761</v>
      </c>
    </row>
    <row r="151" spans="2:22" x14ac:dyDescent="0.25">
      <c r="B151" s="20" t="s">
        <v>25</v>
      </c>
      <c r="C151" s="17"/>
      <c r="D151" s="86" t="str">
        <f>INDEX(Cad_Natureza!$B$3:$C$52,MATCH('2025'!F151,Cad_Natureza!$C$3:$C$52,0),MATCH('2025'!D$2,Cad_Natureza!$B$3:$C$3,0))</f>
        <v>GAST1</v>
      </c>
      <c r="E151" s="84" t="s">
        <v>163</v>
      </c>
      <c r="F151" s="85" t="s">
        <v>742</v>
      </c>
      <c r="G151" s="86" t="s">
        <v>25</v>
      </c>
      <c r="H151" s="87">
        <v>45726</v>
      </c>
      <c r="I151" s="87"/>
      <c r="J151" s="79" t="s">
        <v>185</v>
      </c>
      <c r="K151" s="62">
        <v>-10</v>
      </c>
      <c r="L151" s="68">
        <v>3154.97</v>
      </c>
      <c r="M151" s="17"/>
      <c r="N151" s="21" t="str">
        <f t="shared" si="14"/>
        <v>MCSGAST1CPF - Desp. Lazer e Entretenimento - Bares</v>
      </c>
      <c r="O151" s="21" t="str">
        <f t="shared" si="15"/>
        <v>GAST1CPF - Desp. Lazer e Entretenimento - Bares</v>
      </c>
      <c r="P151" s="21" t="str">
        <f t="shared" si="16"/>
        <v>MCSGAST1CPF - Desp. Lazer e Entretenimento - Bares</v>
      </c>
      <c r="Q151" s="21" t="str">
        <f t="shared" si="17"/>
        <v>MCSGAST1</v>
      </c>
      <c r="R151" s="21" t="str">
        <f t="shared" si="18"/>
        <v>MCSGAST1</v>
      </c>
      <c r="S151" s="17"/>
      <c r="T151" s="24">
        <f t="shared" si="19"/>
        <v>45717</v>
      </c>
      <c r="U151" s="24" t="str">
        <f t="shared" si="20"/>
        <v/>
      </c>
      <c r="V151" s="14" t="s">
        <v>761</v>
      </c>
    </row>
    <row r="152" spans="2:22" x14ac:dyDescent="0.25">
      <c r="B152" s="20" t="s">
        <v>25</v>
      </c>
      <c r="C152" s="17"/>
      <c r="D152" s="86" t="str">
        <f>INDEX(Cad_Natureza!$B$3:$C$52,MATCH('2025'!F152,Cad_Natureza!$C$3:$C$52,0),MATCH('2025'!D$2,Cad_Natureza!$B$3:$C$3,0))</f>
        <v>GAST1</v>
      </c>
      <c r="E152" s="84" t="s">
        <v>164</v>
      </c>
      <c r="F152" s="85" t="s">
        <v>742</v>
      </c>
      <c r="G152" s="86" t="s">
        <v>25</v>
      </c>
      <c r="H152" s="87">
        <v>45726</v>
      </c>
      <c r="I152" s="87"/>
      <c r="J152" s="79" t="s">
        <v>185</v>
      </c>
      <c r="K152" s="62">
        <v>-5</v>
      </c>
      <c r="L152" s="68">
        <v>3149.97</v>
      </c>
      <c r="M152" s="17"/>
      <c r="N152" s="21" t="str">
        <f t="shared" si="14"/>
        <v>MCSGAST1CPF - Desp. Lazer e Entretenimento - Bares</v>
      </c>
      <c r="O152" s="21" t="str">
        <f t="shared" si="15"/>
        <v>GAST1CPF - Desp. Lazer e Entretenimento - Bares</v>
      </c>
      <c r="P152" s="21" t="str">
        <f t="shared" si="16"/>
        <v>MCSGAST1CPF - Desp. Lazer e Entretenimento - Bares</v>
      </c>
      <c r="Q152" s="21" t="str">
        <f t="shared" si="17"/>
        <v>MCSGAST1</v>
      </c>
      <c r="R152" s="21" t="str">
        <f t="shared" si="18"/>
        <v>MCSGAST1</v>
      </c>
      <c r="S152" s="17"/>
      <c r="T152" s="24">
        <f t="shared" si="19"/>
        <v>45717</v>
      </c>
      <c r="U152" s="24" t="str">
        <f t="shared" si="20"/>
        <v/>
      </c>
      <c r="V152" s="14" t="s">
        <v>761</v>
      </c>
    </row>
    <row r="153" spans="2:22" x14ac:dyDescent="0.25">
      <c r="B153" s="20" t="s">
        <v>25</v>
      </c>
      <c r="C153" s="17"/>
      <c r="D153" s="86" t="str">
        <f>INDEX(Cad_Natureza!$B$3:$C$52,MATCH('2025'!F153,Cad_Natureza!$C$3:$C$52,0),MATCH('2025'!D$2,Cad_Natureza!$B$3:$C$3,0))</f>
        <v>GAST1</v>
      </c>
      <c r="E153" s="84" t="s">
        <v>163</v>
      </c>
      <c r="F153" s="85" t="s">
        <v>742</v>
      </c>
      <c r="G153" s="86" t="s">
        <v>25</v>
      </c>
      <c r="H153" s="87">
        <v>45726</v>
      </c>
      <c r="I153" s="87"/>
      <c r="J153" s="79" t="s">
        <v>185</v>
      </c>
      <c r="K153" s="62">
        <v>-10</v>
      </c>
      <c r="L153" s="68">
        <v>3139.97</v>
      </c>
      <c r="M153" s="17"/>
      <c r="N153" s="21" t="str">
        <f t="shared" si="14"/>
        <v>MCSGAST1CPF - Desp. Lazer e Entretenimento - Bares</v>
      </c>
      <c r="O153" s="21" t="str">
        <f t="shared" si="15"/>
        <v>GAST1CPF - Desp. Lazer e Entretenimento - Bares</v>
      </c>
      <c r="P153" s="21" t="str">
        <f t="shared" si="16"/>
        <v>MCSGAST1CPF - Desp. Lazer e Entretenimento - Bares</v>
      </c>
      <c r="Q153" s="21" t="str">
        <f t="shared" si="17"/>
        <v>MCSGAST1</v>
      </c>
      <c r="R153" s="21" t="str">
        <f t="shared" si="18"/>
        <v>MCSGAST1</v>
      </c>
      <c r="S153" s="17"/>
      <c r="T153" s="24">
        <f t="shared" si="19"/>
        <v>45717</v>
      </c>
      <c r="U153" s="24" t="str">
        <f t="shared" si="20"/>
        <v/>
      </c>
      <c r="V153" s="14" t="s">
        <v>761</v>
      </c>
    </row>
    <row r="154" spans="2:22" x14ac:dyDescent="0.25">
      <c r="B154" s="20" t="s">
        <v>25</v>
      </c>
      <c r="C154" s="17"/>
      <c r="D154" s="86" t="str">
        <f>INDEX(Cad_Natureza!$B$3:$C$52,MATCH('2025'!F154,Cad_Natureza!$C$3:$C$52,0),MATCH('2025'!D$2,Cad_Natureza!$B$3:$C$3,0))</f>
        <v>FIN1</v>
      </c>
      <c r="E154" s="84" t="s">
        <v>165</v>
      </c>
      <c r="F154" s="85" t="s">
        <v>713</v>
      </c>
      <c r="G154" s="86" t="s">
        <v>25</v>
      </c>
      <c r="H154" s="87">
        <v>45726</v>
      </c>
      <c r="I154" s="87"/>
      <c r="J154" s="79" t="s">
        <v>191</v>
      </c>
      <c r="K154" s="62">
        <v>-127.18</v>
      </c>
      <c r="L154" s="68">
        <v>3012.79</v>
      </c>
      <c r="M154" s="17"/>
      <c r="N154" s="21" t="str">
        <f t="shared" si="14"/>
        <v>MCSFIN1CPF - Desp. Financeiras - Empréstimos</v>
      </c>
      <c r="O154" s="21" t="str">
        <f t="shared" si="15"/>
        <v>FIN1CPF - Desp. Financeiras - Empréstimos</v>
      </c>
      <c r="P154" s="21" t="str">
        <f t="shared" si="16"/>
        <v>MCSFIN1CPF - Desp. Financeiras - Empréstimos</v>
      </c>
      <c r="Q154" s="21" t="str">
        <f t="shared" si="17"/>
        <v>MCSFIN1</v>
      </c>
      <c r="R154" s="21" t="str">
        <f t="shared" si="18"/>
        <v>MCSFIN1</v>
      </c>
      <c r="S154" s="17"/>
      <c r="T154" s="24">
        <f t="shared" si="19"/>
        <v>45717</v>
      </c>
      <c r="U154" s="24" t="str">
        <f t="shared" si="20"/>
        <v/>
      </c>
      <c r="V154" s="14" t="s">
        <v>761</v>
      </c>
    </row>
    <row r="155" spans="2:22" x14ac:dyDescent="0.25">
      <c r="B155" s="20" t="s">
        <v>25</v>
      </c>
      <c r="C155" s="17"/>
      <c r="D155" s="86" t="str">
        <f>INDEX(Cad_Natureza!$B$3:$C$52,MATCH('2025'!F155,Cad_Natureza!$C$3:$C$52,0),MATCH('2025'!D$2,Cad_Natureza!$B$3:$C$3,0))</f>
        <v>GAST1</v>
      </c>
      <c r="E155" s="84" t="s">
        <v>166</v>
      </c>
      <c r="F155" s="85" t="s">
        <v>742</v>
      </c>
      <c r="G155" s="86" t="s">
        <v>25</v>
      </c>
      <c r="H155" s="87">
        <v>45726</v>
      </c>
      <c r="I155" s="87"/>
      <c r="J155" s="79" t="s">
        <v>185</v>
      </c>
      <c r="K155" s="62">
        <v>-4.5</v>
      </c>
      <c r="L155" s="68">
        <v>3008.29</v>
      </c>
      <c r="M155" s="17"/>
      <c r="N155" s="21" t="str">
        <f t="shared" si="14"/>
        <v>MCSGAST1CPF - Desp. Lazer e Entretenimento - Bares</v>
      </c>
      <c r="O155" s="21" t="str">
        <f t="shared" si="15"/>
        <v>GAST1CPF - Desp. Lazer e Entretenimento - Bares</v>
      </c>
      <c r="P155" s="21" t="str">
        <f t="shared" si="16"/>
        <v>MCSGAST1CPF - Desp. Lazer e Entretenimento - Bares</v>
      </c>
      <c r="Q155" s="21" t="str">
        <f t="shared" si="17"/>
        <v>MCSGAST1</v>
      </c>
      <c r="R155" s="21" t="str">
        <f t="shared" si="18"/>
        <v>MCSGAST1</v>
      </c>
      <c r="S155" s="17"/>
      <c r="T155" s="24">
        <f t="shared" si="19"/>
        <v>45717</v>
      </c>
      <c r="U155" s="24" t="str">
        <f t="shared" si="20"/>
        <v/>
      </c>
      <c r="V155" s="14" t="s">
        <v>761</v>
      </c>
    </row>
    <row r="156" spans="2:22" x14ac:dyDescent="0.25">
      <c r="B156" s="20" t="s">
        <v>25</v>
      </c>
      <c r="C156" s="17"/>
      <c r="D156" s="86" t="str">
        <f>INDEX(Cad_Natureza!$B$3:$C$52,MATCH('2025'!F156,Cad_Natureza!$C$3:$C$52,0),MATCH('2025'!D$2,Cad_Natureza!$B$3:$C$3,0))</f>
        <v>PENS3</v>
      </c>
      <c r="E156" s="84" t="s">
        <v>167</v>
      </c>
      <c r="F156" s="85" t="s">
        <v>746</v>
      </c>
      <c r="G156" s="86" t="s">
        <v>25</v>
      </c>
      <c r="H156" s="87">
        <v>45726</v>
      </c>
      <c r="I156" s="87"/>
      <c r="J156" s="78" t="s">
        <v>595</v>
      </c>
      <c r="K156" s="62">
        <v>-714.9</v>
      </c>
      <c r="L156" s="68">
        <v>2293.39</v>
      </c>
      <c r="M156" s="17"/>
      <c r="N156" s="21" t="str">
        <f t="shared" si="14"/>
        <v>MCSPENS3CPF - Pensão - Plano de saúde</v>
      </c>
      <c r="O156" s="21" t="str">
        <f t="shared" si="15"/>
        <v>PENS3CPF - Pensão - Plano de saúde</v>
      </c>
      <c r="P156" s="21" t="str">
        <f t="shared" si="16"/>
        <v>MCSPENS3CPF - Pensão - Plano de saúde</v>
      </c>
      <c r="Q156" s="21" t="str">
        <f t="shared" si="17"/>
        <v>MCSPENS3</v>
      </c>
      <c r="R156" s="21" t="str">
        <f t="shared" si="18"/>
        <v>MCSPENS3</v>
      </c>
      <c r="S156" s="17"/>
      <c r="T156" s="24">
        <f t="shared" si="19"/>
        <v>45717</v>
      </c>
      <c r="U156" s="24" t="str">
        <f t="shared" si="20"/>
        <v/>
      </c>
      <c r="V156" s="14" t="s">
        <v>731</v>
      </c>
    </row>
    <row r="157" spans="2:22" x14ac:dyDescent="0.25">
      <c r="B157" s="20" t="s">
        <v>25</v>
      </c>
      <c r="C157" s="17"/>
      <c r="D157" s="86" t="str">
        <f>INDEX(Cad_Natureza!$B$3:$C$52,MATCH('2025'!F157,Cad_Natureza!$C$3:$C$52,0),MATCH('2025'!D$2,Cad_Natureza!$B$3:$C$3,0))</f>
        <v>OPF1</v>
      </c>
      <c r="E157" s="84" t="s">
        <v>168</v>
      </c>
      <c r="F157" s="85" t="s">
        <v>744</v>
      </c>
      <c r="G157" s="86" t="s">
        <v>25</v>
      </c>
      <c r="H157" s="87">
        <v>45726</v>
      </c>
      <c r="I157" s="87"/>
      <c r="J157" s="79" t="s">
        <v>182</v>
      </c>
      <c r="K157" s="62">
        <v>-46</v>
      </c>
      <c r="L157" s="68">
        <v>2247.39</v>
      </c>
      <c r="M157" s="17"/>
      <c r="N157" s="21" t="str">
        <f t="shared" si="14"/>
        <v>MCSOPF1CPF - Desp. Alimentação / Refeição</v>
      </c>
      <c r="O157" s="21" t="str">
        <f t="shared" si="15"/>
        <v>OPF1CPF - Desp. Alimentação / Refeição</v>
      </c>
      <c r="P157" s="21" t="str">
        <f t="shared" si="16"/>
        <v>MCSOPF1CPF - Desp. Alimentação / Refeição</v>
      </c>
      <c r="Q157" s="21" t="str">
        <f t="shared" si="17"/>
        <v>MCSOPF1</v>
      </c>
      <c r="R157" s="21" t="str">
        <f t="shared" si="18"/>
        <v>MCSOPF1</v>
      </c>
      <c r="S157" s="17"/>
      <c r="T157" s="24">
        <f t="shared" si="19"/>
        <v>45717</v>
      </c>
      <c r="U157" s="24" t="str">
        <f t="shared" si="20"/>
        <v/>
      </c>
      <c r="V157" s="14" t="s">
        <v>761</v>
      </c>
    </row>
    <row r="158" spans="2:22" x14ac:dyDescent="0.25">
      <c r="B158" s="20" t="s">
        <v>25</v>
      </c>
      <c r="C158" s="17"/>
      <c r="D158" s="86" t="str">
        <f>INDEX(Cad_Natureza!$B$3:$C$52,MATCH('2025'!F158,Cad_Natureza!$C$3:$C$52,0),MATCH('2025'!D$2,Cad_Natureza!$B$3:$C$3,0))</f>
        <v>DESP5</v>
      </c>
      <c r="E158" s="84" t="s">
        <v>169</v>
      </c>
      <c r="F158" s="85" t="s">
        <v>752</v>
      </c>
      <c r="G158" s="86" t="s">
        <v>25</v>
      </c>
      <c r="H158" s="87">
        <v>45726</v>
      </c>
      <c r="I158" s="87"/>
      <c r="J158" s="79" t="s">
        <v>183</v>
      </c>
      <c r="K158" s="62">
        <v>-100</v>
      </c>
      <c r="L158" s="68">
        <v>2147.39</v>
      </c>
      <c r="M158" s="17"/>
      <c r="N158" s="21" t="str">
        <f t="shared" si="14"/>
        <v>MCSDESP5CPF - Transf. Da conta PF para a conta PJ</v>
      </c>
      <c r="O158" s="21" t="str">
        <f t="shared" si="15"/>
        <v>DESP5CPF - Transf. Da conta PF para a conta PJ</v>
      </c>
      <c r="P158" s="21" t="str">
        <f t="shared" si="16"/>
        <v>MCSDESP5CPF - Transf. Da conta PF para a conta PJ</v>
      </c>
      <c r="Q158" s="21" t="str">
        <f t="shared" si="17"/>
        <v>MCSDESP5</v>
      </c>
      <c r="R158" s="21" t="str">
        <f t="shared" si="18"/>
        <v>MCSDESP5</v>
      </c>
      <c r="S158" s="17"/>
      <c r="T158" s="24">
        <f t="shared" si="19"/>
        <v>45717</v>
      </c>
      <c r="U158" s="24" t="str">
        <f t="shared" si="20"/>
        <v/>
      </c>
      <c r="V158" s="14" t="s">
        <v>761</v>
      </c>
    </row>
    <row r="159" spans="2:22" x14ac:dyDescent="0.25">
      <c r="B159" s="20" t="s">
        <v>25</v>
      </c>
      <c r="C159" s="17"/>
      <c r="D159" s="86" t="str">
        <f>INDEX(Cad_Natureza!$B$3:$C$52,MATCH('2025'!F159,Cad_Natureza!$C$3:$C$52,0),MATCH('2025'!D$2,Cad_Natureza!$B$3:$C$3,0))</f>
        <v>GAST1</v>
      </c>
      <c r="E159" s="84" t="s">
        <v>170</v>
      </c>
      <c r="F159" s="85" t="s">
        <v>742</v>
      </c>
      <c r="G159" s="86" t="s">
        <v>25</v>
      </c>
      <c r="H159" s="87">
        <v>45726</v>
      </c>
      <c r="I159" s="87"/>
      <c r="J159" s="79" t="s">
        <v>185</v>
      </c>
      <c r="K159" s="62">
        <v>-18</v>
      </c>
      <c r="L159" s="68">
        <v>2129.39</v>
      </c>
      <c r="M159" s="17"/>
      <c r="N159" s="21" t="str">
        <f t="shared" si="14"/>
        <v>MCSGAST1CPF - Desp. Lazer e Entretenimento - Bares</v>
      </c>
      <c r="O159" s="21" t="str">
        <f t="shared" si="15"/>
        <v>GAST1CPF - Desp. Lazer e Entretenimento - Bares</v>
      </c>
      <c r="P159" s="21" t="str">
        <f t="shared" si="16"/>
        <v>MCSGAST1CPF - Desp. Lazer e Entretenimento - Bares</v>
      </c>
      <c r="Q159" s="21" t="str">
        <f t="shared" si="17"/>
        <v>MCSGAST1</v>
      </c>
      <c r="R159" s="21" t="str">
        <f t="shared" si="18"/>
        <v>MCSGAST1</v>
      </c>
      <c r="S159" s="17"/>
      <c r="T159" s="24">
        <f t="shared" si="19"/>
        <v>45717</v>
      </c>
      <c r="U159" s="24" t="str">
        <f t="shared" si="20"/>
        <v/>
      </c>
      <c r="V159" s="14" t="s">
        <v>761</v>
      </c>
    </row>
    <row r="160" spans="2:22" x14ac:dyDescent="0.25">
      <c r="B160" s="20" t="s">
        <v>25</v>
      </c>
      <c r="C160" s="17"/>
      <c r="D160" s="86" t="str">
        <f>INDEX(Cad_Natureza!$B$3:$C$52,MATCH('2025'!F160,Cad_Natureza!$C$3:$C$52,0),MATCH('2025'!D$2,Cad_Natureza!$B$3:$C$3,0))</f>
        <v>GAST1</v>
      </c>
      <c r="E160" s="84" t="s">
        <v>171</v>
      </c>
      <c r="F160" s="85" t="s">
        <v>742</v>
      </c>
      <c r="G160" s="86" t="s">
        <v>25</v>
      </c>
      <c r="H160" s="87">
        <v>45726</v>
      </c>
      <c r="I160" s="87"/>
      <c r="J160" s="79" t="s">
        <v>185</v>
      </c>
      <c r="K160" s="62">
        <v>-55</v>
      </c>
      <c r="L160" s="68">
        <v>2074.39</v>
      </c>
      <c r="M160" s="17"/>
      <c r="N160" s="21" t="str">
        <f t="shared" si="14"/>
        <v>MCSGAST1CPF - Desp. Lazer e Entretenimento - Bares</v>
      </c>
      <c r="O160" s="21" t="str">
        <f t="shared" si="15"/>
        <v>GAST1CPF - Desp. Lazer e Entretenimento - Bares</v>
      </c>
      <c r="P160" s="21" t="str">
        <f t="shared" si="16"/>
        <v>MCSGAST1CPF - Desp. Lazer e Entretenimento - Bares</v>
      </c>
      <c r="Q160" s="21" t="str">
        <f t="shared" si="17"/>
        <v>MCSGAST1</v>
      </c>
      <c r="R160" s="21" t="str">
        <f t="shared" si="18"/>
        <v>MCSGAST1</v>
      </c>
      <c r="S160" s="17"/>
      <c r="T160" s="24">
        <f t="shared" si="19"/>
        <v>45717</v>
      </c>
      <c r="U160" s="24" t="str">
        <f t="shared" si="20"/>
        <v/>
      </c>
      <c r="V160" s="14" t="s">
        <v>761</v>
      </c>
    </row>
    <row r="161" spans="2:22" x14ac:dyDescent="0.25">
      <c r="B161" s="20" t="s">
        <v>25</v>
      </c>
      <c r="C161" s="17"/>
      <c r="D161" s="86" t="str">
        <f>INDEX(Cad_Natureza!$B$3:$C$52,MATCH('2025'!F161,Cad_Natureza!$C$3:$C$52,0),MATCH('2025'!D$2,Cad_Natureza!$B$3:$C$3,0))</f>
        <v>OPF2</v>
      </c>
      <c r="E161" s="84" t="s">
        <v>172</v>
      </c>
      <c r="F161" s="85" t="s">
        <v>741</v>
      </c>
      <c r="G161" s="86" t="s">
        <v>25</v>
      </c>
      <c r="H161" s="87">
        <v>45726</v>
      </c>
      <c r="I161" s="87"/>
      <c r="J161" s="79" t="s">
        <v>184</v>
      </c>
      <c r="K161" s="62">
        <v>-50</v>
      </c>
      <c r="L161" s="68">
        <v>2024.3899999999999</v>
      </c>
      <c r="M161" s="17"/>
      <c r="N161" s="21" t="str">
        <f t="shared" si="14"/>
        <v>MCSOPF2CPF - Desp. Transporte / Combustível</v>
      </c>
      <c r="O161" s="21" t="str">
        <f t="shared" si="15"/>
        <v>OPF2CPF - Desp. Transporte / Combustível</v>
      </c>
      <c r="P161" s="21" t="str">
        <f t="shared" si="16"/>
        <v>MCSOPF2CPF - Desp. Transporte / Combustível</v>
      </c>
      <c r="Q161" s="21" t="str">
        <f t="shared" si="17"/>
        <v>MCSOPF2</v>
      </c>
      <c r="R161" s="21" t="str">
        <f t="shared" si="18"/>
        <v>MCSOPF2</v>
      </c>
      <c r="S161" s="17"/>
      <c r="T161" s="24">
        <f t="shared" si="19"/>
        <v>45717</v>
      </c>
      <c r="U161" s="24" t="str">
        <f t="shared" si="20"/>
        <v/>
      </c>
      <c r="V161" s="14" t="s">
        <v>761</v>
      </c>
    </row>
    <row r="162" spans="2:22" x14ac:dyDescent="0.25">
      <c r="B162" s="20" t="s">
        <v>25</v>
      </c>
      <c r="C162" s="17"/>
      <c r="D162" s="86" t="str">
        <f>INDEX(Cad_Natureza!$B$3:$C$52,MATCH('2025'!F162,Cad_Natureza!$C$3:$C$52,0),MATCH('2025'!D$2,Cad_Natureza!$B$3:$C$3,0))</f>
        <v>GAST1</v>
      </c>
      <c r="E162" s="84" t="s">
        <v>166</v>
      </c>
      <c r="F162" s="85" t="s">
        <v>742</v>
      </c>
      <c r="G162" s="86" t="s">
        <v>25</v>
      </c>
      <c r="H162" s="87">
        <v>45726</v>
      </c>
      <c r="I162" s="87"/>
      <c r="J162" s="79" t="s">
        <v>185</v>
      </c>
      <c r="K162" s="62">
        <v>-33.5</v>
      </c>
      <c r="L162" s="68">
        <v>1990.8899999999999</v>
      </c>
      <c r="M162" s="17"/>
      <c r="N162" s="21" t="str">
        <f t="shared" si="14"/>
        <v>MCSGAST1CPF - Desp. Lazer e Entretenimento - Bares</v>
      </c>
      <c r="O162" s="21" t="str">
        <f t="shared" si="15"/>
        <v>GAST1CPF - Desp. Lazer e Entretenimento - Bares</v>
      </c>
      <c r="P162" s="21" t="str">
        <f t="shared" si="16"/>
        <v>MCSGAST1CPF - Desp. Lazer e Entretenimento - Bares</v>
      </c>
      <c r="Q162" s="21" t="str">
        <f t="shared" si="17"/>
        <v>MCSGAST1</v>
      </c>
      <c r="R162" s="21" t="str">
        <f t="shared" si="18"/>
        <v>MCSGAST1</v>
      </c>
      <c r="S162" s="17"/>
      <c r="T162" s="24">
        <f t="shared" si="19"/>
        <v>45717</v>
      </c>
      <c r="U162" s="24" t="str">
        <f t="shared" si="20"/>
        <v/>
      </c>
      <c r="V162" s="14" t="s">
        <v>761</v>
      </c>
    </row>
    <row r="163" spans="2:22" x14ac:dyDescent="0.25">
      <c r="B163" s="20" t="s">
        <v>25</v>
      </c>
      <c r="C163" s="17"/>
      <c r="D163" s="86" t="str">
        <f>INDEX(Cad_Natureza!$B$3:$C$52,MATCH('2025'!F163,Cad_Natureza!$C$3:$C$52,0),MATCH('2025'!D$2,Cad_Natureza!$B$3:$C$3,0))</f>
        <v>GAST1</v>
      </c>
      <c r="E163" s="84" t="s">
        <v>173</v>
      </c>
      <c r="F163" s="85" t="s">
        <v>742</v>
      </c>
      <c r="G163" s="86" t="s">
        <v>25</v>
      </c>
      <c r="H163" s="87">
        <v>45726</v>
      </c>
      <c r="I163" s="87"/>
      <c r="J163" s="79" t="s">
        <v>185</v>
      </c>
      <c r="K163" s="62">
        <v>-24</v>
      </c>
      <c r="L163" s="68">
        <v>1966.8899999999999</v>
      </c>
      <c r="M163" s="17"/>
      <c r="N163" s="21" t="str">
        <f t="shared" si="14"/>
        <v>MCSGAST1CPF - Desp. Lazer e Entretenimento - Bares</v>
      </c>
      <c r="O163" s="21" t="str">
        <f t="shared" si="15"/>
        <v>GAST1CPF - Desp. Lazer e Entretenimento - Bares</v>
      </c>
      <c r="P163" s="21" t="str">
        <f t="shared" si="16"/>
        <v>MCSGAST1CPF - Desp. Lazer e Entretenimento - Bares</v>
      </c>
      <c r="Q163" s="21" t="str">
        <f t="shared" si="17"/>
        <v>MCSGAST1</v>
      </c>
      <c r="R163" s="21" t="str">
        <f t="shared" si="18"/>
        <v>MCSGAST1</v>
      </c>
      <c r="S163" s="17"/>
      <c r="T163" s="24">
        <f t="shared" si="19"/>
        <v>45717</v>
      </c>
      <c r="U163" s="24" t="str">
        <f t="shared" si="20"/>
        <v/>
      </c>
      <c r="V163" s="14" t="s">
        <v>761</v>
      </c>
    </row>
    <row r="164" spans="2:22" x14ac:dyDescent="0.25">
      <c r="B164" s="20" t="s">
        <v>25</v>
      </c>
      <c r="C164" s="17"/>
      <c r="D164" s="86" t="str">
        <f>INDEX(Cad_Natureza!$B$3:$C$52,MATCH('2025'!F164,Cad_Natureza!$C$3:$C$52,0),MATCH('2025'!D$2,Cad_Natureza!$B$3:$C$3,0))</f>
        <v>GAST1</v>
      </c>
      <c r="E164" s="84" t="s">
        <v>174</v>
      </c>
      <c r="F164" s="85" t="s">
        <v>742</v>
      </c>
      <c r="G164" s="86" t="s">
        <v>25</v>
      </c>
      <c r="H164" s="87">
        <v>45726</v>
      </c>
      <c r="I164" s="87"/>
      <c r="J164" s="79" t="s">
        <v>185</v>
      </c>
      <c r="K164" s="62">
        <v>-50</v>
      </c>
      <c r="L164" s="68">
        <v>1916.8899999999999</v>
      </c>
      <c r="M164" s="17"/>
      <c r="N164" s="21" t="str">
        <f t="shared" si="14"/>
        <v>MCSGAST1CPF - Desp. Lazer e Entretenimento - Bares</v>
      </c>
      <c r="O164" s="21" t="str">
        <f t="shared" si="15"/>
        <v>GAST1CPF - Desp. Lazer e Entretenimento - Bares</v>
      </c>
      <c r="P164" s="21" t="str">
        <f t="shared" si="16"/>
        <v>MCSGAST1CPF - Desp. Lazer e Entretenimento - Bares</v>
      </c>
      <c r="Q164" s="21" t="str">
        <f t="shared" si="17"/>
        <v>MCSGAST1</v>
      </c>
      <c r="R164" s="21" t="str">
        <f t="shared" si="18"/>
        <v>MCSGAST1</v>
      </c>
      <c r="S164" s="17"/>
      <c r="T164" s="24">
        <f t="shared" si="19"/>
        <v>45717</v>
      </c>
      <c r="U164" s="24" t="str">
        <f t="shared" si="20"/>
        <v/>
      </c>
      <c r="V164" s="14" t="s">
        <v>761</v>
      </c>
    </row>
    <row r="165" spans="2:22" x14ac:dyDescent="0.25">
      <c r="B165" s="20" t="s">
        <v>25</v>
      </c>
      <c r="C165" s="17"/>
      <c r="D165" s="86" t="str">
        <f>INDEX(Cad_Natureza!$B$3:$C$52,MATCH('2025'!F165,Cad_Natureza!$C$3:$C$52,0),MATCH('2025'!D$2,Cad_Natureza!$B$3:$C$3,0))</f>
        <v>OPF1</v>
      </c>
      <c r="E165" s="84" t="s">
        <v>175</v>
      </c>
      <c r="F165" s="85" t="s">
        <v>744</v>
      </c>
      <c r="G165" s="86" t="s">
        <v>25</v>
      </c>
      <c r="H165" s="87">
        <v>45727</v>
      </c>
      <c r="I165" s="87"/>
      <c r="J165" s="79" t="s">
        <v>182</v>
      </c>
      <c r="K165" s="62">
        <v>-23</v>
      </c>
      <c r="L165" s="68">
        <v>1893.8899999999999</v>
      </c>
      <c r="M165" s="17"/>
      <c r="N165" s="21" t="str">
        <f t="shared" si="14"/>
        <v>MCSOPF1CPF - Desp. Alimentação / Refeição</v>
      </c>
      <c r="O165" s="21" t="str">
        <f t="shared" si="15"/>
        <v>OPF1CPF - Desp. Alimentação / Refeição</v>
      </c>
      <c r="P165" s="21" t="str">
        <f t="shared" si="16"/>
        <v>MCSOPF1CPF - Desp. Alimentação / Refeição</v>
      </c>
      <c r="Q165" s="21" t="str">
        <f t="shared" si="17"/>
        <v>MCSOPF1</v>
      </c>
      <c r="R165" s="21" t="str">
        <f t="shared" si="18"/>
        <v>MCSOPF1</v>
      </c>
      <c r="S165" s="17"/>
      <c r="T165" s="24">
        <f t="shared" si="19"/>
        <v>45717</v>
      </c>
      <c r="U165" s="24" t="str">
        <f t="shared" si="20"/>
        <v/>
      </c>
      <c r="V165" s="14" t="s">
        <v>761</v>
      </c>
    </row>
    <row r="166" spans="2:22" x14ac:dyDescent="0.25">
      <c r="B166" s="20" t="s">
        <v>25</v>
      </c>
      <c r="C166" s="17"/>
      <c r="D166" s="86" t="str">
        <f>INDEX(Cad_Natureza!$B$3:$C$52,MATCH('2025'!F166,Cad_Natureza!$C$3:$C$52,0),MATCH('2025'!D$2,Cad_Natureza!$B$3:$C$3,0))</f>
        <v>GAST2</v>
      </c>
      <c r="E166" s="84" t="s">
        <v>176</v>
      </c>
      <c r="F166" s="85" t="s">
        <v>743</v>
      </c>
      <c r="G166" s="86" t="s">
        <v>25</v>
      </c>
      <c r="H166" s="87">
        <v>45727</v>
      </c>
      <c r="I166" s="87"/>
      <c r="J166" s="79" t="s">
        <v>180</v>
      </c>
      <c r="K166" s="62">
        <v>-35</v>
      </c>
      <c r="L166" s="68">
        <v>1858.8899999999999</v>
      </c>
      <c r="M166" s="17"/>
      <c r="N166" s="21" t="str">
        <f t="shared" si="14"/>
        <v>MCSGAST2CPF - Desp. Lazer e Entretenimento - Cigarro</v>
      </c>
      <c r="O166" s="21" t="str">
        <f t="shared" si="15"/>
        <v>GAST2CPF - Desp. Lazer e Entretenimento - Cigarro</v>
      </c>
      <c r="P166" s="21" t="str">
        <f t="shared" si="16"/>
        <v>MCSGAST2CPF - Desp. Lazer e Entretenimento - Cigarro</v>
      </c>
      <c r="Q166" s="21" t="str">
        <f t="shared" si="17"/>
        <v>MCSGAST2</v>
      </c>
      <c r="R166" s="21" t="str">
        <f t="shared" si="18"/>
        <v>MCSGAST2</v>
      </c>
      <c r="S166" s="17"/>
      <c r="T166" s="24">
        <f t="shared" si="19"/>
        <v>45717</v>
      </c>
      <c r="U166" s="24" t="str">
        <f t="shared" si="20"/>
        <v/>
      </c>
      <c r="V166" s="14" t="s">
        <v>761</v>
      </c>
    </row>
    <row r="167" spans="2:22" x14ac:dyDescent="0.25">
      <c r="B167" s="20" t="s">
        <v>25</v>
      </c>
      <c r="C167" s="17"/>
      <c r="D167" s="86" t="str">
        <f>INDEX(Cad_Natureza!$B$3:$C$52,MATCH('2025'!F167,Cad_Natureza!$C$3:$C$52,0),MATCH('2025'!D$2,Cad_Natureza!$B$3:$C$3,0))</f>
        <v>PENS2</v>
      </c>
      <c r="E167" s="84" t="s">
        <v>177</v>
      </c>
      <c r="F167" s="85" t="s">
        <v>715</v>
      </c>
      <c r="G167" s="86" t="s">
        <v>25</v>
      </c>
      <c r="H167" s="87">
        <v>45727</v>
      </c>
      <c r="I167" s="87"/>
      <c r="J167" s="78" t="s">
        <v>596</v>
      </c>
      <c r="K167" s="62">
        <v>-387.61</v>
      </c>
      <c r="L167" s="68">
        <v>1471.2799999999997</v>
      </c>
      <c r="M167" s="17"/>
      <c r="N167" s="21" t="str">
        <f t="shared" si="14"/>
        <v>MCSPENS2CPF - Pensão - Energia</v>
      </c>
      <c r="O167" s="21" t="str">
        <f t="shared" si="15"/>
        <v>PENS2CPF - Pensão - Energia</v>
      </c>
      <c r="P167" s="21" t="str">
        <f t="shared" si="16"/>
        <v>MCSPENS2CPF - Pensão - Energia</v>
      </c>
      <c r="Q167" s="21" t="str">
        <f t="shared" si="17"/>
        <v>MCSPENS2</v>
      </c>
      <c r="R167" s="21" t="str">
        <f t="shared" si="18"/>
        <v>MCSPENS2</v>
      </c>
      <c r="S167" s="17"/>
      <c r="T167" s="24">
        <f t="shared" si="19"/>
        <v>45717</v>
      </c>
      <c r="U167" s="24" t="str">
        <f t="shared" si="20"/>
        <v/>
      </c>
      <c r="V167" s="14" t="s">
        <v>731</v>
      </c>
    </row>
    <row r="168" spans="2:22" x14ac:dyDescent="0.25">
      <c r="B168" s="20" t="s">
        <v>25</v>
      </c>
      <c r="C168" s="17"/>
      <c r="D168" s="86" t="str">
        <f>INDEX(Cad_Natureza!$B$3:$C$52,MATCH('2025'!F168,Cad_Natureza!$C$3:$C$52,0),MATCH('2025'!D$2,Cad_Natureza!$B$3:$C$3,0))</f>
        <v>PENS2</v>
      </c>
      <c r="E168" s="84" t="s">
        <v>178</v>
      </c>
      <c r="F168" s="85" t="s">
        <v>715</v>
      </c>
      <c r="G168" s="86" t="s">
        <v>25</v>
      </c>
      <c r="H168" s="87">
        <v>45727</v>
      </c>
      <c r="I168" s="87"/>
      <c r="J168" s="78" t="s">
        <v>597</v>
      </c>
      <c r="K168" s="62">
        <v>-286.89999999999998</v>
      </c>
      <c r="L168" s="68">
        <v>1184.3799999999997</v>
      </c>
      <c r="M168" s="17"/>
      <c r="N168" s="21" t="str">
        <f t="shared" si="14"/>
        <v>MCSPENS2CPF - Pensão - Energia</v>
      </c>
      <c r="O168" s="21" t="str">
        <f t="shared" si="15"/>
        <v>PENS2CPF - Pensão - Energia</v>
      </c>
      <c r="P168" s="21" t="str">
        <f t="shared" si="16"/>
        <v>MCSPENS2CPF - Pensão - Energia</v>
      </c>
      <c r="Q168" s="21" t="str">
        <f t="shared" si="17"/>
        <v>MCSPENS2</v>
      </c>
      <c r="R168" s="21" t="str">
        <f t="shared" si="18"/>
        <v>MCSPENS2</v>
      </c>
      <c r="S168" s="17"/>
      <c r="T168" s="24">
        <f t="shared" si="19"/>
        <v>45717</v>
      </c>
      <c r="U168" s="24" t="str">
        <f t="shared" si="20"/>
        <v/>
      </c>
      <c r="V168" s="14" t="s">
        <v>731</v>
      </c>
    </row>
    <row r="169" spans="2:22" x14ac:dyDescent="0.25">
      <c r="B169" s="20" t="s">
        <v>25</v>
      </c>
      <c r="C169" s="17"/>
      <c r="D169" s="86" t="str">
        <f>INDEX(Cad_Natureza!$B$3:$C$52,MATCH('2025'!F169,Cad_Natureza!$C$3:$C$52,0),MATCH('2025'!D$2,Cad_Natureza!$B$3:$C$3,0))</f>
        <v>PENS5</v>
      </c>
      <c r="E169" s="84" t="s">
        <v>186</v>
      </c>
      <c r="F169" s="85" t="s">
        <v>716</v>
      </c>
      <c r="G169" s="86" t="s">
        <v>25</v>
      </c>
      <c r="H169" s="87">
        <v>45727</v>
      </c>
      <c r="I169" s="87"/>
      <c r="J169" s="78" t="s">
        <v>598</v>
      </c>
      <c r="K169" s="62">
        <v>-86</v>
      </c>
      <c r="L169" s="68">
        <v>1098.3799999999997</v>
      </c>
      <c r="M169" s="17"/>
      <c r="N169" s="21" t="str">
        <f t="shared" si="14"/>
        <v>MCSPENS5CPF - Pensão - Água</v>
      </c>
      <c r="O169" s="21" t="str">
        <f t="shared" si="15"/>
        <v>PENS5CPF - Pensão - Água</v>
      </c>
      <c r="P169" s="21" t="str">
        <f t="shared" si="16"/>
        <v>MCSPENS5CPF - Pensão - Água</v>
      </c>
      <c r="Q169" s="21" t="str">
        <f t="shared" si="17"/>
        <v>MCSPENS5</v>
      </c>
      <c r="R169" s="21" t="str">
        <f t="shared" si="18"/>
        <v>MCSPENS5</v>
      </c>
      <c r="S169" s="17"/>
      <c r="T169" s="24">
        <f t="shared" si="19"/>
        <v>45717</v>
      </c>
      <c r="U169" s="24" t="str">
        <f t="shared" si="20"/>
        <v/>
      </c>
      <c r="V169" s="14" t="s">
        <v>731</v>
      </c>
    </row>
    <row r="170" spans="2:22" x14ac:dyDescent="0.25">
      <c r="B170" s="20" t="s">
        <v>25</v>
      </c>
      <c r="C170" s="17"/>
      <c r="D170" s="86" t="str">
        <f>INDEX(Cad_Natureza!$B$3:$C$52,MATCH('2025'!F170,Cad_Natureza!$C$3:$C$52,0),MATCH('2025'!D$2,Cad_Natureza!$B$3:$C$3,0))</f>
        <v>PENS5</v>
      </c>
      <c r="E170" s="84" t="s">
        <v>187</v>
      </c>
      <c r="F170" s="85" t="s">
        <v>716</v>
      </c>
      <c r="G170" s="86" t="s">
        <v>25</v>
      </c>
      <c r="H170" s="87">
        <v>45727</v>
      </c>
      <c r="I170" s="87"/>
      <c r="J170" s="78" t="s">
        <v>599</v>
      </c>
      <c r="K170" s="62">
        <v>-62.84</v>
      </c>
      <c r="L170" s="68">
        <v>1035.5399999999997</v>
      </c>
      <c r="M170" s="17"/>
      <c r="N170" s="21" t="str">
        <f t="shared" si="14"/>
        <v>MCSPENS5CPF - Pensão - Água</v>
      </c>
      <c r="O170" s="21" t="str">
        <f t="shared" si="15"/>
        <v>PENS5CPF - Pensão - Água</v>
      </c>
      <c r="P170" s="21" t="str">
        <f t="shared" si="16"/>
        <v>MCSPENS5CPF - Pensão - Água</v>
      </c>
      <c r="Q170" s="21" t="str">
        <f t="shared" si="17"/>
        <v>MCSPENS5</v>
      </c>
      <c r="R170" s="21" t="str">
        <f t="shared" si="18"/>
        <v>MCSPENS5</v>
      </c>
      <c r="S170" s="17"/>
      <c r="T170" s="24">
        <f t="shared" si="19"/>
        <v>45717</v>
      </c>
      <c r="U170" s="24" t="str">
        <f t="shared" si="20"/>
        <v/>
      </c>
      <c r="V170" s="14" t="s">
        <v>731</v>
      </c>
    </row>
    <row r="171" spans="2:22" x14ac:dyDescent="0.25">
      <c r="B171" s="20" t="s">
        <v>25</v>
      </c>
      <c r="C171" s="17"/>
      <c r="D171" s="86" t="str">
        <f>INDEX(Cad_Natureza!$B$3:$C$52,MATCH('2025'!F171,Cad_Natureza!$C$3:$C$52,0),MATCH('2025'!D$2,Cad_Natureza!$B$3:$C$3,0))</f>
        <v>PENS9</v>
      </c>
      <c r="E171" s="84" t="s">
        <v>204</v>
      </c>
      <c r="F171" s="85" t="s">
        <v>735</v>
      </c>
      <c r="G171" s="86" t="s">
        <v>25</v>
      </c>
      <c r="H171" s="87">
        <v>45728</v>
      </c>
      <c r="I171" s="87"/>
      <c r="J171" s="78" t="s">
        <v>199</v>
      </c>
      <c r="K171" s="62">
        <v>-8</v>
      </c>
      <c r="L171" s="68">
        <v>1027.5399999999997</v>
      </c>
      <c r="M171" s="17"/>
      <c r="N171" s="21" t="str">
        <f t="shared" si="14"/>
        <v>MCSPENS9CPF - Pensão - Outros Gastos</v>
      </c>
      <c r="O171" s="21" t="str">
        <f t="shared" si="15"/>
        <v>PENS9CPF - Pensão - Outros Gastos</v>
      </c>
      <c r="P171" s="21" t="str">
        <f t="shared" si="16"/>
        <v>MCSPENS9CPF - Pensão - Outros Gastos</v>
      </c>
      <c r="Q171" s="21" t="str">
        <f t="shared" si="17"/>
        <v>MCSPENS9</v>
      </c>
      <c r="R171" s="21" t="str">
        <f t="shared" si="18"/>
        <v>MCSPENS9</v>
      </c>
      <c r="S171" s="17"/>
      <c r="T171" s="24">
        <f t="shared" si="19"/>
        <v>45717</v>
      </c>
      <c r="U171" s="24" t="str">
        <f t="shared" si="20"/>
        <v/>
      </c>
      <c r="V171" s="14" t="s">
        <v>731</v>
      </c>
    </row>
    <row r="172" spans="2:22" x14ac:dyDescent="0.25">
      <c r="B172" s="20" t="s">
        <v>25</v>
      </c>
      <c r="C172" s="17"/>
      <c r="D172" s="86" t="str">
        <f>INDEX(Cad_Natureza!$B$3:$C$52,MATCH('2025'!F172,Cad_Natureza!$C$3:$C$52,0),MATCH('2025'!D$2,Cad_Natureza!$B$3:$C$3,0))</f>
        <v>OPF1</v>
      </c>
      <c r="E172" s="84" t="s">
        <v>205</v>
      </c>
      <c r="F172" s="85" t="s">
        <v>744</v>
      </c>
      <c r="G172" s="86" t="s">
        <v>25</v>
      </c>
      <c r="H172" s="87">
        <v>45728</v>
      </c>
      <c r="I172" s="87"/>
      <c r="J172" s="79" t="s">
        <v>182</v>
      </c>
      <c r="K172" s="62">
        <v>-23</v>
      </c>
      <c r="L172" s="68">
        <v>1004.5399999999997</v>
      </c>
      <c r="M172" s="17"/>
      <c r="N172" s="21" t="str">
        <f t="shared" si="14"/>
        <v>MCSOPF1CPF - Desp. Alimentação / Refeição</v>
      </c>
      <c r="O172" s="21" t="str">
        <f t="shared" si="15"/>
        <v>OPF1CPF - Desp. Alimentação / Refeição</v>
      </c>
      <c r="P172" s="21" t="str">
        <f t="shared" si="16"/>
        <v>MCSOPF1CPF - Desp. Alimentação / Refeição</v>
      </c>
      <c r="Q172" s="21" t="str">
        <f t="shared" si="17"/>
        <v>MCSOPF1</v>
      </c>
      <c r="R172" s="21" t="str">
        <f t="shared" si="18"/>
        <v>MCSOPF1</v>
      </c>
      <c r="S172" s="17"/>
      <c r="T172" s="24">
        <f t="shared" si="19"/>
        <v>45717</v>
      </c>
      <c r="U172" s="24" t="str">
        <f t="shared" si="20"/>
        <v/>
      </c>
      <c r="V172" s="14" t="s">
        <v>761</v>
      </c>
    </row>
    <row r="173" spans="2:22" s="46" customFormat="1" x14ac:dyDescent="0.25">
      <c r="B173" s="37" t="s">
        <v>25</v>
      </c>
      <c r="C173" s="38"/>
      <c r="D173" s="86" t="str">
        <f>INDEX(Cad_Natureza!$B$3:$C$52,MATCH('2025'!F173,Cad_Natureza!$C$3:$C$52,0),MATCH('2025'!D$2,Cad_Natureza!$B$3:$C$3,0))</f>
        <v>FIN3</v>
      </c>
      <c r="E173" s="84" t="s">
        <v>181</v>
      </c>
      <c r="F173" s="85" t="s">
        <v>939</v>
      </c>
      <c r="G173" s="86" t="s">
        <v>25</v>
      </c>
      <c r="H173" s="87">
        <v>45729</v>
      </c>
      <c r="I173" s="87"/>
      <c r="J173" s="79" t="s">
        <v>572</v>
      </c>
      <c r="K173" s="62">
        <v>-538.03</v>
      </c>
      <c r="L173" s="68">
        <v>466.50999999999976</v>
      </c>
      <c r="M173" s="38"/>
      <c r="N173" s="44" t="str">
        <f t="shared" si="14"/>
        <v>MCSFIN3CPF - Desp. Financeiras - Empréstimos bancários</v>
      </c>
      <c r="O173" s="44" t="str">
        <f t="shared" si="15"/>
        <v>FIN3CPF - Desp. Financeiras - Empréstimos bancários</v>
      </c>
      <c r="P173" s="44" t="str">
        <f t="shared" si="16"/>
        <v>MCSFIN3CPF - Desp. Financeiras - Empréstimos bancários</v>
      </c>
      <c r="Q173" s="44" t="str">
        <f t="shared" si="17"/>
        <v>MCSFIN3</v>
      </c>
      <c r="R173" s="44" t="str">
        <f t="shared" si="18"/>
        <v>MCSFIN3</v>
      </c>
      <c r="S173" s="38"/>
      <c r="T173" s="45">
        <f t="shared" si="19"/>
        <v>45717</v>
      </c>
      <c r="U173" s="24" t="str">
        <f t="shared" si="20"/>
        <v/>
      </c>
      <c r="V173" s="14" t="s">
        <v>761</v>
      </c>
    </row>
    <row r="174" spans="2:22" s="46" customFormat="1" x14ac:dyDescent="0.25">
      <c r="B174" s="37" t="s">
        <v>25</v>
      </c>
      <c r="C174" s="38"/>
      <c r="D174" s="86" t="str">
        <f>INDEX(Cad_Natureza!$B$3:$C$52,MATCH('2025'!F174,Cad_Natureza!$C$3:$C$52,0),MATCH('2025'!D$2,Cad_Natureza!$B$3:$C$3,0))</f>
        <v>OPF1</v>
      </c>
      <c r="E174" s="84" t="s">
        <v>206</v>
      </c>
      <c r="F174" s="85" t="s">
        <v>744</v>
      </c>
      <c r="G174" s="86" t="s">
        <v>25</v>
      </c>
      <c r="H174" s="87">
        <v>45729</v>
      </c>
      <c r="I174" s="87"/>
      <c r="J174" s="79" t="s">
        <v>182</v>
      </c>
      <c r="K174" s="62">
        <v>-23</v>
      </c>
      <c r="L174" s="68">
        <v>443.50999999999976</v>
      </c>
      <c r="M174" s="38"/>
      <c r="N174" s="44" t="str">
        <f t="shared" si="14"/>
        <v>MCSOPF1CPF - Desp. Alimentação / Refeição</v>
      </c>
      <c r="O174" s="44" t="str">
        <f t="shared" si="15"/>
        <v>OPF1CPF - Desp. Alimentação / Refeição</v>
      </c>
      <c r="P174" s="44" t="str">
        <f t="shared" si="16"/>
        <v>MCSOPF1CPF - Desp. Alimentação / Refeição</v>
      </c>
      <c r="Q174" s="44" t="str">
        <f t="shared" si="17"/>
        <v>MCSOPF1</v>
      </c>
      <c r="R174" s="44" t="str">
        <f t="shared" si="18"/>
        <v>MCSOPF1</v>
      </c>
      <c r="S174" s="38"/>
      <c r="T174" s="45">
        <f t="shared" si="19"/>
        <v>45717</v>
      </c>
      <c r="U174" s="24" t="str">
        <f t="shared" si="20"/>
        <v/>
      </c>
      <c r="V174" s="14" t="s">
        <v>761</v>
      </c>
    </row>
    <row r="175" spans="2:22" s="46" customFormat="1" x14ac:dyDescent="0.25">
      <c r="B175" s="37" t="s">
        <v>25</v>
      </c>
      <c r="C175" s="38"/>
      <c r="D175" s="86" t="str">
        <f>INDEX(Cad_Natureza!$B$3:$C$52,MATCH('2025'!F175,Cad_Natureza!$C$3:$C$52,0),MATCH('2025'!D$2,Cad_Natureza!$B$3:$C$3,0))</f>
        <v>OPF1</v>
      </c>
      <c r="E175" s="84" t="s">
        <v>207</v>
      </c>
      <c r="F175" s="85" t="s">
        <v>744</v>
      </c>
      <c r="G175" s="86" t="s">
        <v>25</v>
      </c>
      <c r="H175" s="87">
        <v>45730</v>
      </c>
      <c r="I175" s="87"/>
      <c r="J175" s="79" t="s">
        <v>182</v>
      </c>
      <c r="K175" s="62">
        <v>-23</v>
      </c>
      <c r="L175" s="68">
        <v>420.50999999999976</v>
      </c>
      <c r="M175" s="38"/>
      <c r="N175" s="44" t="str">
        <f t="shared" si="14"/>
        <v>MCSOPF1CPF - Desp. Alimentação / Refeição</v>
      </c>
      <c r="O175" s="44" t="str">
        <f t="shared" si="15"/>
        <v>OPF1CPF - Desp. Alimentação / Refeição</v>
      </c>
      <c r="P175" s="44" t="str">
        <f t="shared" si="16"/>
        <v>MCSOPF1CPF - Desp. Alimentação / Refeição</v>
      </c>
      <c r="Q175" s="44" t="str">
        <f t="shared" si="17"/>
        <v>MCSOPF1</v>
      </c>
      <c r="R175" s="44" t="str">
        <f t="shared" si="18"/>
        <v>MCSOPF1</v>
      </c>
      <c r="S175" s="38"/>
      <c r="T175" s="45">
        <f t="shared" si="19"/>
        <v>45717</v>
      </c>
      <c r="U175" s="24" t="str">
        <f t="shared" si="20"/>
        <v/>
      </c>
      <c r="V175" s="14" t="s">
        <v>761</v>
      </c>
    </row>
    <row r="176" spans="2:22" s="46" customFormat="1" x14ac:dyDescent="0.25">
      <c r="B176" s="37" t="s">
        <v>25</v>
      </c>
      <c r="C176" s="38"/>
      <c r="D176" s="86" t="str">
        <f>INDEX(Cad_Natureza!$B$3:$C$52,MATCH('2025'!F176,Cad_Natureza!$C$3:$C$52,0),MATCH('2025'!D$2,Cad_Natureza!$B$3:$C$3,0))</f>
        <v>OPF2</v>
      </c>
      <c r="E176" s="79" t="s">
        <v>208</v>
      </c>
      <c r="F176" s="85" t="s">
        <v>741</v>
      </c>
      <c r="G176" s="86" t="s">
        <v>25</v>
      </c>
      <c r="H176" s="87">
        <v>45730</v>
      </c>
      <c r="I176" s="87"/>
      <c r="J176" s="79" t="s">
        <v>184</v>
      </c>
      <c r="K176" s="62">
        <v>-50</v>
      </c>
      <c r="L176" s="68">
        <v>370.50999999999976</v>
      </c>
      <c r="M176" s="38"/>
      <c r="N176" s="44" t="str">
        <f t="shared" si="14"/>
        <v>MCSOPF2CPF - Desp. Transporte / Combustível</v>
      </c>
      <c r="O176" s="44" t="str">
        <f t="shared" si="15"/>
        <v>OPF2CPF - Desp. Transporte / Combustível</v>
      </c>
      <c r="P176" s="44" t="str">
        <f t="shared" si="16"/>
        <v>MCSOPF2CPF - Desp. Transporte / Combustível</v>
      </c>
      <c r="Q176" s="44" t="str">
        <f t="shared" si="17"/>
        <v>MCSOPF2</v>
      </c>
      <c r="R176" s="44" t="str">
        <f t="shared" si="18"/>
        <v>MCSOPF2</v>
      </c>
      <c r="S176" s="38"/>
      <c r="T176" s="45">
        <f t="shared" si="19"/>
        <v>45717</v>
      </c>
      <c r="U176" s="24" t="str">
        <f t="shared" si="20"/>
        <v/>
      </c>
      <c r="V176" s="14" t="s">
        <v>761</v>
      </c>
    </row>
    <row r="177" spans="2:22" s="46" customFormat="1" x14ac:dyDescent="0.25">
      <c r="B177" s="37" t="s">
        <v>25</v>
      </c>
      <c r="C177" s="38"/>
      <c r="D177" s="86" t="str">
        <f>INDEX(Cad_Natureza!$B$3:$C$52,MATCH('2025'!F177,Cad_Natureza!$C$3:$C$52,0),MATCH('2025'!D$2,Cad_Natureza!$B$3:$C$3,0))</f>
        <v>GAST1</v>
      </c>
      <c r="E177" s="79" t="s">
        <v>209</v>
      </c>
      <c r="F177" s="85" t="s">
        <v>742</v>
      </c>
      <c r="G177" s="86" t="s">
        <v>25</v>
      </c>
      <c r="H177" s="87">
        <v>45730</v>
      </c>
      <c r="I177" s="87"/>
      <c r="J177" s="79" t="s">
        <v>185</v>
      </c>
      <c r="K177" s="62">
        <v>-10</v>
      </c>
      <c r="L177" s="68">
        <v>360.50999999999976</v>
      </c>
      <c r="M177" s="38"/>
      <c r="N177" s="44" t="str">
        <f t="shared" si="14"/>
        <v>MCSGAST1CPF - Desp. Lazer e Entretenimento - Bares</v>
      </c>
      <c r="O177" s="44" t="str">
        <f t="shared" si="15"/>
        <v>GAST1CPF - Desp. Lazer e Entretenimento - Bares</v>
      </c>
      <c r="P177" s="44" t="str">
        <f t="shared" si="16"/>
        <v>MCSGAST1CPF - Desp. Lazer e Entretenimento - Bares</v>
      </c>
      <c r="Q177" s="44" t="str">
        <f t="shared" si="17"/>
        <v>MCSGAST1</v>
      </c>
      <c r="R177" s="44" t="str">
        <f t="shared" si="18"/>
        <v>MCSGAST1</v>
      </c>
      <c r="S177" s="38"/>
      <c r="T177" s="45">
        <f t="shared" si="19"/>
        <v>45717</v>
      </c>
      <c r="U177" s="24" t="str">
        <f t="shared" si="20"/>
        <v/>
      </c>
      <c r="V177" s="14" t="s">
        <v>761</v>
      </c>
    </row>
    <row r="178" spans="2:22" s="46" customFormat="1" x14ac:dyDescent="0.25">
      <c r="B178" s="37" t="s">
        <v>25</v>
      </c>
      <c r="C178" s="38"/>
      <c r="D178" s="86" t="str">
        <f>INDEX(Cad_Natureza!$B$3:$C$52,MATCH('2025'!F178,Cad_Natureza!$C$3:$C$52,0),MATCH('2025'!D$2,Cad_Natureza!$B$3:$C$3,0))</f>
        <v>GAST1</v>
      </c>
      <c r="E178" s="84" t="s">
        <v>210</v>
      </c>
      <c r="F178" s="85" t="s">
        <v>742</v>
      </c>
      <c r="G178" s="86" t="s">
        <v>25</v>
      </c>
      <c r="H178" s="87">
        <v>45730</v>
      </c>
      <c r="I178" s="87"/>
      <c r="J178" s="79" t="s">
        <v>185</v>
      </c>
      <c r="K178" s="62">
        <v>-21</v>
      </c>
      <c r="L178" s="68">
        <v>339.50999999999976</v>
      </c>
      <c r="M178" s="38"/>
      <c r="N178" s="44" t="str">
        <f t="shared" si="14"/>
        <v>MCSGAST1CPF - Desp. Lazer e Entretenimento - Bares</v>
      </c>
      <c r="O178" s="44" t="str">
        <f t="shared" si="15"/>
        <v>GAST1CPF - Desp. Lazer e Entretenimento - Bares</v>
      </c>
      <c r="P178" s="44" t="str">
        <f t="shared" si="16"/>
        <v>MCSGAST1CPF - Desp. Lazer e Entretenimento - Bares</v>
      </c>
      <c r="Q178" s="44" t="str">
        <f t="shared" si="17"/>
        <v>MCSGAST1</v>
      </c>
      <c r="R178" s="44" t="str">
        <f t="shared" si="18"/>
        <v>MCSGAST1</v>
      </c>
      <c r="S178" s="38"/>
      <c r="T178" s="45">
        <f t="shared" si="19"/>
        <v>45717</v>
      </c>
      <c r="U178" s="24" t="str">
        <f t="shared" si="20"/>
        <v/>
      </c>
      <c r="V178" s="14" t="s">
        <v>761</v>
      </c>
    </row>
    <row r="179" spans="2:22" s="46" customFormat="1" x14ac:dyDescent="0.25">
      <c r="B179" s="37" t="s">
        <v>25</v>
      </c>
      <c r="C179" s="38"/>
      <c r="D179" s="86" t="str">
        <f>INDEX(Cad_Natureza!$B$3:$C$52,MATCH('2025'!F179,Cad_Natureza!$C$3:$C$52,0),MATCH('2025'!D$2,Cad_Natureza!$B$3:$C$3,0))</f>
        <v>GAST1</v>
      </c>
      <c r="E179" s="84" t="s">
        <v>211</v>
      </c>
      <c r="F179" s="85" t="s">
        <v>742</v>
      </c>
      <c r="G179" s="86" t="s">
        <v>25</v>
      </c>
      <c r="H179" s="87">
        <v>45730</v>
      </c>
      <c r="I179" s="87"/>
      <c r="J179" s="79" t="s">
        <v>185</v>
      </c>
      <c r="K179" s="62">
        <v>-7</v>
      </c>
      <c r="L179" s="68">
        <v>332.50999999999976</v>
      </c>
      <c r="M179" s="38"/>
      <c r="N179" s="44" t="str">
        <f t="shared" si="14"/>
        <v>MCSGAST1CPF - Desp. Lazer e Entretenimento - Bares</v>
      </c>
      <c r="O179" s="44" t="str">
        <f t="shared" si="15"/>
        <v>GAST1CPF - Desp. Lazer e Entretenimento - Bares</v>
      </c>
      <c r="P179" s="44" t="str">
        <f t="shared" si="16"/>
        <v>MCSGAST1CPF - Desp. Lazer e Entretenimento - Bares</v>
      </c>
      <c r="Q179" s="44" t="str">
        <f t="shared" si="17"/>
        <v>MCSGAST1</v>
      </c>
      <c r="R179" s="44" t="str">
        <f t="shared" si="18"/>
        <v>MCSGAST1</v>
      </c>
      <c r="S179" s="38"/>
      <c r="T179" s="45">
        <f t="shared" si="19"/>
        <v>45717</v>
      </c>
      <c r="U179" s="24" t="str">
        <f t="shared" si="20"/>
        <v/>
      </c>
      <c r="V179" s="14" t="s">
        <v>761</v>
      </c>
    </row>
    <row r="180" spans="2:22" s="46" customFormat="1" x14ac:dyDescent="0.25">
      <c r="B180" s="37" t="s">
        <v>25</v>
      </c>
      <c r="C180" s="38"/>
      <c r="D180" s="63" t="str">
        <f>INDEX(Cad_Natureza!$B$3:$C$52,MATCH('2025'!F180,Cad_Natureza!$C$3:$C$52,0),MATCH('2025'!D$2,Cad_Natureza!$B$3:$C$3,0))</f>
        <v>GAST1</v>
      </c>
      <c r="E180" s="64" t="s">
        <v>212</v>
      </c>
      <c r="F180" s="65" t="s">
        <v>742</v>
      </c>
      <c r="G180" s="63" t="s">
        <v>25</v>
      </c>
      <c r="H180" s="66">
        <v>45733</v>
      </c>
      <c r="I180" s="66"/>
      <c r="J180" s="67" t="s">
        <v>185</v>
      </c>
      <c r="K180" s="68">
        <v>0.1</v>
      </c>
      <c r="L180" s="68">
        <v>332.60999999999979</v>
      </c>
      <c r="M180" s="38"/>
      <c r="N180" s="44" t="str">
        <f t="shared" si="14"/>
        <v>MCSGAST1CPF - Desp. Lazer e Entretenimento - Bares</v>
      </c>
      <c r="O180" s="44" t="str">
        <f t="shared" si="15"/>
        <v>GAST1CPF - Desp. Lazer e Entretenimento - Bares</v>
      </c>
      <c r="P180" s="44" t="str">
        <f t="shared" si="16"/>
        <v>MCSGAST1CPF - Desp. Lazer e Entretenimento - Bares</v>
      </c>
      <c r="Q180" s="44" t="str">
        <f t="shared" si="17"/>
        <v>MCSGAST1</v>
      </c>
      <c r="R180" s="44" t="str">
        <f t="shared" si="18"/>
        <v>MCSGAST1</v>
      </c>
      <c r="S180" s="38"/>
      <c r="T180" s="45">
        <f t="shared" si="19"/>
        <v>45717</v>
      </c>
      <c r="U180" s="24" t="str">
        <f t="shared" si="20"/>
        <v/>
      </c>
      <c r="V180" s="14" t="s">
        <v>761</v>
      </c>
    </row>
    <row r="181" spans="2:22" s="46" customFormat="1" x14ac:dyDescent="0.25">
      <c r="B181" s="37" t="s">
        <v>25</v>
      </c>
      <c r="C181" s="38"/>
      <c r="D181" s="86" t="str">
        <f>INDEX(Cad_Natureza!$B$3:$C$52,MATCH('2025'!F181,Cad_Natureza!$C$3:$C$52,0),MATCH('2025'!D$2,Cad_Natureza!$B$3:$C$3,0))</f>
        <v>OPF2</v>
      </c>
      <c r="E181" s="84" t="s">
        <v>213</v>
      </c>
      <c r="F181" s="85" t="s">
        <v>741</v>
      </c>
      <c r="G181" s="86" t="s">
        <v>25</v>
      </c>
      <c r="H181" s="87">
        <v>45733</v>
      </c>
      <c r="I181" s="87"/>
      <c r="J181" s="79" t="s">
        <v>184</v>
      </c>
      <c r="K181" s="62">
        <v>-50</v>
      </c>
      <c r="L181" s="68">
        <v>282.60999999999979</v>
      </c>
      <c r="M181" s="38"/>
      <c r="N181" s="44" t="str">
        <f t="shared" si="14"/>
        <v>MCSOPF2CPF - Desp. Transporte / Combustível</v>
      </c>
      <c r="O181" s="44" t="str">
        <f t="shared" si="15"/>
        <v>OPF2CPF - Desp. Transporte / Combustível</v>
      </c>
      <c r="P181" s="44" t="str">
        <f t="shared" si="16"/>
        <v>MCSOPF2CPF - Desp. Transporte / Combustível</v>
      </c>
      <c r="Q181" s="44" t="str">
        <f t="shared" si="17"/>
        <v>MCSOPF2</v>
      </c>
      <c r="R181" s="44" t="str">
        <f t="shared" si="18"/>
        <v>MCSOPF2</v>
      </c>
      <c r="S181" s="38"/>
      <c r="T181" s="45">
        <f t="shared" si="19"/>
        <v>45717</v>
      </c>
      <c r="U181" s="24" t="str">
        <f t="shared" si="20"/>
        <v/>
      </c>
      <c r="V181" s="14" t="s">
        <v>761</v>
      </c>
    </row>
    <row r="182" spans="2:22" s="46" customFormat="1" x14ac:dyDescent="0.25">
      <c r="B182" s="37" t="s">
        <v>25</v>
      </c>
      <c r="C182" s="38"/>
      <c r="D182" s="86" t="str">
        <f>INDEX(Cad_Natureza!$B$3:$C$52,MATCH('2025'!F182,Cad_Natureza!$C$3:$C$52,0),MATCH('2025'!D$2,Cad_Natureza!$B$3:$C$3,0))</f>
        <v>GAST1</v>
      </c>
      <c r="E182" s="84" t="s">
        <v>212</v>
      </c>
      <c r="F182" s="85" t="s">
        <v>742</v>
      </c>
      <c r="G182" s="86" t="s">
        <v>25</v>
      </c>
      <c r="H182" s="87">
        <v>45733</v>
      </c>
      <c r="I182" s="87"/>
      <c r="J182" s="79" t="s">
        <v>185</v>
      </c>
      <c r="K182" s="62">
        <v>-1</v>
      </c>
      <c r="L182" s="68">
        <v>281.60999999999979</v>
      </c>
      <c r="M182" s="38"/>
      <c r="N182" s="44" t="str">
        <f t="shared" si="14"/>
        <v>MCSGAST1CPF - Desp. Lazer e Entretenimento - Bares</v>
      </c>
      <c r="O182" s="44" t="str">
        <f t="shared" si="15"/>
        <v>GAST1CPF - Desp. Lazer e Entretenimento - Bares</v>
      </c>
      <c r="P182" s="44" t="str">
        <f t="shared" si="16"/>
        <v>MCSGAST1CPF - Desp. Lazer e Entretenimento - Bares</v>
      </c>
      <c r="Q182" s="44" t="str">
        <f t="shared" si="17"/>
        <v>MCSGAST1</v>
      </c>
      <c r="R182" s="44" t="str">
        <f t="shared" si="18"/>
        <v>MCSGAST1</v>
      </c>
      <c r="S182" s="38"/>
      <c r="T182" s="45">
        <f t="shared" si="19"/>
        <v>45717</v>
      </c>
      <c r="U182" s="24" t="str">
        <f t="shared" si="20"/>
        <v/>
      </c>
      <c r="V182" s="14" t="s">
        <v>761</v>
      </c>
    </row>
    <row r="183" spans="2:22" s="46" customFormat="1" x14ac:dyDescent="0.25">
      <c r="B183" s="37" t="s">
        <v>25</v>
      </c>
      <c r="C183" s="38"/>
      <c r="D183" s="86" t="str">
        <f>INDEX(Cad_Natureza!$B$3:$C$52,MATCH('2025'!F183,Cad_Natureza!$C$3:$C$52,0),MATCH('2025'!D$2,Cad_Natureza!$B$3:$C$3,0))</f>
        <v>GAST1</v>
      </c>
      <c r="E183" s="84" t="s">
        <v>214</v>
      </c>
      <c r="F183" s="85" t="s">
        <v>742</v>
      </c>
      <c r="G183" s="86" t="s">
        <v>25</v>
      </c>
      <c r="H183" s="87">
        <v>45733</v>
      </c>
      <c r="I183" s="87"/>
      <c r="J183" s="79" t="s">
        <v>185</v>
      </c>
      <c r="K183" s="62">
        <v>-4.5</v>
      </c>
      <c r="L183" s="68">
        <v>277.10999999999979</v>
      </c>
      <c r="M183" s="38"/>
      <c r="N183" s="44" t="str">
        <f t="shared" si="14"/>
        <v>MCSGAST1CPF - Desp. Lazer e Entretenimento - Bares</v>
      </c>
      <c r="O183" s="44" t="str">
        <f t="shared" si="15"/>
        <v>GAST1CPF - Desp. Lazer e Entretenimento - Bares</v>
      </c>
      <c r="P183" s="44" t="str">
        <f t="shared" si="16"/>
        <v>MCSGAST1CPF - Desp. Lazer e Entretenimento - Bares</v>
      </c>
      <c r="Q183" s="44" t="str">
        <f t="shared" si="17"/>
        <v>MCSGAST1</v>
      </c>
      <c r="R183" s="44" t="str">
        <f t="shared" si="18"/>
        <v>MCSGAST1</v>
      </c>
      <c r="S183" s="38"/>
      <c r="T183" s="45">
        <f t="shared" si="19"/>
        <v>45717</v>
      </c>
      <c r="U183" s="24" t="str">
        <f t="shared" si="20"/>
        <v/>
      </c>
      <c r="V183" s="14" t="s">
        <v>761</v>
      </c>
    </row>
    <row r="184" spans="2:22" s="46" customFormat="1" x14ac:dyDescent="0.25">
      <c r="B184" s="37" t="s">
        <v>25</v>
      </c>
      <c r="C184" s="38"/>
      <c r="D184" s="86" t="str">
        <f>INDEX(Cad_Natureza!$B$3:$C$52,MATCH('2025'!F184,Cad_Natureza!$C$3:$C$52,0),MATCH('2025'!D$2,Cad_Natureza!$B$3:$C$3,0))</f>
        <v>GAST1</v>
      </c>
      <c r="E184" s="84" t="s">
        <v>215</v>
      </c>
      <c r="F184" s="85" t="s">
        <v>742</v>
      </c>
      <c r="G184" s="86" t="s">
        <v>25</v>
      </c>
      <c r="H184" s="87">
        <v>45733</v>
      </c>
      <c r="I184" s="87"/>
      <c r="J184" s="79" t="s">
        <v>185</v>
      </c>
      <c r="K184" s="62">
        <v>-15</v>
      </c>
      <c r="L184" s="68">
        <v>262.10999999999979</v>
      </c>
      <c r="M184" s="38"/>
      <c r="N184" s="44" t="str">
        <f t="shared" si="14"/>
        <v>MCSGAST1CPF - Desp. Lazer e Entretenimento - Bares</v>
      </c>
      <c r="O184" s="44" t="str">
        <f t="shared" si="15"/>
        <v>GAST1CPF - Desp. Lazer e Entretenimento - Bares</v>
      </c>
      <c r="P184" s="44" t="str">
        <f t="shared" si="16"/>
        <v>MCSGAST1CPF - Desp. Lazer e Entretenimento - Bares</v>
      </c>
      <c r="Q184" s="44" t="str">
        <f t="shared" si="17"/>
        <v>MCSGAST1</v>
      </c>
      <c r="R184" s="44" t="str">
        <f t="shared" si="18"/>
        <v>MCSGAST1</v>
      </c>
      <c r="S184" s="38"/>
      <c r="T184" s="45">
        <f t="shared" si="19"/>
        <v>45717</v>
      </c>
      <c r="U184" s="24" t="str">
        <f t="shared" si="20"/>
        <v/>
      </c>
      <c r="V184" s="14" t="s">
        <v>761</v>
      </c>
    </row>
    <row r="185" spans="2:22" s="46" customFormat="1" x14ac:dyDescent="0.25">
      <c r="B185" s="37" t="s">
        <v>25</v>
      </c>
      <c r="C185" s="38"/>
      <c r="D185" s="63" t="str">
        <f>INDEX(Cad_Natureza!$B$3:$C$52,MATCH('2025'!F185,Cad_Natureza!$C$3:$C$52,0),MATCH('2025'!D$2,Cad_Natureza!$B$3:$C$3,0))</f>
        <v>REC5</v>
      </c>
      <c r="E185" s="64" t="s">
        <v>216</v>
      </c>
      <c r="F185" s="65" t="s">
        <v>740</v>
      </c>
      <c r="G185" s="63" t="s">
        <v>25</v>
      </c>
      <c r="H185" s="66">
        <v>45733</v>
      </c>
      <c r="I185" s="66"/>
      <c r="J185" s="67" t="s">
        <v>610</v>
      </c>
      <c r="K185" s="68">
        <v>80</v>
      </c>
      <c r="L185" s="68">
        <v>342.10999999999979</v>
      </c>
      <c r="M185" s="38"/>
      <c r="N185" s="44" t="str">
        <f t="shared" si="14"/>
        <v>MCSREC5CPF - Outras receitas</v>
      </c>
      <c r="O185" s="44" t="str">
        <f t="shared" si="15"/>
        <v>REC5CPF - Outras receitas</v>
      </c>
      <c r="P185" s="44" t="str">
        <f t="shared" si="16"/>
        <v>MCSREC5CPF - Outras receitas</v>
      </c>
      <c r="Q185" s="44" t="str">
        <f t="shared" si="17"/>
        <v>MCSREC5</v>
      </c>
      <c r="R185" s="44" t="str">
        <f t="shared" si="18"/>
        <v>MCSREC5</v>
      </c>
      <c r="S185" s="38"/>
      <c r="T185" s="45">
        <f t="shared" si="19"/>
        <v>45717</v>
      </c>
      <c r="U185" s="24" t="str">
        <f t="shared" si="20"/>
        <v/>
      </c>
      <c r="V185" s="14" t="s">
        <v>761</v>
      </c>
    </row>
    <row r="186" spans="2:22" s="46" customFormat="1" x14ac:dyDescent="0.25">
      <c r="B186" s="37" t="s">
        <v>25</v>
      </c>
      <c r="C186" s="38"/>
      <c r="D186" s="86" t="str">
        <f>INDEX(Cad_Natureza!$B$3:$C$52,MATCH('2025'!F186,Cad_Natureza!$C$3:$C$52,0),MATCH('2025'!D$2,Cad_Natureza!$B$3:$C$3,0))</f>
        <v>OPF1</v>
      </c>
      <c r="E186" s="84" t="s">
        <v>217</v>
      </c>
      <c r="F186" s="85" t="s">
        <v>744</v>
      </c>
      <c r="G186" s="86" t="s">
        <v>25</v>
      </c>
      <c r="H186" s="87">
        <v>45733</v>
      </c>
      <c r="I186" s="87"/>
      <c r="J186" s="79" t="s">
        <v>182</v>
      </c>
      <c r="K186" s="62">
        <v>-23</v>
      </c>
      <c r="L186" s="68">
        <v>319.10999999999979</v>
      </c>
      <c r="M186" s="38"/>
      <c r="N186" s="44" t="str">
        <f t="shared" si="14"/>
        <v>MCSOPF1CPF - Desp. Alimentação / Refeição</v>
      </c>
      <c r="O186" s="44" t="str">
        <f t="shared" si="15"/>
        <v>OPF1CPF - Desp. Alimentação / Refeição</v>
      </c>
      <c r="P186" s="44" t="str">
        <f t="shared" si="16"/>
        <v>MCSOPF1CPF - Desp. Alimentação / Refeição</v>
      </c>
      <c r="Q186" s="44" t="str">
        <f t="shared" si="17"/>
        <v>MCSOPF1</v>
      </c>
      <c r="R186" s="44" t="str">
        <f t="shared" si="18"/>
        <v>MCSOPF1</v>
      </c>
      <c r="S186" s="38"/>
      <c r="T186" s="45">
        <f t="shared" si="19"/>
        <v>45717</v>
      </c>
      <c r="U186" s="24" t="str">
        <f t="shared" si="20"/>
        <v/>
      </c>
      <c r="V186" s="14" t="s">
        <v>761</v>
      </c>
    </row>
    <row r="187" spans="2:22" s="46" customFormat="1" x14ac:dyDescent="0.25">
      <c r="B187" s="37" t="s">
        <v>25</v>
      </c>
      <c r="C187" s="38"/>
      <c r="D187" s="86" t="str">
        <f>INDEX(Cad_Natureza!$B$3:$C$52,MATCH('2025'!F187,Cad_Natureza!$C$3:$C$52,0),MATCH('2025'!D$2,Cad_Natureza!$B$3:$C$3,0))</f>
        <v>PENS6</v>
      </c>
      <c r="E187" s="84" t="s">
        <v>218</v>
      </c>
      <c r="F187" s="85" t="s">
        <v>37</v>
      </c>
      <c r="G187" s="86" t="s">
        <v>25</v>
      </c>
      <c r="H187" s="87">
        <v>45733</v>
      </c>
      <c r="I187" s="87"/>
      <c r="J187" s="78" t="s">
        <v>196</v>
      </c>
      <c r="K187" s="62">
        <v>-35.99</v>
      </c>
      <c r="L187" s="68">
        <v>283.11999999999978</v>
      </c>
      <c r="M187" s="38"/>
      <c r="N187" s="44" t="str">
        <f t="shared" si="14"/>
        <v>MCSPENS6CPF - Pensão - Farmácia e Saúde</v>
      </c>
      <c r="O187" s="44" t="str">
        <f t="shared" si="15"/>
        <v>PENS6CPF - Pensão - Farmácia e Saúde</v>
      </c>
      <c r="P187" s="44" t="str">
        <f t="shared" si="16"/>
        <v>MCSPENS6CPF - Pensão - Farmácia e Saúde</v>
      </c>
      <c r="Q187" s="44" t="str">
        <f t="shared" si="17"/>
        <v>MCSPENS6</v>
      </c>
      <c r="R187" s="44" t="str">
        <f t="shared" si="18"/>
        <v>MCSPENS6</v>
      </c>
      <c r="S187" s="38"/>
      <c r="T187" s="45">
        <f t="shared" si="19"/>
        <v>45717</v>
      </c>
      <c r="U187" s="24" t="str">
        <f t="shared" si="20"/>
        <v/>
      </c>
      <c r="V187" s="14" t="s">
        <v>731</v>
      </c>
    </row>
    <row r="188" spans="2:22" s="46" customFormat="1" x14ac:dyDescent="0.25">
      <c r="B188" s="37" t="s">
        <v>25</v>
      </c>
      <c r="C188" s="38"/>
      <c r="D188" s="86" t="str">
        <f>INDEX(Cad_Natureza!$B$3:$C$52,MATCH('2025'!F188,Cad_Natureza!$C$3:$C$52,0),MATCH('2025'!D$2,Cad_Natureza!$B$3:$C$3,0))</f>
        <v>OPF1</v>
      </c>
      <c r="E188" s="84" t="s">
        <v>219</v>
      </c>
      <c r="F188" s="85" t="s">
        <v>744</v>
      </c>
      <c r="G188" s="86" t="s">
        <v>25</v>
      </c>
      <c r="H188" s="87">
        <v>45733</v>
      </c>
      <c r="I188" s="87"/>
      <c r="J188" s="79" t="s">
        <v>185</v>
      </c>
      <c r="K188" s="62">
        <v>-16</v>
      </c>
      <c r="L188" s="68">
        <v>267.11999999999978</v>
      </c>
      <c r="M188" s="38"/>
      <c r="N188" s="44" t="str">
        <f t="shared" si="14"/>
        <v>MCSOPF1CPF - Desp. Alimentação / Refeição</v>
      </c>
      <c r="O188" s="44" t="str">
        <f t="shared" si="15"/>
        <v>OPF1CPF - Desp. Alimentação / Refeição</v>
      </c>
      <c r="P188" s="44" t="str">
        <f t="shared" si="16"/>
        <v>MCSOPF1CPF - Desp. Alimentação / Refeição</v>
      </c>
      <c r="Q188" s="44" t="str">
        <f t="shared" si="17"/>
        <v>MCSOPF1</v>
      </c>
      <c r="R188" s="44" t="str">
        <f t="shared" si="18"/>
        <v>MCSOPF1</v>
      </c>
      <c r="S188" s="38"/>
      <c r="T188" s="45">
        <f t="shared" si="19"/>
        <v>45717</v>
      </c>
      <c r="U188" s="24" t="str">
        <f t="shared" si="20"/>
        <v/>
      </c>
      <c r="V188" s="14" t="s">
        <v>761</v>
      </c>
    </row>
    <row r="189" spans="2:22" s="46" customFormat="1" x14ac:dyDescent="0.25">
      <c r="B189" s="37" t="s">
        <v>25</v>
      </c>
      <c r="C189" s="38"/>
      <c r="D189" s="63" t="str">
        <f>INDEX(Cad_Natureza!$B$3:$C$52,MATCH('2025'!F189,Cad_Natureza!$C$3:$C$52,0),MATCH('2025'!D$2,Cad_Natureza!$B$3:$C$3,0))</f>
        <v>REC3</v>
      </c>
      <c r="E189" s="64" t="s">
        <v>220</v>
      </c>
      <c r="F189" s="65" t="s">
        <v>776</v>
      </c>
      <c r="G189" s="63" t="s">
        <v>25</v>
      </c>
      <c r="H189" s="66">
        <v>45733</v>
      </c>
      <c r="I189" s="66"/>
      <c r="J189" s="67" t="s">
        <v>612</v>
      </c>
      <c r="K189" s="68">
        <v>330</v>
      </c>
      <c r="L189" s="68">
        <v>597.11999999999978</v>
      </c>
      <c r="M189" s="38"/>
      <c r="N189" s="44" t="str">
        <f t="shared" si="14"/>
        <v>MCSREC3CPF - Ajuda de custo - Refeição</v>
      </c>
      <c r="O189" s="44" t="str">
        <f t="shared" si="15"/>
        <v>REC3CPF - Ajuda de custo - Refeição</v>
      </c>
      <c r="P189" s="44" t="str">
        <f t="shared" si="16"/>
        <v>MCSREC3CPF - Ajuda de custo - Refeição</v>
      </c>
      <c r="Q189" s="44" t="str">
        <f t="shared" si="17"/>
        <v>MCSREC3</v>
      </c>
      <c r="R189" s="44" t="str">
        <f t="shared" si="18"/>
        <v>MCSREC3</v>
      </c>
      <c r="S189" s="38"/>
      <c r="T189" s="45">
        <f t="shared" si="19"/>
        <v>45717</v>
      </c>
      <c r="U189" s="24" t="str">
        <f t="shared" si="20"/>
        <v/>
      </c>
      <c r="V189" s="14" t="s">
        <v>761</v>
      </c>
    </row>
    <row r="190" spans="2:22" s="46" customFormat="1" x14ac:dyDescent="0.25">
      <c r="B190" s="37" t="s">
        <v>25</v>
      </c>
      <c r="C190" s="38"/>
      <c r="D190" s="63" t="str">
        <f>INDEX(Cad_Natureza!$B$3:$C$52,MATCH('2025'!F190,Cad_Natureza!$C$3:$C$52,0),MATCH('2025'!D$2,Cad_Natureza!$B$3:$C$3,0))</f>
        <v>REC2</v>
      </c>
      <c r="E190" s="64" t="s">
        <v>220</v>
      </c>
      <c r="F190" s="65" t="s">
        <v>775</v>
      </c>
      <c r="G190" s="63" t="s">
        <v>25</v>
      </c>
      <c r="H190" s="66">
        <v>45733</v>
      </c>
      <c r="I190" s="66"/>
      <c r="J190" s="67" t="s">
        <v>611</v>
      </c>
      <c r="K190" s="68">
        <v>220</v>
      </c>
      <c r="L190" s="68">
        <v>817.11999999999978</v>
      </c>
      <c r="M190" s="38"/>
      <c r="N190" s="44" t="str">
        <f t="shared" si="14"/>
        <v>MCSREC2CPF - Ajuda de custo - Combustível</v>
      </c>
      <c r="O190" s="44" t="str">
        <f t="shared" si="15"/>
        <v>REC2CPF - Ajuda de custo - Combustível</v>
      </c>
      <c r="P190" s="44" t="str">
        <f t="shared" si="16"/>
        <v>MCSREC2CPF - Ajuda de custo - Combustível</v>
      </c>
      <c r="Q190" s="44" t="str">
        <f t="shared" si="17"/>
        <v>MCSREC2</v>
      </c>
      <c r="R190" s="44" t="str">
        <f t="shared" si="18"/>
        <v>MCSREC2</v>
      </c>
      <c r="S190" s="38"/>
      <c r="T190" s="45">
        <f t="shared" si="19"/>
        <v>45717</v>
      </c>
      <c r="U190" s="24" t="str">
        <f t="shared" si="20"/>
        <v/>
      </c>
      <c r="V190" s="14" t="s">
        <v>761</v>
      </c>
    </row>
    <row r="191" spans="2:22" s="46" customFormat="1" x14ac:dyDescent="0.25">
      <c r="B191" s="37" t="s">
        <v>25</v>
      </c>
      <c r="C191" s="38"/>
      <c r="D191" s="86" t="str">
        <f>INDEX(Cad_Natureza!$B$3:$C$52,MATCH('2025'!F191,Cad_Natureza!$C$3:$C$52,0),MATCH('2025'!D$2,Cad_Natureza!$B$3:$C$3,0))</f>
        <v>PENS6</v>
      </c>
      <c r="E191" s="84" t="s">
        <v>221</v>
      </c>
      <c r="F191" s="85" t="s">
        <v>37</v>
      </c>
      <c r="G191" s="86" t="s">
        <v>25</v>
      </c>
      <c r="H191" s="87">
        <v>45733</v>
      </c>
      <c r="I191" s="87"/>
      <c r="J191" s="78" t="s">
        <v>196</v>
      </c>
      <c r="K191" s="62">
        <v>-41.98</v>
      </c>
      <c r="L191" s="68">
        <v>775.13999999999976</v>
      </c>
      <c r="M191" s="38"/>
      <c r="N191" s="44" t="str">
        <f t="shared" si="14"/>
        <v>MCSPENS6CPF - Pensão - Farmácia e Saúde</v>
      </c>
      <c r="O191" s="44" t="str">
        <f t="shared" si="15"/>
        <v>PENS6CPF - Pensão - Farmácia e Saúde</v>
      </c>
      <c r="P191" s="44" t="str">
        <f t="shared" si="16"/>
        <v>MCSPENS6CPF - Pensão - Farmácia e Saúde</v>
      </c>
      <c r="Q191" s="44" t="str">
        <f t="shared" si="17"/>
        <v>MCSPENS6</v>
      </c>
      <c r="R191" s="44" t="str">
        <f t="shared" si="18"/>
        <v>MCSPENS6</v>
      </c>
      <c r="S191" s="38"/>
      <c r="T191" s="45">
        <f t="shared" si="19"/>
        <v>45717</v>
      </c>
      <c r="U191" s="24" t="str">
        <f t="shared" si="20"/>
        <v/>
      </c>
      <c r="V191" s="14" t="s">
        <v>731</v>
      </c>
    </row>
    <row r="192" spans="2:22" s="46" customFormat="1" x14ac:dyDescent="0.25">
      <c r="B192" s="37" t="s">
        <v>25</v>
      </c>
      <c r="C192" s="38"/>
      <c r="D192" s="86" t="str">
        <f>INDEX(Cad_Natureza!$B$3:$C$52,MATCH('2025'!F192,Cad_Natureza!$C$3:$C$52,0),MATCH('2025'!D$2,Cad_Natureza!$B$3:$C$3,0))</f>
        <v>DESP2</v>
      </c>
      <c r="E192" s="84" t="s">
        <v>222</v>
      </c>
      <c r="F192" s="85" t="s">
        <v>739</v>
      </c>
      <c r="G192" s="86" t="s">
        <v>25</v>
      </c>
      <c r="H192" s="87">
        <v>45733</v>
      </c>
      <c r="I192" s="87"/>
      <c r="J192" s="79" t="s">
        <v>355</v>
      </c>
      <c r="K192" s="62">
        <v>-95.9</v>
      </c>
      <c r="L192" s="68">
        <v>679.23999999999978</v>
      </c>
      <c r="M192" s="38"/>
      <c r="N192" s="44" t="str">
        <f t="shared" si="14"/>
        <v>MCSDESP2CPF - Desp. Telefone / Internet</v>
      </c>
      <c r="O192" s="44" t="str">
        <f t="shared" si="15"/>
        <v>DESP2CPF - Desp. Telefone / Internet</v>
      </c>
      <c r="P192" s="44" t="str">
        <f t="shared" si="16"/>
        <v>MCSDESP2CPF - Desp. Telefone / Internet</v>
      </c>
      <c r="Q192" s="44" t="str">
        <f t="shared" si="17"/>
        <v>MCSDESP2</v>
      </c>
      <c r="R192" s="44" t="str">
        <f t="shared" si="18"/>
        <v>MCSDESP2</v>
      </c>
      <c r="S192" s="38"/>
      <c r="T192" s="45">
        <f t="shared" si="19"/>
        <v>45717</v>
      </c>
      <c r="U192" s="24" t="str">
        <f t="shared" si="20"/>
        <v/>
      </c>
      <c r="V192" s="14" t="s">
        <v>761</v>
      </c>
    </row>
    <row r="193" spans="2:22" x14ac:dyDescent="0.25">
      <c r="B193" s="20" t="s">
        <v>25</v>
      </c>
      <c r="C193" s="17"/>
      <c r="D193" s="86" t="str">
        <f>INDEX(Cad_Natureza!$B$3:$C$52,MATCH('2025'!F193,Cad_Natureza!$C$3:$C$52,0),MATCH('2025'!D$2,Cad_Natureza!$B$3:$C$3,0))</f>
        <v>OPF1</v>
      </c>
      <c r="E193" s="84" t="s">
        <v>223</v>
      </c>
      <c r="F193" s="85" t="s">
        <v>744</v>
      </c>
      <c r="G193" s="86" t="s">
        <v>25</v>
      </c>
      <c r="H193" s="87">
        <v>45734</v>
      </c>
      <c r="I193" s="87"/>
      <c r="J193" s="79" t="s">
        <v>182</v>
      </c>
      <c r="K193" s="62">
        <v>-23</v>
      </c>
      <c r="L193" s="68">
        <v>656.23999999999978</v>
      </c>
      <c r="M193" s="17"/>
      <c r="N193" s="21" t="str">
        <f t="shared" si="14"/>
        <v>MCSOPF1CPF - Desp. Alimentação / Refeição</v>
      </c>
      <c r="O193" s="21" t="str">
        <f t="shared" si="15"/>
        <v>OPF1CPF - Desp. Alimentação / Refeição</v>
      </c>
      <c r="P193" s="21" t="str">
        <f t="shared" si="16"/>
        <v>MCSOPF1CPF - Desp. Alimentação / Refeição</v>
      </c>
      <c r="Q193" s="21" t="str">
        <f t="shared" si="17"/>
        <v>MCSOPF1</v>
      </c>
      <c r="R193" s="21" t="str">
        <f t="shared" si="18"/>
        <v>MCSOPF1</v>
      </c>
      <c r="S193" s="17"/>
      <c r="T193" s="24">
        <f t="shared" si="19"/>
        <v>45717</v>
      </c>
      <c r="U193" s="24" t="str">
        <f t="shared" si="20"/>
        <v/>
      </c>
      <c r="V193" s="14" t="s">
        <v>761</v>
      </c>
    </row>
    <row r="194" spans="2:22" x14ac:dyDescent="0.25">
      <c r="B194" s="20" t="s">
        <v>25</v>
      </c>
      <c r="C194" s="17"/>
      <c r="D194" s="86" t="str">
        <f>INDEX(Cad_Natureza!$B$3:$C$52,MATCH('2025'!F194,Cad_Natureza!$C$3:$C$52,0),MATCH('2025'!D$2,Cad_Natureza!$B$3:$C$3,0))</f>
        <v>OPF2</v>
      </c>
      <c r="E194" s="84" t="s">
        <v>224</v>
      </c>
      <c r="F194" s="85" t="s">
        <v>741</v>
      </c>
      <c r="G194" s="86" t="s">
        <v>25</v>
      </c>
      <c r="H194" s="87">
        <v>45735</v>
      </c>
      <c r="I194" s="87"/>
      <c r="J194" s="79" t="s">
        <v>184</v>
      </c>
      <c r="K194" s="62">
        <v>-50</v>
      </c>
      <c r="L194" s="68">
        <v>606.23999999999978</v>
      </c>
      <c r="M194" s="17"/>
      <c r="N194" s="21" t="str">
        <f t="shared" si="14"/>
        <v>MCSOPF2CPF - Desp. Transporte / Combustível</v>
      </c>
      <c r="O194" s="21" t="str">
        <f t="shared" si="15"/>
        <v>OPF2CPF - Desp. Transporte / Combustível</v>
      </c>
      <c r="P194" s="21" t="str">
        <f t="shared" si="16"/>
        <v>MCSOPF2CPF - Desp. Transporte / Combustível</v>
      </c>
      <c r="Q194" s="21" t="str">
        <f t="shared" si="17"/>
        <v>MCSOPF2</v>
      </c>
      <c r="R194" s="21" t="str">
        <f t="shared" si="18"/>
        <v>MCSOPF2</v>
      </c>
      <c r="S194" s="17"/>
      <c r="T194" s="24">
        <f t="shared" si="19"/>
        <v>45717</v>
      </c>
      <c r="U194" s="24" t="str">
        <f t="shared" si="20"/>
        <v/>
      </c>
      <c r="V194" s="14" t="s">
        <v>761</v>
      </c>
    </row>
    <row r="195" spans="2:22" x14ac:dyDescent="0.25">
      <c r="B195" s="20" t="s">
        <v>25</v>
      </c>
      <c r="C195" s="17"/>
      <c r="D195" s="86" t="str">
        <f>INDEX(Cad_Natureza!$B$3:$C$52,MATCH('2025'!F195,Cad_Natureza!$C$3:$C$52,0),MATCH('2025'!D$2,Cad_Natureza!$B$3:$C$3,0))</f>
        <v>OPF1</v>
      </c>
      <c r="E195" s="84" t="s">
        <v>225</v>
      </c>
      <c r="F195" s="85" t="s">
        <v>744</v>
      </c>
      <c r="G195" s="86" t="s">
        <v>25</v>
      </c>
      <c r="H195" s="87">
        <v>45735</v>
      </c>
      <c r="I195" s="87"/>
      <c r="J195" s="79" t="s">
        <v>182</v>
      </c>
      <c r="K195" s="62">
        <v>-23</v>
      </c>
      <c r="L195" s="68">
        <v>583.23999999999978</v>
      </c>
      <c r="M195" s="17"/>
      <c r="N195" s="21" t="str">
        <f t="shared" ref="N195:N258" si="21">B195&amp;D195&amp;F195</f>
        <v>MCSOPF1CPF - Desp. Alimentação / Refeição</v>
      </c>
      <c r="O195" s="21" t="str">
        <f t="shared" ref="O195:O258" si="22">D195&amp;F195</f>
        <v>OPF1CPF - Desp. Alimentação / Refeição</v>
      </c>
      <c r="P195" s="21" t="str">
        <f t="shared" ref="P195:P258" si="23">"MCS"&amp;D195&amp;F195</f>
        <v>MCSOPF1CPF - Desp. Alimentação / Refeição</v>
      </c>
      <c r="Q195" s="21" t="str">
        <f t="shared" ref="Q195:Q258" si="24">"MCS"&amp;D195</f>
        <v>MCSOPF1</v>
      </c>
      <c r="R195" s="21" t="str">
        <f t="shared" ref="R195:R258" si="25">B195&amp;D195</f>
        <v>MCSOPF1</v>
      </c>
      <c r="S195" s="17"/>
      <c r="T195" s="24">
        <f t="shared" ref="T195:T258" si="26">(1&amp;"/"&amp;MONTH(H195)&amp;"/"&amp;YEAR(H195))*1</f>
        <v>45717</v>
      </c>
      <c r="U195" s="24" t="str">
        <f t="shared" ref="U195:U258" si="27">IF(I195="","",(1&amp;"/"&amp;MONTH(I195)&amp;"/"&amp;YEAR(I195))*1)</f>
        <v/>
      </c>
      <c r="V195" s="14" t="s">
        <v>761</v>
      </c>
    </row>
    <row r="196" spans="2:22" x14ac:dyDescent="0.25">
      <c r="B196" s="20" t="s">
        <v>25</v>
      </c>
      <c r="C196" s="17"/>
      <c r="D196" s="86" t="str">
        <f>INDEX(Cad_Natureza!$B$3:$C$52,MATCH('2025'!F196,Cad_Natureza!$C$3:$C$52,0),MATCH('2025'!D$2,Cad_Natureza!$B$3:$C$3,0))</f>
        <v>GAST2</v>
      </c>
      <c r="E196" s="84" t="s">
        <v>226</v>
      </c>
      <c r="F196" s="85" t="s">
        <v>743</v>
      </c>
      <c r="G196" s="86" t="s">
        <v>25</v>
      </c>
      <c r="H196" s="87">
        <v>45735</v>
      </c>
      <c r="I196" s="87"/>
      <c r="J196" s="79" t="s">
        <v>180</v>
      </c>
      <c r="K196" s="62">
        <v>-35</v>
      </c>
      <c r="L196" s="68">
        <v>548.23999999999978</v>
      </c>
      <c r="M196" s="17"/>
      <c r="N196" s="21" t="str">
        <f t="shared" si="21"/>
        <v>MCSGAST2CPF - Desp. Lazer e Entretenimento - Cigarro</v>
      </c>
      <c r="O196" s="21" t="str">
        <f t="shared" si="22"/>
        <v>GAST2CPF - Desp. Lazer e Entretenimento - Cigarro</v>
      </c>
      <c r="P196" s="21" t="str">
        <f t="shared" si="23"/>
        <v>MCSGAST2CPF - Desp. Lazer e Entretenimento - Cigarro</v>
      </c>
      <c r="Q196" s="21" t="str">
        <f t="shared" si="24"/>
        <v>MCSGAST2</v>
      </c>
      <c r="R196" s="21" t="str">
        <f t="shared" si="25"/>
        <v>MCSGAST2</v>
      </c>
      <c r="S196" s="17"/>
      <c r="T196" s="24">
        <f t="shared" si="26"/>
        <v>45717</v>
      </c>
      <c r="U196" s="24" t="str">
        <f t="shared" si="27"/>
        <v/>
      </c>
      <c r="V196" s="14" t="s">
        <v>761</v>
      </c>
    </row>
    <row r="197" spans="2:22" x14ac:dyDescent="0.25">
      <c r="B197" s="20" t="s">
        <v>25</v>
      </c>
      <c r="C197" s="17"/>
      <c r="D197" s="86" t="str">
        <f>INDEX(Cad_Natureza!$B$3:$C$52,MATCH('2025'!F197,Cad_Natureza!$C$3:$C$52,0),MATCH('2025'!D$2,Cad_Natureza!$B$3:$C$3,0))</f>
        <v>OPF1</v>
      </c>
      <c r="E197" s="84" t="s">
        <v>227</v>
      </c>
      <c r="F197" s="85" t="s">
        <v>744</v>
      </c>
      <c r="G197" s="86" t="s">
        <v>25</v>
      </c>
      <c r="H197" s="87">
        <v>45736</v>
      </c>
      <c r="I197" s="87"/>
      <c r="J197" s="79" t="s">
        <v>182</v>
      </c>
      <c r="K197" s="62">
        <v>-23</v>
      </c>
      <c r="L197" s="68">
        <v>525.23999999999978</v>
      </c>
      <c r="M197" s="17"/>
      <c r="N197" s="21" t="str">
        <f t="shared" si="21"/>
        <v>MCSOPF1CPF - Desp. Alimentação / Refeição</v>
      </c>
      <c r="O197" s="21" t="str">
        <f t="shared" si="22"/>
        <v>OPF1CPF - Desp. Alimentação / Refeição</v>
      </c>
      <c r="P197" s="21" t="str">
        <f t="shared" si="23"/>
        <v>MCSOPF1CPF - Desp. Alimentação / Refeição</v>
      </c>
      <c r="Q197" s="21" t="str">
        <f t="shared" si="24"/>
        <v>MCSOPF1</v>
      </c>
      <c r="R197" s="21" t="str">
        <f t="shared" si="25"/>
        <v>MCSOPF1</v>
      </c>
      <c r="S197" s="17"/>
      <c r="T197" s="24">
        <f t="shared" si="26"/>
        <v>45717</v>
      </c>
      <c r="U197" s="24" t="str">
        <f t="shared" si="27"/>
        <v/>
      </c>
      <c r="V197" s="14" t="s">
        <v>761</v>
      </c>
    </row>
    <row r="198" spans="2:22" x14ac:dyDescent="0.25">
      <c r="B198" s="20" t="s">
        <v>25</v>
      </c>
      <c r="C198" s="17"/>
      <c r="D198" s="86" t="str">
        <f>INDEX(Cad_Natureza!$B$3:$C$52,MATCH('2025'!F198,Cad_Natureza!$C$3:$C$52,0),MATCH('2025'!D$2,Cad_Natureza!$B$3:$C$3,0))</f>
        <v>FIN2</v>
      </c>
      <c r="E198" s="84" t="s">
        <v>228</v>
      </c>
      <c r="F198" s="85" t="s">
        <v>751</v>
      </c>
      <c r="G198" s="86" t="s">
        <v>25</v>
      </c>
      <c r="H198" s="87">
        <v>45736</v>
      </c>
      <c r="I198" s="87"/>
      <c r="J198" s="79" t="s">
        <v>193</v>
      </c>
      <c r="K198" s="62">
        <v>-0.27</v>
      </c>
      <c r="L198" s="68">
        <v>524.9699999999998</v>
      </c>
      <c r="M198" s="17"/>
      <c r="N198" s="21" t="str">
        <f t="shared" si="21"/>
        <v>MCSFIN2CPF - Desp. Financeiras - Juros / Tarifas</v>
      </c>
      <c r="O198" s="21" t="str">
        <f t="shared" si="22"/>
        <v>FIN2CPF - Desp. Financeiras - Juros / Tarifas</v>
      </c>
      <c r="P198" s="21" t="str">
        <f t="shared" si="23"/>
        <v>MCSFIN2CPF - Desp. Financeiras - Juros / Tarifas</v>
      </c>
      <c r="Q198" s="21" t="str">
        <f t="shared" si="24"/>
        <v>MCSFIN2</v>
      </c>
      <c r="R198" s="21" t="str">
        <f t="shared" si="25"/>
        <v>MCSFIN2</v>
      </c>
      <c r="S198" s="17"/>
      <c r="T198" s="24">
        <f t="shared" si="26"/>
        <v>45717</v>
      </c>
      <c r="U198" s="24" t="str">
        <f t="shared" si="27"/>
        <v/>
      </c>
      <c r="V198" s="14" t="s">
        <v>761</v>
      </c>
    </row>
    <row r="199" spans="2:22" x14ac:dyDescent="0.25">
      <c r="B199" s="20" t="s">
        <v>25</v>
      </c>
      <c r="C199" s="17"/>
      <c r="D199" s="86" t="str">
        <f>INDEX(Cad_Natureza!$B$3:$C$52,MATCH('2025'!F199,Cad_Natureza!$C$3:$C$52,0),MATCH('2025'!D$2,Cad_Natureza!$B$3:$C$3,0))</f>
        <v>PENS9</v>
      </c>
      <c r="E199" s="84" t="s">
        <v>229</v>
      </c>
      <c r="F199" s="85" t="s">
        <v>735</v>
      </c>
      <c r="G199" s="86" t="s">
        <v>25</v>
      </c>
      <c r="H199" s="87">
        <v>45737</v>
      </c>
      <c r="I199" s="87"/>
      <c r="J199" s="78" t="s">
        <v>199</v>
      </c>
      <c r="K199" s="62">
        <v>-200</v>
      </c>
      <c r="L199" s="68">
        <v>324.9699999999998</v>
      </c>
      <c r="M199" s="17"/>
      <c r="N199" s="21" t="str">
        <f t="shared" si="21"/>
        <v>MCSPENS9CPF - Pensão - Outros Gastos</v>
      </c>
      <c r="O199" s="21" t="str">
        <f t="shared" si="22"/>
        <v>PENS9CPF - Pensão - Outros Gastos</v>
      </c>
      <c r="P199" s="21" t="str">
        <f t="shared" si="23"/>
        <v>MCSPENS9CPF - Pensão - Outros Gastos</v>
      </c>
      <c r="Q199" s="21" t="str">
        <f t="shared" si="24"/>
        <v>MCSPENS9</v>
      </c>
      <c r="R199" s="21" t="str">
        <f t="shared" si="25"/>
        <v>MCSPENS9</v>
      </c>
      <c r="S199" s="17"/>
      <c r="T199" s="24">
        <f t="shared" si="26"/>
        <v>45717</v>
      </c>
      <c r="U199" s="24" t="str">
        <f t="shared" si="27"/>
        <v/>
      </c>
      <c r="V199" s="14" t="s">
        <v>731</v>
      </c>
    </row>
    <row r="200" spans="2:22" x14ac:dyDescent="0.25">
      <c r="B200" s="20" t="s">
        <v>25</v>
      </c>
      <c r="C200" s="17"/>
      <c r="D200" s="86" t="str">
        <f>INDEX(Cad_Natureza!$B$3:$C$52,MATCH('2025'!F200,Cad_Natureza!$C$3:$C$52,0),MATCH('2025'!D$2,Cad_Natureza!$B$3:$C$3,0))</f>
        <v>OPF1</v>
      </c>
      <c r="E200" s="84" t="s">
        <v>230</v>
      </c>
      <c r="F200" s="85" t="s">
        <v>744</v>
      </c>
      <c r="G200" s="86" t="s">
        <v>25</v>
      </c>
      <c r="H200" s="87">
        <v>45737</v>
      </c>
      <c r="I200" s="87"/>
      <c r="J200" s="79" t="s">
        <v>182</v>
      </c>
      <c r="K200" s="62">
        <v>-23</v>
      </c>
      <c r="L200" s="68">
        <v>301.9699999999998</v>
      </c>
      <c r="M200" s="17"/>
      <c r="N200" s="21" t="str">
        <f t="shared" si="21"/>
        <v>MCSOPF1CPF - Desp. Alimentação / Refeição</v>
      </c>
      <c r="O200" s="21" t="str">
        <f t="shared" si="22"/>
        <v>OPF1CPF - Desp. Alimentação / Refeição</v>
      </c>
      <c r="P200" s="21" t="str">
        <f t="shared" si="23"/>
        <v>MCSOPF1CPF - Desp. Alimentação / Refeição</v>
      </c>
      <c r="Q200" s="21" t="str">
        <f t="shared" si="24"/>
        <v>MCSOPF1</v>
      </c>
      <c r="R200" s="21" t="str">
        <f t="shared" si="25"/>
        <v>MCSOPF1</v>
      </c>
      <c r="S200" s="17"/>
      <c r="T200" s="24">
        <f t="shared" si="26"/>
        <v>45717</v>
      </c>
      <c r="U200" s="24" t="str">
        <f t="shared" si="27"/>
        <v/>
      </c>
      <c r="V200" s="14" t="s">
        <v>761</v>
      </c>
    </row>
    <row r="201" spans="2:22" x14ac:dyDescent="0.25">
      <c r="B201" s="20" t="s">
        <v>25</v>
      </c>
      <c r="C201" s="17"/>
      <c r="D201" s="86" t="str">
        <f>INDEX(Cad_Natureza!$B$3:$C$52,MATCH('2025'!F201,Cad_Natureza!$C$3:$C$52,0),MATCH('2025'!D$2,Cad_Natureza!$B$3:$C$3,0))</f>
        <v>GAST1</v>
      </c>
      <c r="E201" s="84" t="s">
        <v>231</v>
      </c>
      <c r="F201" s="85" t="s">
        <v>742</v>
      </c>
      <c r="G201" s="86" t="s">
        <v>25</v>
      </c>
      <c r="H201" s="87">
        <v>45737</v>
      </c>
      <c r="I201" s="87"/>
      <c r="J201" s="79" t="s">
        <v>185</v>
      </c>
      <c r="K201" s="62">
        <v>-22.5</v>
      </c>
      <c r="L201" s="68">
        <v>279.4699999999998</v>
      </c>
      <c r="M201" s="17"/>
      <c r="N201" s="21" t="str">
        <f t="shared" si="21"/>
        <v>MCSGAST1CPF - Desp. Lazer e Entretenimento - Bares</v>
      </c>
      <c r="O201" s="21" t="str">
        <f t="shared" si="22"/>
        <v>GAST1CPF - Desp. Lazer e Entretenimento - Bares</v>
      </c>
      <c r="P201" s="21" t="str">
        <f t="shared" si="23"/>
        <v>MCSGAST1CPF - Desp. Lazer e Entretenimento - Bares</v>
      </c>
      <c r="Q201" s="21" t="str">
        <f t="shared" si="24"/>
        <v>MCSGAST1</v>
      </c>
      <c r="R201" s="21" t="str">
        <f t="shared" si="25"/>
        <v>MCSGAST1</v>
      </c>
      <c r="S201" s="17"/>
      <c r="T201" s="24">
        <f t="shared" si="26"/>
        <v>45717</v>
      </c>
      <c r="U201" s="24" t="str">
        <f t="shared" si="27"/>
        <v/>
      </c>
      <c r="V201" s="14" t="s">
        <v>761</v>
      </c>
    </row>
    <row r="202" spans="2:22" x14ac:dyDescent="0.25">
      <c r="B202" s="20" t="s">
        <v>25</v>
      </c>
      <c r="C202" s="17"/>
      <c r="D202" s="86" t="str">
        <f>INDEX(Cad_Natureza!$B$3:$C$52,MATCH('2025'!F202,Cad_Natureza!$C$3:$C$52,0),MATCH('2025'!D$2,Cad_Natureza!$B$3:$C$3,0))</f>
        <v>GAST1</v>
      </c>
      <c r="E202" s="84" t="s">
        <v>232</v>
      </c>
      <c r="F202" s="85" t="s">
        <v>742</v>
      </c>
      <c r="G202" s="86" t="s">
        <v>25</v>
      </c>
      <c r="H202" s="87">
        <v>45737</v>
      </c>
      <c r="I202" s="87"/>
      <c r="J202" s="79" t="s">
        <v>185</v>
      </c>
      <c r="K202" s="62">
        <v>-5</v>
      </c>
      <c r="L202" s="68">
        <v>274.4699999999998</v>
      </c>
      <c r="M202" s="17"/>
      <c r="N202" s="21" t="str">
        <f t="shared" si="21"/>
        <v>MCSGAST1CPF - Desp. Lazer e Entretenimento - Bares</v>
      </c>
      <c r="O202" s="21" t="str">
        <f t="shared" si="22"/>
        <v>GAST1CPF - Desp. Lazer e Entretenimento - Bares</v>
      </c>
      <c r="P202" s="21" t="str">
        <f t="shared" si="23"/>
        <v>MCSGAST1CPF - Desp. Lazer e Entretenimento - Bares</v>
      </c>
      <c r="Q202" s="21" t="str">
        <f t="shared" si="24"/>
        <v>MCSGAST1</v>
      </c>
      <c r="R202" s="21" t="str">
        <f t="shared" si="25"/>
        <v>MCSGAST1</v>
      </c>
      <c r="S202" s="17"/>
      <c r="T202" s="24">
        <f t="shared" si="26"/>
        <v>45717</v>
      </c>
      <c r="U202" s="24" t="str">
        <f t="shared" si="27"/>
        <v/>
      </c>
      <c r="V202" s="14" t="s">
        <v>761</v>
      </c>
    </row>
    <row r="203" spans="2:22" x14ac:dyDescent="0.25">
      <c r="B203" s="20" t="s">
        <v>25</v>
      </c>
      <c r="C203" s="17"/>
      <c r="D203" s="86" t="str">
        <f>INDEX(Cad_Natureza!$B$3:$C$52,MATCH('2025'!F203,Cad_Natureza!$C$3:$C$52,0),MATCH('2025'!D$2,Cad_Natureza!$B$3:$C$3,0))</f>
        <v>GAST1</v>
      </c>
      <c r="E203" s="84" t="s">
        <v>232</v>
      </c>
      <c r="F203" s="85" t="s">
        <v>742</v>
      </c>
      <c r="G203" s="86" t="s">
        <v>25</v>
      </c>
      <c r="H203" s="87">
        <v>45737</v>
      </c>
      <c r="I203" s="87"/>
      <c r="J203" s="79" t="s">
        <v>185</v>
      </c>
      <c r="K203" s="62">
        <v>-5</v>
      </c>
      <c r="L203" s="68">
        <v>269.4699999999998</v>
      </c>
      <c r="M203" s="17"/>
      <c r="N203" s="21" t="str">
        <f t="shared" si="21"/>
        <v>MCSGAST1CPF - Desp. Lazer e Entretenimento - Bares</v>
      </c>
      <c r="O203" s="21" t="str">
        <f t="shared" si="22"/>
        <v>GAST1CPF - Desp. Lazer e Entretenimento - Bares</v>
      </c>
      <c r="P203" s="21" t="str">
        <f t="shared" si="23"/>
        <v>MCSGAST1CPF - Desp. Lazer e Entretenimento - Bares</v>
      </c>
      <c r="Q203" s="21" t="str">
        <f t="shared" si="24"/>
        <v>MCSGAST1</v>
      </c>
      <c r="R203" s="21" t="str">
        <f t="shared" si="25"/>
        <v>MCSGAST1</v>
      </c>
      <c r="S203" s="17"/>
      <c r="T203" s="24">
        <f t="shared" si="26"/>
        <v>45717</v>
      </c>
      <c r="U203" s="24" t="str">
        <f t="shared" si="27"/>
        <v/>
      </c>
      <c r="V203" s="14" t="s">
        <v>761</v>
      </c>
    </row>
    <row r="204" spans="2:22" x14ac:dyDescent="0.25">
      <c r="B204" s="20" t="s">
        <v>25</v>
      </c>
      <c r="C204" s="17"/>
      <c r="D204" s="86" t="str">
        <f>INDEX(Cad_Natureza!$B$3:$C$52,MATCH('2025'!F204,Cad_Natureza!$C$3:$C$52,0),MATCH('2025'!D$2,Cad_Natureza!$B$3:$C$3,0))</f>
        <v>OPF2</v>
      </c>
      <c r="E204" s="84" t="s">
        <v>233</v>
      </c>
      <c r="F204" s="85" t="s">
        <v>741</v>
      </c>
      <c r="G204" s="86" t="s">
        <v>25</v>
      </c>
      <c r="H204" s="87">
        <v>45740</v>
      </c>
      <c r="I204" s="87"/>
      <c r="J204" s="79" t="s">
        <v>184</v>
      </c>
      <c r="K204" s="62">
        <v>-50</v>
      </c>
      <c r="L204" s="68">
        <v>219.4699999999998</v>
      </c>
      <c r="M204" s="17"/>
      <c r="N204" s="21" t="str">
        <f t="shared" si="21"/>
        <v>MCSOPF2CPF - Desp. Transporte / Combustível</v>
      </c>
      <c r="O204" s="21" t="str">
        <f t="shared" si="22"/>
        <v>OPF2CPF - Desp. Transporte / Combustível</v>
      </c>
      <c r="P204" s="21" t="str">
        <f t="shared" si="23"/>
        <v>MCSOPF2CPF - Desp. Transporte / Combustível</v>
      </c>
      <c r="Q204" s="21" t="str">
        <f t="shared" si="24"/>
        <v>MCSOPF2</v>
      </c>
      <c r="R204" s="21" t="str">
        <f t="shared" si="25"/>
        <v>MCSOPF2</v>
      </c>
      <c r="S204" s="17"/>
      <c r="T204" s="24">
        <f t="shared" si="26"/>
        <v>45717</v>
      </c>
      <c r="U204" s="24" t="str">
        <f t="shared" si="27"/>
        <v/>
      </c>
      <c r="V204" s="14" t="s">
        <v>761</v>
      </c>
    </row>
    <row r="205" spans="2:22" x14ac:dyDescent="0.25">
      <c r="B205" s="20" t="s">
        <v>25</v>
      </c>
      <c r="C205" s="17"/>
      <c r="D205" s="86" t="str">
        <f>INDEX(Cad_Natureza!$B$3:$C$52,MATCH('2025'!F205,Cad_Natureza!$C$3:$C$52,0),MATCH('2025'!D$2,Cad_Natureza!$B$3:$C$3,0))</f>
        <v>OPF1</v>
      </c>
      <c r="E205" s="84" t="s">
        <v>234</v>
      </c>
      <c r="F205" s="85" t="s">
        <v>744</v>
      </c>
      <c r="G205" s="86" t="s">
        <v>25</v>
      </c>
      <c r="H205" s="87">
        <v>45740</v>
      </c>
      <c r="I205" s="87"/>
      <c r="J205" s="79" t="s">
        <v>182</v>
      </c>
      <c r="K205" s="62">
        <v>-23</v>
      </c>
      <c r="L205" s="68">
        <v>196.4699999999998</v>
      </c>
      <c r="M205" s="17"/>
      <c r="N205" s="21" t="str">
        <f t="shared" si="21"/>
        <v>MCSOPF1CPF - Desp. Alimentação / Refeição</v>
      </c>
      <c r="O205" s="21" t="str">
        <f t="shared" si="22"/>
        <v>OPF1CPF - Desp. Alimentação / Refeição</v>
      </c>
      <c r="P205" s="21" t="str">
        <f t="shared" si="23"/>
        <v>MCSOPF1CPF - Desp. Alimentação / Refeição</v>
      </c>
      <c r="Q205" s="21" t="str">
        <f t="shared" si="24"/>
        <v>MCSOPF1</v>
      </c>
      <c r="R205" s="21" t="str">
        <f t="shared" si="25"/>
        <v>MCSOPF1</v>
      </c>
      <c r="S205" s="17"/>
      <c r="T205" s="24">
        <f t="shared" si="26"/>
        <v>45717</v>
      </c>
      <c r="U205" s="24" t="str">
        <f t="shared" si="27"/>
        <v/>
      </c>
      <c r="V205" s="14" t="s">
        <v>761</v>
      </c>
    </row>
    <row r="206" spans="2:22" x14ac:dyDescent="0.25">
      <c r="B206" s="20" t="s">
        <v>25</v>
      </c>
      <c r="C206" s="17"/>
      <c r="D206" s="63" t="str">
        <f>INDEX(Cad_Natureza!$B$3:$C$52,MATCH('2025'!F206,Cad_Natureza!$C$3:$C$52,0),MATCH('2025'!D$2,Cad_Natureza!$B$3:$C$3,0))</f>
        <v>REC7</v>
      </c>
      <c r="E206" s="64" t="s">
        <v>235</v>
      </c>
      <c r="F206" s="65" t="s">
        <v>774</v>
      </c>
      <c r="G206" s="63" t="s">
        <v>25</v>
      </c>
      <c r="H206" s="66">
        <v>45740</v>
      </c>
      <c r="I206" s="66"/>
      <c r="J206" s="81" t="s">
        <v>358</v>
      </c>
      <c r="K206" s="82">
        <v>4000</v>
      </c>
      <c r="L206" s="68">
        <v>4196.4699999999993</v>
      </c>
      <c r="M206" s="17"/>
      <c r="N206" s="21" t="str">
        <f t="shared" si="21"/>
        <v>MCSREC7CPF - Rec. Financeiras - Empréstimos</v>
      </c>
      <c r="O206" s="21" t="str">
        <f t="shared" si="22"/>
        <v>REC7CPF - Rec. Financeiras - Empréstimos</v>
      </c>
      <c r="P206" s="21" t="str">
        <f t="shared" si="23"/>
        <v>MCSREC7CPF - Rec. Financeiras - Empréstimos</v>
      </c>
      <c r="Q206" s="21" t="str">
        <f t="shared" si="24"/>
        <v>MCSREC7</v>
      </c>
      <c r="R206" s="21" t="str">
        <f t="shared" si="25"/>
        <v>MCSREC7</v>
      </c>
      <c r="S206" s="17"/>
      <c r="T206" s="24">
        <f t="shared" si="26"/>
        <v>45717</v>
      </c>
      <c r="U206" s="24" t="str">
        <f t="shared" si="27"/>
        <v/>
      </c>
      <c r="V206" s="14" t="s">
        <v>761</v>
      </c>
    </row>
    <row r="207" spans="2:22" x14ac:dyDescent="0.25">
      <c r="B207" s="20" t="s">
        <v>25</v>
      </c>
      <c r="C207" s="17"/>
      <c r="D207" s="86" t="str">
        <f>INDEX(Cad_Natureza!$B$3:$C$52,MATCH('2025'!F207,Cad_Natureza!$C$3:$C$52,0),MATCH('2025'!D$2,Cad_Natureza!$B$3:$C$3,0))</f>
        <v>OPF1</v>
      </c>
      <c r="E207" s="84" t="s">
        <v>236</v>
      </c>
      <c r="F207" s="85" t="s">
        <v>744</v>
      </c>
      <c r="G207" s="86" t="s">
        <v>25</v>
      </c>
      <c r="H207" s="87">
        <v>45740</v>
      </c>
      <c r="I207" s="87"/>
      <c r="J207" s="79" t="s">
        <v>185</v>
      </c>
      <c r="K207" s="62">
        <v>-6.5</v>
      </c>
      <c r="L207" s="68">
        <v>4189.9699999999993</v>
      </c>
      <c r="M207" s="17"/>
      <c r="N207" s="21" t="str">
        <f t="shared" si="21"/>
        <v>MCSOPF1CPF - Desp. Alimentação / Refeição</v>
      </c>
      <c r="O207" s="21" t="str">
        <f t="shared" si="22"/>
        <v>OPF1CPF - Desp. Alimentação / Refeição</v>
      </c>
      <c r="P207" s="21" t="str">
        <f t="shared" si="23"/>
        <v>MCSOPF1CPF - Desp. Alimentação / Refeição</v>
      </c>
      <c r="Q207" s="21" t="str">
        <f t="shared" si="24"/>
        <v>MCSOPF1</v>
      </c>
      <c r="R207" s="21" t="str">
        <f t="shared" si="25"/>
        <v>MCSOPF1</v>
      </c>
      <c r="S207" s="17"/>
      <c r="T207" s="24">
        <f t="shared" si="26"/>
        <v>45717</v>
      </c>
      <c r="U207" s="24" t="str">
        <f t="shared" si="27"/>
        <v/>
      </c>
      <c r="V207" s="14" t="s">
        <v>761</v>
      </c>
    </row>
    <row r="208" spans="2:22" x14ac:dyDescent="0.25">
      <c r="B208" s="20" t="s">
        <v>25</v>
      </c>
      <c r="C208" s="17"/>
      <c r="D208" s="86" t="str">
        <f>INDEX(Cad_Natureza!$B$3:$C$52,MATCH('2025'!F208,Cad_Natureza!$C$3:$C$52,0),MATCH('2025'!D$2,Cad_Natureza!$B$3:$C$3,0))</f>
        <v>PENS4</v>
      </c>
      <c r="E208" s="84" t="s">
        <v>237</v>
      </c>
      <c r="F208" s="85" t="s">
        <v>749</v>
      </c>
      <c r="G208" s="86" t="s">
        <v>25</v>
      </c>
      <c r="H208" s="87">
        <v>45740</v>
      </c>
      <c r="I208" s="87"/>
      <c r="J208" s="78" t="s">
        <v>600</v>
      </c>
      <c r="K208" s="62">
        <v>-70</v>
      </c>
      <c r="L208" s="68">
        <v>4119.9699999999993</v>
      </c>
      <c r="M208" s="17"/>
      <c r="N208" s="21" t="str">
        <f t="shared" si="21"/>
        <v>MCSPENS4CPF - Pensão - Supermercado</v>
      </c>
      <c r="O208" s="21" t="str">
        <f t="shared" si="22"/>
        <v>PENS4CPF - Pensão - Supermercado</v>
      </c>
      <c r="P208" s="21" t="str">
        <f t="shared" si="23"/>
        <v>MCSPENS4CPF - Pensão - Supermercado</v>
      </c>
      <c r="Q208" s="21" t="str">
        <f t="shared" si="24"/>
        <v>MCSPENS4</v>
      </c>
      <c r="R208" s="21" t="str">
        <f t="shared" si="25"/>
        <v>MCSPENS4</v>
      </c>
      <c r="S208" s="17"/>
      <c r="T208" s="24">
        <f t="shared" si="26"/>
        <v>45717</v>
      </c>
      <c r="U208" s="24" t="str">
        <f t="shared" si="27"/>
        <v/>
      </c>
      <c r="V208" s="14" t="s">
        <v>731</v>
      </c>
    </row>
    <row r="209" spans="2:22" x14ac:dyDescent="0.25">
      <c r="B209" s="20" t="s">
        <v>25</v>
      </c>
      <c r="C209" s="17"/>
      <c r="D209" s="86" t="str">
        <f>INDEX(Cad_Natureza!$B$3:$C$52,MATCH('2025'!F209,Cad_Natureza!$C$3:$C$52,0),MATCH('2025'!D$2,Cad_Natureza!$B$3:$C$3,0))</f>
        <v>DESP5</v>
      </c>
      <c r="E209" s="84" t="s">
        <v>238</v>
      </c>
      <c r="F209" s="85" t="s">
        <v>752</v>
      </c>
      <c r="G209" s="86" t="s">
        <v>25</v>
      </c>
      <c r="H209" s="87">
        <v>45741</v>
      </c>
      <c r="I209" s="87"/>
      <c r="J209" s="79" t="s">
        <v>183</v>
      </c>
      <c r="K209" s="62">
        <v>-2000</v>
      </c>
      <c r="L209" s="68">
        <v>2119.9699999999993</v>
      </c>
      <c r="M209" s="17"/>
      <c r="N209" s="21" t="str">
        <f t="shared" si="21"/>
        <v>MCSDESP5CPF - Transf. Da conta PF para a conta PJ</v>
      </c>
      <c r="O209" s="21" t="str">
        <f t="shared" si="22"/>
        <v>DESP5CPF - Transf. Da conta PF para a conta PJ</v>
      </c>
      <c r="P209" s="21" t="str">
        <f t="shared" si="23"/>
        <v>MCSDESP5CPF - Transf. Da conta PF para a conta PJ</v>
      </c>
      <c r="Q209" s="21" t="str">
        <f t="shared" si="24"/>
        <v>MCSDESP5</v>
      </c>
      <c r="R209" s="21" t="str">
        <f t="shared" si="25"/>
        <v>MCSDESP5</v>
      </c>
      <c r="S209" s="17"/>
      <c r="T209" s="24">
        <f t="shared" si="26"/>
        <v>45717</v>
      </c>
      <c r="U209" s="24" t="str">
        <f t="shared" si="27"/>
        <v/>
      </c>
      <c r="V209" s="14" t="s">
        <v>761</v>
      </c>
    </row>
    <row r="210" spans="2:22" x14ac:dyDescent="0.25">
      <c r="B210" s="20" t="s">
        <v>25</v>
      </c>
      <c r="C210" s="17"/>
      <c r="D210" s="86" t="str">
        <f>INDEX(Cad_Natureza!$B$3:$C$52,MATCH('2025'!F210,Cad_Natureza!$C$3:$C$52,0),MATCH('2025'!D$2,Cad_Natureza!$B$3:$C$3,0))</f>
        <v>PENS1</v>
      </c>
      <c r="E210" s="84" t="s">
        <v>239</v>
      </c>
      <c r="F210" s="85" t="s">
        <v>717</v>
      </c>
      <c r="G210" s="86" t="s">
        <v>25</v>
      </c>
      <c r="H210" s="87">
        <v>45741</v>
      </c>
      <c r="I210" s="87"/>
      <c r="J210" s="78" t="s">
        <v>602</v>
      </c>
      <c r="K210" s="62">
        <v>-1200</v>
      </c>
      <c r="L210" s="68">
        <v>919.96999999999935</v>
      </c>
      <c r="M210" s="17"/>
      <c r="N210" s="21" t="str">
        <f t="shared" si="21"/>
        <v>MCSPENS1CPF - Pensão - Aluguel</v>
      </c>
      <c r="O210" s="21" t="str">
        <f t="shared" si="22"/>
        <v>PENS1CPF - Pensão - Aluguel</v>
      </c>
      <c r="P210" s="21" t="str">
        <f t="shared" si="23"/>
        <v>MCSPENS1CPF - Pensão - Aluguel</v>
      </c>
      <c r="Q210" s="21" t="str">
        <f t="shared" si="24"/>
        <v>MCSPENS1</v>
      </c>
      <c r="R210" s="21" t="str">
        <f t="shared" si="25"/>
        <v>MCSPENS1</v>
      </c>
      <c r="S210" s="17"/>
      <c r="T210" s="24">
        <f t="shared" si="26"/>
        <v>45717</v>
      </c>
      <c r="U210" s="24" t="str">
        <f t="shared" si="27"/>
        <v/>
      </c>
      <c r="V210" s="14" t="s">
        <v>731</v>
      </c>
    </row>
    <row r="211" spans="2:22" x14ac:dyDescent="0.25">
      <c r="B211" s="20" t="s">
        <v>25</v>
      </c>
      <c r="C211" s="17"/>
      <c r="D211" s="86" t="str">
        <f>INDEX(Cad_Natureza!$B$3:$C$52,MATCH('2025'!F211,Cad_Natureza!$C$3:$C$52,0),MATCH('2025'!D$2,Cad_Natureza!$B$3:$C$3,0))</f>
        <v>PENS7</v>
      </c>
      <c r="E211" s="84" t="s">
        <v>240</v>
      </c>
      <c r="F211" s="85" t="s">
        <v>737</v>
      </c>
      <c r="G211" s="86" t="s">
        <v>25</v>
      </c>
      <c r="H211" s="87">
        <v>45741</v>
      </c>
      <c r="I211" s="87"/>
      <c r="J211" s="78" t="s">
        <v>601</v>
      </c>
      <c r="K211" s="62">
        <v>-133.19999999999999</v>
      </c>
      <c r="L211" s="68">
        <v>786.7699999999993</v>
      </c>
      <c r="M211" s="17"/>
      <c r="N211" s="21" t="str">
        <f t="shared" si="21"/>
        <v>MCSPENS7CPF - Pensão - Internet</v>
      </c>
      <c r="O211" s="21" t="str">
        <f t="shared" si="22"/>
        <v>PENS7CPF - Pensão - Internet</v>
      </c>
      <c r="P211" s="21" t="str">
        <f t="shared" si="23"/>
        <v>MCSPENS7CPF - Pensão - Internet</v>
      </c>
      <c r="Q211" s="21" t="str">
        <f t="shared" si="24"/>
        <v>MCSPENS7</v>
      </c>
      <c r="R211" s="21" t="str">
        <f t="shared" si="25"/>
        <v>MCSPENS7</v>
      </c>
      <c r="S211" s="17"/>
      <c r="T211" s="24">
        <f t="shared" si="26"/>
        <v>45717</v>
      </c>
      <c r="U211" s="24" t="str">
        <f t="shared" si="27"/>
        <v/>
      </c>
      <c r="V211" s="14" t="s">
        <v>731</v>
      </c>
    </row>
    <row r="212" spans="2:22" x14ac:dyDescent="0.25">
      <c r="B212" s="20" t="s">
        <v>25</v>
      </c>
      <c r="C212" s="17"/>
      <c r="D212" s="86" t="str">
        <f>INDEX(Cad_Natureza!$B$3:$C$52,MATCH('2025'!F212,Cad_Natureza!$C$3:$C$52,0),MATCH('2025'!D$2,Cad_Natureza!$B$3:$C$3,0))</f>
        <v>OPF1</v>
      </c>
      <c r="E212" s="84" t="s">
        <v>241</v>
      </c>
      <c r="F212" s="85" t="s">
        <v>744</v>
      </c>
      <c r="G212" s="86" t="s">
        <v>25</v>
      </c>
      <c r="H212" s="87">
        <v>45741</v>
      </c>
      <c r="I212" s="87"/>
      <c r="J212" s="79" t="s">
        <v>182</v>
      </c>
      <c r="K212" s="62">
        <v>-23</v>
      </c>
      <c r="L212" s="68">
        <v>763.7699999999993</v>
      </c>
      <c r="M212" s="17"/>
      <c r="N212" s="21" t="str">
        <f t="shared" si="21"/>
        <v>MCSOPF1CPF - Desp. Alimentação / Refeição</v>
      </c>
      <c r="O212" s="21" t="str">
        <f t="shared" si="22"/>
        <v>OPF1CPF - Desp. Alimentação / Refeição</v>
      </c>
      <c r="P212" s="21" t="str">
        <f t="shared" si="23"/>
        <v>MCSOPF1CPF - Desp. Alimentação / Refeição</v>
      </c>
      <c r="Q212" s="21" t="str">
        <f t="shared" si="24"/>
        <v>MCSOPF1</v>
      </c>
      <c r="R212" s="21" t="str">
        <f t="shared" si="25"/>
        <v>MCSOPF1</v>
      </c>
      <c r="S212" s="17"/>
      <c r="T212" s="24">
        <f t="shared" si="26"/>
        <v>45717</v>
      </c>
      <c r="U212" s="24" t="str">
        <f t="shared" si="27"/>
        <v/>
      </c>
      <c r="V212" s="14" t="s">
        <v>761</v>
      </c>
    </row>
    <row r="213" spans="2:22" x14ac:dyDescent="0.25">
      <c r="B213" s="20" t="s">
        <v>25</v>
      </c>
      <c r="C213" s="17"/>
      <c r="D213" s="86" t="str">
        <f>INDEX(Cad_Natureza!$B$3:$C$52,MATCH('2025'!F213,Cad_Natureza!$C$3:$C$52,0),MATCH('2025'!D$2,Cad_Natureza!$B$3:$C$3,0))</f>
        <v>DESP1</v>
      </c>
      <c r="E213" s="84" t="s">
        <v>242</v>
      </c>
      <c r="F213" s="85" t="s">
        <v>733</v>
      </c>
      <c r="G213" s="86" t="s">
        <v>25</v>
      </c>
      <c r="H213" s="87">
        <v>45741</v>
      </c>
      <c r="I213" s="87"/>
      <c r="J213" s="79" t="s">
        <v>194</v>
      </c>
      <c r="K213" s="62">
        <v>-511.82</v>
      </c>
      <c r="L213" s="68">
        <v>251.94999999999931</v>
      </c>
      <c r="M213" s="17"/>
      <c r="N213" s="21" t="str">
        <f t="shared" si="21"/>
        <v>MCSDESP1CPF - Desp. Cartão de crédito</v>
      </c>
      <c r="O213" s="21" t="str">
        <f t="shared" si="22"/>
        <v>DESP1CPF - Desp. Cartão de crédito</v>
      </c>
      <c r="P213" s="21" t="str">
        <f t="shared" si="23"/>
        <v>MCSDESP1CPF - Desp. Cartão de crédito</v>
      </c>
      <c r="Q213" s="21" t="str">
        <f t="shared" si="24"/>
        <v>MCSDESP1</v>
      </c>
      <c r="R213" s="21" t="str">
        <f t="shared" si="25"/>
        <v>MCSDESP1</v>
      </c>
      <c r="S213" s="17"/>
      <c r="T213" s="24">
        <f t="shared" si="26"/>
        <v>45717</v>
      </c>
      <c r="U213" s="24" t="str">
        <f t="shared" si="27"/>
        <v/>
      </c>
      <c r="V213" s="14" t="s">
        <v>761</v>
      </c>
    </row>
    <row r="214" spans="2:22" x14ac:dyDescent="0.25">
      <c r="B214" s="20" t="s">
        <v>25</v>
      </c>
      <c r="C214" s="17"/>
      <c r="D214" s="86" t="str">
        <f>INDEX(Cad_Natureza!$B$3:$C$52,MATCH('2025'!F214,Cad_Natureza!$C$3:$C$52,0),MATCH('2025'!D$2,Cad_Natureza!$B$3:$C$3,0))</f>
        <v>DESP1</v>
      </c>
      <c r="E214" s="84" t="s">
        <v>242</v>
      </c>
      <c r="F214" s="85" t="s">
        <v>733</v>
      </c>
      <c r="G214" s="86" t="s">
        <v>25</v>
      </c>
      <c r="H214" s="87">
        <v>45741</v>
      </c>
      <c r="I214" s="87"/>
      <c r="J214" s="79" t="s">
        <v>361</v>
      </c>
      <c r="K214" s="62">
        <v>-5.9</v>
      </c>
      <c r="L214" s="68">
        <v>246.0499999999993</v>
      </c>
      <c r="M214" s="17"/>
      <c r="N214" s="21" t="str">
        <f t="shared" si="21"/>
        <v>MCSDESP1CPF - Desp. Cartão de crédito</v>
      </c>
      <c r="O214" s="21" t="str">
        <f t="shared" si="22"/>
        <v>DESP1CPF - Desp. Cartão de crédito</v>
      </c>
      <c r="P214" s="21" t="str">
        <f t="shared" si="23"/>
        <v>MCSDESP1CPF - Desp. Cartão de crédito</v>
      </c>
      <c r="Q214" s="21" t="str">
        <f t="shared" si="24"/>
        <v>MCSDESP1</v>
      </c>
      <c r="R214" s="21" t="str">
        <f t="shared" si="25"/>
        <v>MCSDESP1</v>
      </c>
      <c r="S214" s="17"/>
      <c r="T214" s="24">
        <f t="shared" si="26"/>
        <v>45717</v>
      </c>
      <c r="U214" s="24" t="str">
        <f t="shared" si="27"/>
        <v/>
      </c>
      <c r="V214" s="14" t="s">
        <v>761</v>
      </c>
    </row>
    <row r="215" spans="2:22" x14ac:dyDescent="0.25">
      <c r="B215" s="20" t="s">
        <v>25</v>
      </c>
      <c r="C215" s="17"/>
      <c r="D215" s="86" t="str">
        <f>INDEX(Cad_Natureza!$B$3:$C$52,MATCH('2025'!F215,Cad_Natureza!$C$3:$C$52,0),MATCH('2025'!D$2,Cad_Natureza!$B$3:$C$3,0))</f>
        <v>DESP1</v>
      </c>
      <c r="E215" s="84" t="s">
        <v>242</v>
      </c>
      <c r="F215" s="85" t="s">
        <v>733</v>
      </c>
      <c r="G215" s="86" t="s">
        <v>25</v>
      </c>
      <c r="H215" s="87">
        <v>45741</v>
      </c>
      <c r="I215" s="87"/>
      <c r="J215" s="79" t="s">
        <v>361</v>
      </c>
      <c r="K215" s="62">
        <v>-5.9</v>
      </c>
      <c r="L215" s="68">
        <v>240.1499999999993</v>
      </c>
      <c r="M215" s="17"/>
      <c r="N215" s="21" t="str">
        <f t="shared" si="21"/>
        <v>MCSDESP1CPF - Desp. Cartão de crédito</v>
      </c>
      <c r="O215" s="21" t="str">
        <f t="shared" si="22"/>
        <v>DESP1CPF - Desp. Cartão de crédito</v>
      </c>
      <c r="P215" s="21" t="str">
        <f t="shared" si="23"/>
        <v>MCSDESP1CPF - Desp. Cartão de crédito</v>
      </c>
      <c r="Q215" s="21" t="str">
        <f t="shared" si="24"/>
        <v>MCSDESP1</v>
      </c>
      <c r="R215" s="21" t="str">
        <f t="shared" si="25"/>
        <v>MCSDESP1</v>
      </c>
      <c r="S215" s="17"/>
      <c r="T215" s="24">
        <f t="shared" si="26"/>
        <v>45717</v>
      </c>
      <c r="U215" s="24" t="str">
        <f t="shared" si="27"/>
        <v/>
      </c>
      <c r="V215" s="14" t="s">
        <v>761</v>
      </c>
    </row>
    <row r="216" spans="2:22" x14ac:dyDescent="0.25">
      <c r="B216" s="20" t="s">
        <v>25</v>
      </c>
      <c r="C216" s="17"/>
      <c r="D216" s="86" t="str">
        <f>INDEX(Cad_Natureza!$B$3:$C$52,MATCH('2025'!F216,Cad_Natureza!$C$3:$C$52,0),MATCH('2025'!D$2,Cad_Natureza!$B$3:$C$3,0))</f>
        <v>OUG1</v>
      </c>
      <c r="E216" s="84" t="s">
        <v>243</v>
      </c>
      <c r="F216" s="85" t="s">
        <v>748</v>
      </c>
      <c r="G216" s="86" t="s">
        <v>25</v>
      </c>
      <c r="H216" s="87">
        <v>45741</v>
      </c>
      <c r="I216" s="87"/>
      <c r="J216" s="79" t="s">
        <v>461</v>
      </c>
      <c r="K216" s="62">
        <v>-8.49</v>
      </c>
      <c r="L216" s="68">
        <v>231.65999999999929</v>
      </c>
      <c r="M216" s="17"/>
      <c r="N216" s="21" t="str">
        <f t="shared" si="21"/>
        <v>MCSOUG1CPF - Outros gastos</v>
      </c>
      <c r="O216" s="21" t="str">
        <f t="shared" si="22"/>
        <v>OUG1CPF - Outros gastos</v>
      </c>
      <c r="P216" s="21" t="str">
        <f t="shared" si="23"/>
        <v>MCSOUG1CPF - Outros gastos</v>
      </c>
      <c r="Q216" s="21" t="str">
        <f t="shared" si="24"/>
        <v>MCSOUG1</v>
      </c>
      <c r="R216" s="21" t="str">
        <f t="shared" si="25"/>
        <v>MCSOUG1</v>
      </c>
      <c r="S216" s="17"/>
      <c r="T216" s="24">
        <f t="shared" si="26"/>
        <v>45717</v>
      </c>
      <c r="U216" s="24" t="str">
        <f t="shared" si="27"/>
        <v/>
      </c>
      <c r="V216" s="14" t="s">
        <v>761</v>
      </c>
    </row>
    <row r="217" spans="2:22" x14ac:dyDescent="0.25">
      <c r="B217" s="20" t="s">
        <v>25</v>
      </c>
      <c r="C217" s="17"/>
      <c r="D217" s="86" t="str">
        <f>INDEX(Cad_Natureza!$B$3:$C$52,MATCH('2025'!F217,Cad_Natureza!$C$3:$C$52,0),MATCH('2025'!D$2,Cad_Natureza!$B$3:$C$3,0))</f>
        <v>OPF1</v>
      </c>
      <c r="E217" s="84" t="s">
        <v>244</v>
      </c>
      <c r="F217" s="85" t="s">
        <v>744</v>
      </c>
      <c r="G217" s="86" t="s">
        <v>25</v>
      </c>
      <c r="H217" s="87">
        <v>45742</v>
      </c>
      <c r="I217" s="87"/>
      <c r="J217" s="79" t="s">
        <v>182</v>
      </c>
      <c r="K217" s="62">
        <v>-23</v>
      </c>
      <c r="L217" s="68">
        <v>208.65999999999929</v>
      </c>
      <c r="M217" s="17"/>
      <c r="N217" s="21" t="str">
        <f t="shared" si="21"/>
        <v>MCSOPF1CPF - Desp. Alimentação / Refeição</v>
      </c>
      <c r="O217" s="21" t="str">
        <f t="shared" si="22"/>
        <v>OPF1CPF - Desp. Alimentação / Refeição</v>
      </c>
      <c r="P217" s="21" t="str">
        <f t="shared" si="23"/>
        <v>MCSOPF1CPF - Desp. Alimentação / Refeição</v>
      </c>
      <c r="Q217" s="21" t="str">
        <f t="shared" si="24"/>
        <v>MCSOPF1</v>
      </c>
      <c r="R217" s="21" t="str">
        <f t="shared" si="25"/>
        <v>MCSOPF1</v>
      </c>
      <c r="S217" s="17"/>
      <c r="T217" s="24">
        <f t="shared" si="26"/>
        <v>45717</v>
      </c>
      <c r="U217" s="24" t="str">
        <f t="shared" si="27"/>
        <v/>
      </c>
      <c r="V217" s="14" t="s">
        <v>761</v>
      </c>
    </row>
    <row r="218" spans="2:22" x14ac:dyDescent="0.25">
      <c r="B218" s="20" t="s">
        <v>25</v>
      </c>
      <c r="C218" s="17"/>
      <c r="D218" s="86" t="str">
        <f>INDEX(Cad_Natureza!$B$3:$C$52,MATCH('2025'!F218,Cad_Natureza!$C$3:$C$52,0),MATCH('2025'!D$2,Cad_Natureza!$B$3:$C$3,0))</f>
        <v>OPF2</v>
      </c>
      <c r="E218" s="84" t="s">
        <v>245</v>
      </c>
      <c r="F218" s="85" t="s">
        <v>741</v>
      </c>
      <c r="G218" s="86" t="s">
        <v>25</v>
      </c>
      <c r="H218" s="87">
        <v>45742</v>
      </c>
      <c r="I218" s="87"/>
      <c r="J218" s="79" t="s">
        <v>184</v>
      </c>
      <c r="K218" s="62">
        <v>-50</v>
      </c>
      <c r="L218" s="68">
        <v>158.65999999999929</v>
      </c>
      <c r="M218" s="17"/>
      <c r="N218" s="21" t="str">
        <f t="shared" si="21"/>
        <v>MCSOPF2CPF - Desp. Transporte / Combustível</v>
      </c>
      <c r="O218" s="21" t="str">
        <f t="shared" si="22"/>
        <v>OPF2CPF - Desp. Transporte / Combustível</v>
      </c>
      <c r="P218" s="21" t="str">
        <f t="shared" si="23"/>
        <v>MCSOPF2CPF - Desp. Transporte / Combustível</v>
      </c>
      <c r="Q218" s="21" t="str">
        <f t="shared" si="24"/>
        <v>MCSOPF2</v>
      </c>
      <c r="R218" s="21" t="str">
        <f t="shared" si="25"/>
        <v>MCSOPF2</v>
      </c>
      <c r="S218" s="17"/>
      <c r="T218" s="24">
        <f t="shared" si="26"/>
        <v>45717</v>
      </c>
      <c r="U218" s="24" t="str">
        <f t="shared" si="27"/>
        <v/>
      </c>
      <c r="V218" s="14" t="s">
        <v>761</v>
      </c>
    </row>
    <row r="219" spans="2:22" x14ac:dyDescent="0.25">
      <c r="B219" s="20" t="s">
        <v>25</v>
      </c>
      <c r="C219" s="17"/>
      <c r="D219" s="86" t="str">
        <f>INDEX(Cad_Natureza!$B$3:$C$52,MATCH('2025'!F219,Cad_Natureza!$C$3:$C$52,0),MATCH('2025'!D$2,Cad_Natureza!$B$3:$C$3,0))</f>
        <v>OPF1</v>
      </c>
      <c r="E219" s="84" t="s">
        <v>246</v>
      </c>
      <c r="F219" s="85" t="s">
        <v>744</v>
      </c>
      <c r="G219" s="86" t="s">
        <v>25</v>
      </c>
      <c r="H219" s="87">
        <v>45743</v>
      </c>
      <c r="I219" s="87"/>
      <c r="J219" s="79" t="s">
        <v>182</v>
      </c>
      <c r="K219" s="62">
        <v>-23</v>
      </c>
      <c r="L219" s="68">
        <v>135.65999999999929</v>
      </c>
      <c r="M219" s="17"/>
      <c r="N219" s="21" t="str">
        <f t="shared" si="21"/>
        <v>MCSOPF1CPF - Desp. Alimentação / Refeição</v>
      </c>
      <c r="O219" s="21" t="str">
        <f t="shared" si="22"/>
        <v>OPF1CPF - Desp. Alimentação / Refeição</v>
      </c>
      <c r="P219" s="21" t="str">
        <f t="shared" si="23"/>
        <v>MCSOPF1CPF - Desp. Alimentação / Refeição</v>
      </c>
      <c r="Q219" s="21" t="str">
        <f t="shared" si="24"/>
        <v>MCSOPF1</v>
      </c>
      <c r="R219" s="21" t="str">
        <f t="shared" si="25"/>
        <v>MCSOPF1</v>
      </c>
      <c r="S219" s="17"/>
      <c r="T219" s="24">
        <f t="shared" si="26"/>
        <v>45717</v>
      </c>
      <c r="U219" s="24" t="str">
        <f t="shared" si="27"/>
        <v/>
      </c>
      <c r="V219" s="14" t="s">
        <v>761</v>
      </c>
    </row>
    <row r="220" spans="2:22" x14ac:dyDescent="0.25">
      <c r="B220" s="20" t="s">
        <v>25</v>
      </c>
      <c r="C220" s="17"/>
      <c r="D220" s="86" t="str">
        <f>INDEX(Cad_Natureza!$B$3:$C$52,MATCH('2025'!F220,Cad_Natureza!$C$3:$C$52,0),MATCH('2025'!D$2,Cad_Natureza!$B$3:$C$3,0))</f>
        <v>OPF2</v>
      </c>
      <c r="E220" s="84" t="s">
        <v>247</v>
      </c>
      <c r="F220" s="85" t="s">
        <v>741</v>
      </c>
      <c r="G220" s="86" t="s">
        <v>25</v>
      </c>
      <c r="H220" s="87">
        <v>45744</v>
      </c>
      <c r="I220" s="87"/>
      <c r="J220" s="79" t="s">
        <v>184</v>
      </c>
      <c r="K220" s="62">
        <v>-50</v>
      </c>
      <c r="L220" s="68">
        <v>85.659999999999286</v>
      </c>
      <c r="M220" s="17"/>
      <c r="N220" s="21" t="str">
        <f t="shared" si="21"/>
        <v>MCSOPF2CPF - Desp. Transporte / Combustível</v>
      </c>
      <c r="O220" s="21" t="str">
        <f t="shared" si="22"/>
        <v>OPF2CPF - Desp. Transporte / Combustível</v>
      </c>
      <c r="P220" s="21" t="str">
        <f t="shared" si="23"/>
        <v>MCSOPF2CPF - Desp. Transporte / Combustível</v>
      </c>
      <c r="Q220" s="21" t="str">
        <f t="shared" si="24"/>
        <v>MCSOPF2</v>
      </c>
      <c r="R220" s="21" t="str">
        <f t="shared" si="25"/>
        <v>MCSOPF2</v>
      </c>
      <c r="S220" s="17"/>
      <c r="T220" s="24">
        <f t="shared" si="26"/>
        <v>45717</v>
      </c>
      <c r="U220" s="24" t="str">
        <f t="shared" si="27"/>
        <v/>
      </c>
      <c r="V220" s="14" t="s">
        <v>761</v>
      </c>
    </row>
    <row r="221" spans="2:22" x14ac:dyDescent="0.25">
      <c r="B221" s="20" t="s">
        <v>25</v>
      </c>
      <c r="C221" s="17"/>
      <c r="D221" s="86" t="str">
        <f>INDEX(Cad_Natureza!$B$3:$C$52,MATCH('2025'!F221,Cad_Natureza!$C$3:$C$52,0),MATCH('2025'!D$2,Cad_Natureza!$B$3:$C$3,0))</f>
        <v>OUG1</v>
      </c>
      <c r="E221" s="84" t="s">
        <v>248</v>
      </c>
      <c r="F221" s="85" t="s">
        <v>748</v>
      </c>
      <c r="G221" s="86" t="s">
        <v>25</v>
      </c>
      <c r="H221" s="87">
        <v>45744</v>
      </c>
      <c r="I221" s="87"/>
      <c r="J221" s="79" t="s">
        <v>460</v>
      </c>
      <c r="K221" s="62">
        <v>-4.2</v>
      </c>
      <c r="L221" s="68">
        <v>81.459999999999283</v>
      </c>
      <c r="M221" s="17"/>
      <c r="N221" s="21" t="str">
        <f t="shared" si="21"/>
        <v>MCSOUG1CPF - Outros gastos</v>
      </c>
      <c r="O221" s="21" t="str">
        <f t="shared" si="22"/>
        <v>OUG1CPF - Outros gastos</v>
      </c>
      <c r="P221" s="21" t="str">
        <f t="shared" si="23"/>
        <v>MCSOUG1CPF - Outros gastos</v>
      </c>
      <c r="Q221" s="21" t="str">
        <f t="shared" si="24"/>
        <v>MCSOUG1</v>
      </c>
      <c r="R221" s="21" t="str">
        <f t="shared" si="25"/>
        <v>MCSOUG1</v>
      </c>
      <c r="S221" s="17"/>
      <c r="T221" s="24">
        <f t="shared" si="26"/>
        <v>45717</v>
      </c>
      <c r="U221" s="24" t="str">
        <f t="shared" si="27"/>
        <v/>
      </c>
      <c r="V221" s="14" t="s">
        <v>761</v>
      </c>
    </row>
    <row r="222" spans="2:22" x14ac:dyDescent="0.25">
      <c r="B222" s="20" t="s">
        <v>25</v>
      </c>
      <c r="C222" s="17"/>
      <c r="D222" s="86" t="str">
        <f>INDEX(Cad_Natureza!$B$3:$C$52,MATCH('2025'!F222,Cad_Natureza!$C$3:$C$52,0),MATCH('2025'!D$2,Cad_Natureza!$B$3:$C$3,0))</f>
        <v>OPF1</v>
      </c>
      <c r="E222" s="84" t="s">
        <v>249</v>
      </c>
      <c r="F222" s="85" t="s">
        <v>744</v>
      </c>
      <c r="G222" s="86" t="s">
        <v>25</v>
      </c>
      <c r="H222" s="87">
        <v>45744</v>
      </c>
      <c r="I222" s="87"/>
      <c r="J222" s="79" t="s">
        <v>182</v>
      </c>
      <c r="K222" s="62">
        <v>-23</v>
      </c>
      <c r="L222" s="68">
        <v>58.459999999999283</v>
      </c>
      <c r="M222" s="17"/>
      <c r="N222" s="21" t="str">
        <f t="shared" si="21"/>
        <v>MCSOPF1CPF - Desp. Alimentação / Refeição</v>
      </c>
      <c r="O222" s="21" t="str">
        <f t="shared" si="22"/>
        <v>OPF1CPF - Desp. Alimentação / Refeição</v>
      </c>
      <c r="P222" s="21" t="str">
        <f t="shared" si="23"/>
        <v>MCSOPF1CPF - Desp. Alimentação / Refeição</v>
      </c>
      <c r="Q222" s="21" t="str">
        <f t="shared" si="24"/>
        <v>MCSOPF1</v>
      </c>
      <c r="R222" s="21" t="str">
        <f t="shared" si="25"/>
        <v>MCSOPF1</v>
      </c>
      <c r="S222" s="17"/>
      <c r="T222" s="24">
        <f t="shared" si="26"/>
        <v>45717</v>
      </c>
      <c r="U222" s="24" t="str">
        <f t="shared" si="27"/>
        <v/>
      </c>
      <c r="V222" s="14" t="s">
        <v>761</v>
      </c>
    </row>
    <row r="223" spans="2:22" x14ac:dyDescent="0.25">
      <c r="B223" s="20" t="s">
        <v>25</v>
      </c>
      <c r="C223" s="17"/>
      <c r="D223" s="86" t="str">
        <f>INDEX(Cad_Natureza!$B$3:$C$52,MATCH('2025'!F223,Cad_Natureza!$C$3:$C$52,0),MATCH('2025'!D$2,Cad_Natureza!$B$3:$C$3,0))</f>
        <v>GAST1</v>
      </c>
      <c r="E223" s="84" t="s">
        <v>250</v>
      </c>
      <c r="F223" s="85" t="s">
        <v>742</v>
      </c>
      <c r="G223" s="86" t="s">
        <v>25</v>
      </c>
      <c r="H223" s="87">
        <v>45744</v>
      </c>
      <c r="I223" s="87"/>
      <c r="J223" s="79" t="s">
        <v>185</v>
      </c>
      <c r="K223" s="62">
        <v>-10</v>
      </c>
      <c r="L223" s="68">
        <v>48.459999999999283</v>
      </c>
      <c r="M223" s="17"/>
      <c r="N223" s="21" t="str">
        <f t="shared" si="21"/>
        <v>MCSGAST1CPF - Desp. Lazer e Entretenimento - Bares</v>
      </c>
      <c r="O223" s="21" t="str">
        <f t="shared" si="22"/>
        <v>GAST1CPF - Desp. Lazer e Entretenimento - Bares</v>
      </c>
      <c r="P223" s="21" t="str">
        <f t="shared" si="23"/>
        <v>MCSGAST1CPF - Desp. Lazer e Entretenimento - Bares</v>
      </c>
      <c r="Q223" s="21" t="str">
        <f t="shared" si="24"/>
        <v>MCSGAST1</v>
      </c>
      <c r="R223" s="21" t="str">
        <f t="shared" si="25"/>
        <v>MCSGAST1</v>
      </c>
      <c r="S223" s="17"/>
      <c r="T223" s="24">
        <f t="shared" si="26"/>
        <v>45717</v>
      </c>
      <c r="U223" s="24" t="str">
        <f t="shared" si="27"/>
        <v/>
      </c>
      <c r="V223" s="14" t="s">
        <v>761</v>
      </c>
    </row>
    <row r="224" spans="2:22" x14ac:dyDescent="0.25">
      <c r="B224" s="20" t="s">
        <v>25</v>
      </c>
      <c r="C224" s="17"/>
      <c r="D224" s="86" t="str">
        <f>INDEX(Cad_Natureza!$B$3:$C$52,MATCH('2025'!F224,Cad_Natureza!$C$3:$C$52,0),MATCH('2025'!D$2,Cad_Natureza!$B$3:$C$3,0))</f>
        <v>GAST1</v>
      </c>
      <c r="E224" s="84" t="s">
        <v>251</v>
      </c>
      <c r="F224" s="85" t="s">
        <v>742</v>
      </c>
      <c r="G224" s="86" t="s">
        <v>25</v>
      </c>
      <c r="H224" s="87">
        <v>45747</v>
      </c>
      <c r="I224" s="87"/>
      <c r="J224" s="79" t="s">
        <v>185</v>
      </c>
      <c r="K224" s="62">
        <v>-15</v>
      </c>
      <c r="L224" s="68">
        <v>33.459999999999283</v>
      </c>
      <c r="M224" s="17"/>
      <c r="N224" s="21" t="str">
        <f t="shared" si="21"/>
        <v>MCSGAST1CPF - Desp. Lazer e Entretenimento - Bares</v>
      </c>
      <c r="O224" s="21" t="str">
        <f t="shared" si="22"/>
        <v>GAST1CPF - Desp. Lazer e Entretenimento - Bares</v>
      </c>
      <c r="P224" s="21" t="str">
        <f t="shared" si="23"/>
        <v>MCSGAST1CPF - Desp. Lazer e Entretenimento - Bares</v>
      </c>
      <c r="Q224" s="21" t="str">
        <f t="shared" si="24"/>
        <v>MCSGAST1</v>
      </c>
      <c r="R224" s="21" t="str">
        <f t="shared" si="25"/>
        <v>MCSGAST1</v>
      </c>
      <c r="S224" s="17"/>
      <c r="T224" s="24">
        <f t="shared" si="26"/>
        <v>45717</v>
      </c>
      <c r="U224" s="24" t="str">
        <f t="shared" si="27"/>
        <v/>
      </c>
      <c r="V224" s="14" t="s">
        <v>761</v>
      </c>
    </row>
    <row r="225" spans="2:22" x14ac:dyDescent="0.25">
      <c r="B225" s="20" t="s">
        <v>25</v>
      </c>
      <c r="C225" s="17"/>
      <c r="D225" s="86" t="str">
        <f>INDEX(Cad_Natureza!$B$3:$C$52,MATCH('2025'!F225,Cad_Natureza!$C$3:$C$52,0),MATCH('2025'!D$2,Cad_Natureza!$B$3:$C$3,0))</f>
        <v>GAST1</v>
      </c>
      <c r="E225" s="84" t="s">
        <v>251</v>
      </c>
      <c r="F225" s="85" t="s">
        <v>742</v>
      </c>
      <c r="G225" s="86" t="s">
        <v>25</v>
      </c>
      <c r="H225" s="87">
        <v>45747</v>
      </c>
      <c r="I225" s="87"/>
      <c r="J225" s="79" t="s">
        <v>185</v>
      </c>
      <c r="K225" s="62">
        <v>-5.5</v>
      </c>
      <c r="L225" s="68">
        <v>27.959999999999283</v>
      </c>
      <c r="M225" s="17"/>
      <c r="N225" s="21" t="str">
        <f t="shared" si="21"/>
        <v>MCSGAST1CPF - Desp. Lazer e Entretenimento - Bares</v>
      </c>
      <c r="O225" s="21" t="str">
        <f t="shared" si="22"/>
        <v>GAST1CPF - Desp. Lazer e Entretenimento - Bares</v>
      </c>
      <c r="P225" s="21" t="str">
        <f t="shared" si="23"/>
        <v>MCSGAST1CPF - Desp. Lazer e Entretenimento - Bares</v>
      </c>
      <c r="Q225" s="21" t="str">
        <f t="shared" si="24"/>
        <v>MCSGAST1</v>
      </c>
      <c r="R225" s="21" t="str">
        <f t="shared" si="25"/>
        <v>MCSGAST1</v>
      </c>
      <c r="S225" s="17"/>
      <c r="T225" s="24">
        <f t="shared" si="26"/>
        <v>45717</v>
      </c>
      <c r="U225" s="24" t="str">
        <f t="shared" si="27"/>
        <v/>
      </c>
      <c r="V225" s="14" t="s">
        <v>761</v>
      </c>
    </row>
    <row r="226" spans="2:22" x14ac:dyDescent="0.25">
      <c r="B226" s="20" t="s">
        <v>25</v>
      </c>
      <c r="C226" s="17"/>
      <c r="D226" s="86" t="str">
        <f>INDEX(Cad_Natureza!$B$3:$C$52,MATCH('2025'!F226,Cad_Natureza!$C$3:$C$52,0),MATCH('2025'!D$2,Cad_Natureza!$B$3:$C$3,0))</f>
        <v>GAST1</v>
      </c>
      <c r="E226" s="84" t="s">
        <v>251</v>
      </c>
      <c r="F226" s="85" t="s">
        <v>742</v>
      </c>
      <c r="G226" s="86" t="s">
        <v>25</v>
      </c>
      <c r="H226" s="87">
        <v>45747</v>
      </c>
      <c r="I226" s="87"/>
      <c r="J226" s="79" t="s">
        <v>185</v>
      </c>
      <c r="K226" s="62">
        <v>-5.5</v>
      </c>
      <c r="L226" s="68">
        <v>22.459999999999283</v>
      </c>
      <c r="M226" s="17"/>
      <c r="N226" s="21" t="str">
        <f t="shared" si="21"/>
        <v>MCSGAST1CPF - Desp. Lazer e Entretenimento - Bares</v>
      </c>
      <c r="O226" s="21" t="str">
        <f t="shared" si="22"/>
        <v>GAST1CPF - Desp. Lazer e Entretenimento - Bares</v>
      </c>
      <c r="P226" s="21" t="str">
        <f t="shared" si="23"/>
        <v>MCSGAST1CPF - Desp. Lazer e Entretenimento - Bares</v>
      </c>
      <c r="Q226" s="21" t="str">
        <f t="shared" si="24"/>
        <v>MCSGAST1</v>
      </c>
      <c r="R226" s="21" t="str">
        <f t="shared" si="25"/>
        <v>MCSGAST1</v>
      </c>
      <c r="S226" s="17"/>
      <c r="T226" s="24">
        <f t="shared" si="26"/>
        <v>45717</v>
      </c>
      <c r="U226" s="24" t="str">
        <f t="shared" si="27"/>
        <v/>
      </c>
      <c r="V226" s="14" t="s">
        <v>761</v>
      </c>
    </row>
    <row r="227" spans="2:22" x14ac:dyDescent="0.25">
      <c r="B227" s="20" t="s">
        <v>25</v>
      </c>
      <c r="C227" s="17"/>
      <c r="D227" s="86" t="str">
        <f>INDEX(Cad_Natureza!$B$3:$C$52,MATCH('2025'!F227,Cad_Natureza!$C$3:$C$52,0),MATCH('2025'!D$2,Cad_Natureza!$B$3:$C$3,0))</f>
        <v>GAST1</v>
      </c>
      <c r="E227" s="84" t="s">
        <v>251</v>
      </c>
      <c r="F227" s="85" t="s">
        <v>742</v>
      </c>
      <c r="G227" s="86" t="s">
        <v>25</v>
      </c>
      <c r="H227" s="87">
        <v>45747</v>
      </c>
      <c r="I227" s="87"/>
      <c r="J227" s="79" t="s">
        <v>185</v>
      </c>
      <c r="K227" s="62">
        <v>-5.5</v>
      </c>
      <c r="L227" s="68">
        <v>16.959999999999283</v>
      </c>
      <c r="M227" s="17"/>
      <c r="N227" s="21" t="str">
        <f t="shared" si="21"/>
        <v>MCSGAST1CPF - Desp. Lazer e Entretenimento - Bares</v>
      </c>
      <c r="O227" s="21" t="str">
        <f t="shared" si="22"/>
        <v>GAST1CPF - Desp. Lazer e Entretenimento - Bares</v>
      </c>
      <c r="P227" s="21" t="str">
        <f t="shared" si="23"/>
        <v>MCSGAST1CPF - Desp. Lazer e Entretenimento - Bares</v>
      </c>
      <c r="Q227" s="21" t="str">
        <f t="shared" si="24"/>
        <v>MCSGAST1</v>
      </c>
      <c r="R227" s="21" t="str">
        <f t="shared" si="25"/>
        <v>MCSGAST1</v>
      </c>
      <c r="S227" s="17"/>
      <c r="T227" s="24">
        <f t="shared" si="26"/>
        <v>45717</v>
      </c>
      <c r="U227" s="24" t="str">
        <f t="shared" si="27"/>
        <v/>
      </c>
      <c r="V227" s="14" t="s">
        <v>761</v>
      </c>
    </row>
    <row r="228" spans="2:22" x14ac:dyDescent="0.25">
      <c r="B228" s="20" t="s">
        <v>25</v>
      </c>
      <c r="C228" s="17"/>
      <c r="D228" s="86" t="str">
        <f>INDEX(Cad_Natureza!$B$3:$C$52,MATCH('2025'!F228,Cad_Natureza!$C$3:$C$52,0),MATCH('2025'!D$2,Cad_Natureza!$B$3:$C$3,0))</f>
        <v>OPF1</v>
      </c>
      <c r="E228" s="84" t="s">
        <v>252</v>
      </c>
      <c r="F228" s="85" t="s">
        <v>744</v>
      </c>
      <c r="G228" s="86" t="s">
        <v>25</v>
      </c>
      <c r="H228" s="87">
        <v>45747</v>
      </c>
      <c r="I228" s="87"/>
      <c r="J228" s="79" t="s">
        <v>182</v>
      </c>
      <c r="K228" s="62">
        <v>-23</v>
      </c>
      <c r="L228" s="62">
        <v>-6.0400000000007168</v>
      </c>
      <c r="M228" s="17"/>
      <c r="N228" s="21" t="str">
        <f t="shared" si="21"/>
        <v>MCSOPF1CPF - Desp. Alimentação / Refeição</v>
      </c>
      <c r="O228" s="21" t="str">
        <f t="shared" si="22"/>
        <v>OPF1CPF - Desp. Alimentação / Refeição</v>
      </c>
      <c r="P228" s="21" t="str">
        <f t="shared" si="23"/>
        <v>MCSOPF1CPF - Desp. Alimentação / Refeição</v>
      </c>
      <c r="Q228" s="21" t="str">
        <f t="shared" si="24"/>
        <v>MCSOPF1</v>
      </c>
      <c r="R228" s="21" t="str">
        <f t="shared" si="25"/>
        <v>MCSOPF1</v>
      </c>
      <c r="S228" s="17"/>
      <c r="T228" s="24">
        <f t="shared" si="26"/>
        <v>45717</v>
      </c>
      <c r="U228" s="24" t="str">
        <f t="shared" si="27"/>
        <v/>
      </c>
      <c r="V228" s="14" t="s">
        <v>761</v>
      </c>
    </row>
    <row r="229" spans="2:22" x14ac:dyDescent="0.25">
      <c r="B229" s="20" t="s">
        <v>25</v>
      </c>
      <c r="C229" s="17"/>
      <c r="D229" s="86" t="str">
        <f>INDEX(Cad_Natureza!$B$3:$C$52,MATCH('2025'!F229,Cad_Natureza!$C$3:$C$52,0),MATCH('2025'!D$2,Cad_Natureza!$B$3:$C$3,0))</f>
        <v>OPF2</v>
      </c>
      <c r="E229" s="84" t="s">
        <v>253</v>
      </c>
      <c r="F229" s="85" t="s">
        <v>741</v>
      </c>
      <c r="G229" s="86" t="s">
        <v>25</v>
      </c>
      <c r="H229" s="87">
        <v>45747</v>
      </c>
      <c r="I229" s="87"/>
      <c r="J229" s="79" t="s">
        <v>184</v>
      </c>
      <c r="K229" s="62">
        <v>-50</v>
      </c>
      <c r="L229" s="62">
        <v>-56.040000000000717</v>
      </c>
      <c r="M229" s="17"/>
      <c r="N229" s="21" t="str">
        <f t="shared" si="21"/>
        <v>MCSOPF2CPF - Desp. Transporte / Combustível</v>
      </c>
      <c r="O229" s="21" t="str">
        <f t="shared" si="22"/>
        <v>OPF2CPF - Desp. Transporte / Combustível</v>
      </c>
      <c r="P229" s="21" t="str">
        <f t="shared" si="23"/>
        <v>MCSOPF2CPF - Desp. Transporte / Combustível</v>
      </c>
      <c r="Q229" s="21" t="str">
        <f t="shared" si="24"/>
        <v>MCSOPF2</v>
      </c>
      <c r="R229" s="21" t="str">
        <f t="shared" si="25"/>
        <v>MCSOPF2</v>
      </c>
      <c r="S229" s="17"/>
      <c r="T229" s="24">
        <f t="shared" si="26"/>
        <v>45717</v>
      </c>
      <c r="U229" s="24" t="str">
        <f t="shared" si="27"/>
        <v/>
      </c>
      <c r="V229" s="14" t="s">
        <v>761</v>
      </c>
    </row>
    <row r="230" spans="2:22" x14ac:dyDescent="0.25">
      <c r="B230" s="20" t="s">
        <v>25</v>
      </c>
      <c r="C230" s="17"/>
      <c r="D230" s="86" t="str">
        <f>INDEX(Cad_Natureza!$B$3:$C$52,MATCH('2025'!F230,Cad_Natureza!$C$3:$C$52,0),MATCH('2025'!D$2,Cad_Natureza!$B$3:$C$3,0))</f>
        <v>GAST2</v>
      </c>
      <c r="E230" s="84" t="s">
        <v>254</v>
      </c>
      <c r="F230" s="85" t="s">
        <v>743</v>
      </c>
      <c r="G230" s="86" t="s">
        <v>25</v>
      </c>
      <c r="H230" s="87">
        <v>45747</v>
      </c>
      <c r="I230" s="87"/>
      <c r="J230" s="79" t="s">
        <v>180</v>
      </c>
      <c r="K230" s="62">
        <v>-35</v>
      </c>
      <c r="L230" s="62">
        <v>-91.040000000000717</v>
      </c>
      <c r="M230" s="17"/>
      <c r="N230" s="21" t="str">
        <f t="shared" si="21"/>
        <v>MCSGAST2CPF - Desp. Lazer e Entretenimento - Cigarro</v>
      </c>
      <c r="O230" s="21" t="str">
        <f t="shared" si="22"/>
        <v>GAST2CPF - Desp. Lazer e Entretenimento - Cigarro</v>
      </c>
      <c r="P230" s="21" t="str">
        <f t="shared" si="23"/>
        <v>MCSGAST2CPF - Desp. Lazer e Entretenimento - Cigarro</v>
      </c>
      <c r="Q230" s="21" t="str">
        <f t="shared" si="24"/>
        <v>MCSGAST2</v>
      </c>
      <c r="R230" s="21" t="str">
        <f t="shared" si="25"/>
        <v>MCSGAST2</v>
      </c>
      <c r="S230" s="17"/>
      <c r="T230" s="24">
        <f t="shared" si="26"/>
        <v>45717</v>
      </c>
      <c r="U230" s="24" t="str">
        <f t="shared" si="27"/>
        <v/>
      </c>
      <c r="V230" s="14" t="s">
        <v>761</v>
      </c>
    </row>
    <row r="231" spans="2:22" x14ac:dyDescent="0.25">
      <c r="B231" s="20" t="s">
        <v>25</v>
      </c>
      <c r="C231" s="17"/>
      <c r="D231" s="63" t="str">
        <f>INDEX(Cad_Natureza!$B$3:$C$52,MATCH('2025'!F231,Cad_Natureza!$C$3:$C$52,0),MATCH('2025'!D$2,Cad_Natureza!$B$3:$C$3,0))</f>
        <v>REC4</v>
      </c>
      <c r="E231" s="64" t="s">
        <v>255</v>
      </c>
      <c r="F231" s="65" t="s">
        <v>734</v>
      </c>
      <c r="G231" s="63" t="s">
        <v>25</v>
      </c>
      <c r="H231" s="66">
        <v>45747</v>
      </c>
      <c r="I231" s="66"/>
      <c r="J231" s="67" t="s">
        <v>183</v>
      </c>
      <c r="K231" s="68">
        <v>1000</v>
      </c>
      <c r="L231" s="68">
        <v>908.95999999999924</v>
      </c>
      <c r="M231" s="17"/>
      <c r="N231" s="21" t="str">
        <f t="shared" si="21"/>
        <v>MCSREC4CPF - Transf. Da conta PJ para a conta PF</v>
      </c>
      <c r="O231" s="21" t="str">
        <f t="shared" si="22"/>
        <v>REC4CPF - Transf. Da conta PJ para a conta PF</v>
      </c>
      <c r="P231" s="21" t="str">
        <f t="shared" si="23"/>
        <v>MCSREC4CPF - Transf. Da conta PJ para a conta PF</v>
      </c>
      <c r="Q231" s="21" t="str">
        <f t="shared" si="24"/>
        <v>MCSREC4</v>
      </c>
      <c r="R231" s="21" t="str">
        <f t="shared" si="25"/>
        <v>MCSREC4</v>
      </c>
      <c r="S231" s="17"/>
      <c r="T231" s="24">
        <f t="shared" si="26"/>
        <v>45717</v>
      </c>
      <c r="U231" s="24" t="str">
        <f t="shared" si="27"/>
        <v/>
      </c>
      <c r="V231" s="14" t="s">
        <v>761</v>
      </c>
    </row>
    <row r="232" spans="2:22" x14ac:dyDescent="0.25">
      <c r="B232" s="20" t="s">
        <v>25</v>
      </c>
      <c r="C232" s="17"/>
      <c r="D232" s="86" t="str">
        <f>INDEX(Cad_Natureza!$B$3:$C$52,MATCH('2025'!F232,Cad_Natureza!$C$3:$C$52,0),MATCH('2025'!D$2,Cad_Natureza!$B$3:$C$3,0))</f>
        <v>OPF1</v>
      </c>
      <c r="E232" s="84" t="s">
        <v>256</v>
      </c>
      <c r="F232" s="85" t="s">
        <v>744</v>
      </c>
      <c r="G232" s="86" t="s">
        <v>25</v>
      </c>
      <c r="H232" s="87">
        <v>45747</v>
      </c>
      <c r="I232" s="87"/>
      <c r="J232" s="79" t="s">
        <v>182</v>
      </c>
      <c r="K232" s="62">
        <v>-22</v>
      </c>
      <c r="L232" s="68">
        <v>886.95999999999924</v>
      </c>
      <c r="M232" s="17"/>
      <c r="N232" s="21" t="str">
        <f t="shared" si="21"/>
        <v>MCSOPF1CPF - Desp. Alimentação / Refeição</v>
      </c>
      <c r="O232" s="21" t="str">
        <f t="shared" si="22"/>
        <v>OPF1CPF - Desp. Alimentação / Refeição</v>
      </c>
      <c r="P232" s="21" t="str">
        <f t="shared" si="23"/>
        <v>MCSOPF1CPF - Desp. Alimentação / Refeição</v>
      </c>
      <c r="Q232" s="21" t="str">
        <f t="shared" si="24"/>
        <v>MCSOPF1</v>
      </c>
      <c r="R232" s="21" t="str">
        <f t="shared" si="25"/>
        <v>MCSOPF1</v>
      </c>
      <c r="S232" s="17"/>
      <c r="T232" s="24">
        <f t="shared" si="26"/>
        <v>45717</v>
      </c>
      <c r="U232" s="24" t="str">
        <f t="shared" si="27"/>
        <v/>
      </c>
      <c r="V232" s="14" t="s">
        <v>761</v>
      </c>
    </row>
    <row r="233" spans="2:22" x14ac:dyDescent="0.25">
      <c r="B233" s="20" t="s">
        <v>25</v>
      </c>
      <c r="C233" s="17"/>
      <c r="D233" s="86" t="str">
        <f>INDEX(Cad_Natureza!$B$3:$C$52,MATCH('2025'!F233,Cad_Natureza!$C$3:$C$52,0),MATCH('2025'!D$2,Cad_Natureza!$B$3:$C$3,0))</f>
        <v>OPF1</v>
      </c>
      <c r="E233" s="84" t="s">
        <v>257</v>
      </c>
      <c r="F233" s="85" t="s">
        <v>744</v>
      </c>
      <c r="G233" s="86" t="s">
        <v>25</v>
      </c>
      <c r="H233" s="87">
        <v>45748</v>
      </c>
      <c r="I233" s="87"/>
      <c r="J233" s="79" t="s">
        <v>182</v>
      </c>
      <c r="K233" s="62">
        <v>-23</v>
      </c>
      <c r="L233" s="68">
        <v>863.95999999999924</v>
      </c>
      <c r="M233" s="17"/>
      <c r="N233" s="21" t="str">
        <f t="shared" si="21"/>
        <v>MCSOPF1CPF - Desp. Alimentação / Refeição</v>
      </c>
      <c r="O233" s="21" t="str">
        <f t="shared" si="22"/>
        <v>OPF1CPF - Desp. Alimentação / Refeição</v>
      </c>
      <c r="P233" s="21" t="str">
        <f t="shared" si="23"/>
        <v>MCSOPF1CPF - Desp. Alimentação / Refeição</v>
      </c>
      <c r="Q233" s="21" t="str">
        <f t="shared" si="24"/>
        <v>MCSOPF1</v>
      </c>
      <c r="R233" s="21" t="str">
        <f t="shared" si="25"/>
        <v>MCSOPF1</v>
      </c>
      <c r="S233" s="17"/>
      <c r="T233" s="24">
        <f t="shared" si="26"/>
        <v>45748</v>
      </c>
      <c r="U233" s="24" t="str">
        <f t="shared" si="27"/>
        <v/>
      </c>
      <c r="V233" s="14" t="s">
        <v>761</v>
      </c>
    </row>
    <row r="234" spans="2:22" x14ac:dyDescent="0.25">
      <c r="B234" s="20" t="s">
        <v>25</v>
      </c>
      <c r="C234" s="17"/>
      <c r="D234" s="86" t="str">
        <f>INDEX(Cad_Natureza!$B$3:$C$52,MATCH('2025'!F234,Cad_Natureza!$C$3:$C$52,0),MATCH('2025'!D$2,Cad_Natureza!$B$3:$C$3,0))</f>
        <v>DESP4</v>
      </c>
      <c r="E234" s="84" t="s">
        <v>258</v>
      </c>
      <c r="F234" s="85" t="s">
        <v>753</v>
      </c>
      <c r="G234" s="86" t="s">
        <v>25</v>
      </c>
      <c r="H234" s="87">
        <v>45748</v>
      </c>
      <c r="I234" s="87"/>
      <c r="J234" s="79" t="s">
        <v>203</v>
      </c>
      <c r="K234" s="62">
        <v>-150</v>
      </c>
      <c r="L234" s="68">
        <v>713.95999999999924</v>
      </c>
      <c r="M234" s="17"/>
      <c r="N234" s="21" t="str">
        <f t="shared" si="21"/>
        <v>MCSDESP4CPF - Desp. Moradia</v>
      </c>
      <c r="O234" s="21" t="str">
        <f t="shared" si="22"/>
        <v>DESP4CPF - Desp. Moradia</v>
      </c>
      <c r="P234" s="21" t="str">
        <f t="shared" si="23"/>
        <v>MCSDESP4CPF - Desp. Moradia</v>
      </c>
      <c r="Q234" s="21" t="str">
        <f t="shared" si="24"/>
        <v>MCSDESP4</v>
      </c>
      <c r="R234" s="21" t="str">
        <f t="shared" si="25"/>
        <v>MCSDESP4</v>
      </c>
      <c r="S234" s="17"/>
      <c r="T234" s="24">
        <f t="shared" si="26"/>
        <v>45748</v>
      </c>
      <c r="U234" s="24" t="str">
        <f t="shared" si="27"/>
        <v/>
      </c>
      <c r="V234" s="14" t="s">
        <v>761</v>
      </c>
    </row>
    <row r="235" spans="2:22" x14ac:dyDescent="0.25">
      <c r="B235" s="20" t="s">
        <v>25</v>
      </c>
      <c r="C235" s="17"/>
      <c r="D235" s="86" t="str">
        <f>INDEX(Cad_Natureza!$B$3:$C$52,MATCH('2025'!F235,Cad_Natureza!$C$3:$C$52,0),MATCH('2025'!D$2,Cad_Natureza!$B$3:$C$3,0))</f>
        <v>OPF2</v>
      </c>
      <c r="E235" s="84" t="s">
        <v>259</v>
      </c>
      <c r="F235" s="85" t="s">
        <v>741</v>
      </c>
      <c r="G235" s="86" t="s">
        <v>25</v>
      </c>
      <c r="H235" s="87">
        <v>45749</v>
      </c>
      <c r="I235" s="87"/>
      <c r="J235" s="79" t="s">
        <v>184</v>
      </c>
      <c r="K235" s="62">
        <v>-50</v>
      </c>
      <c r="L235" s="68">
        <v>663.95999999999924</v>
      </c>
      <c r="M235" s="17"/>
      <c r="N235" s="21" t="str">
        <f t="shared" si="21"/>
        <v>MCSOPF2CPF - Desp. Transporte / Combustível</v>
      </c>
      <c r="O235" s="21" t="str">
        <f t="shared" si="22"/>
        <v>OPF2CPF - Desp. Transporte / Combustível</v>
      </c>
      <c r="P235" s="21" t="str">
        <f t="shared" si="23"/>
        <v>MCSOPF2CPF - Desp. Transporte / Combustível</v>
      </c>
      <c r="Q235" s="21" t="str">
        <f t="shared" si="24"/>
        <v>MCSOPF2</v>
      </c>
      <c r="R235" s="21" t="str">
        <f t="shared" si="25"/>
        <v>MCSOPF2</v>
      </c>
      <c r="S235" s="17"/>
      <c r="T235" s="24">
        <f t="shared" si="26"/>
        <v>45748</v>
      </c>
      <c r="U235" s="24" t="str">
        <f t="shared" si="27"/>
        <v/>
      </c>
      <c r="V235" s="14" t="s">
        <v>761</v>
      </c>
    </row>
    <row r="236" spans="2:22" x14ac:dyDescent="0.25">
      <c r="B236" s="20" t="s">
        <v>25</v>
      </c>
      <c r="C236" s="17"/>
      <c r="D236" s="86" t="str">
        <f>INDEX(Cad_Natureza!$B$3:$C$52,MATCH('2025'!F236,Cad_Natureza!$C$3:$C$52,0),MATCH('2025'!D$2,Cad_Natureza!$B$3:$C$3,0))</f>
        <v>GAST1</v>
      </c>
      <c r="E236" s="84" t="s">
        <v>260</v>
      </c>
      <c r="F236" s="85" t="s">
        <v>742</v>
      </c>
      <c r="G236" s="86" t="s">
        <v>25</v>
      </c>
      <c r="H236" s="87">
        <v>45749</v>
      </c>
      <c r="I236" s="87"/>
      <c r="J236" s="79" t="s">
        <v>185</v>
      </c>
      <c r="K236" s="62">
        <v>-15</v>
      </c>
      <c r="L236" s="68">
        <v>648.95999999999924</v>
      </c>
      <c r="M236" s="17"/>
      <c r="N236" s="21" t="str">
        <f t="shared" si="21"/>
        <v>MCSGAST1CPF - Desp. Lazer e Entretenimento - Bares</v>
      </c>
      <c r="O236" s="21" t="str">
        <f t="shared" si="22"/>
        <v>GAST1CPF - Desp. Lazer e Entretenimento - Bares</v>
      </c>
      <c r="P236" s="21" t="str">
        <f t="shared" si="23"/>
        <v>MCSGAST1CPF - Desp. Lazer e Entretenimento - Bares</v>
      </c>
      <c r="Q236" s="21" t="str">
        <f t="shared" si="24"/>
        <v>MCSGAST1</v>
      </c>
      <c r="R236" s="21" t="str">
        <f t="shared" si="25"/>
        <v>MCSGAST1</v>
      </c>
      <c r="S236" s="17"/>
      <c r="T236" s="24">
        <f t="shared" si="26"/>
        <v>45748</v>
      </c>
      <c r="U236" s="24" t="str">
        <f t="shared" si="27"/>
        <v/>
      </c>
      <c r="V236" s="14" t="s">
        <v>761</v>
      </c>
    </row>
    <row r="237" spans="2:22" x14ac:dyDescent="0.25">
      <c r="B237" s="20" t="s">
        <v>25</v>
      </c>
      <c r="C237" s="17"/>
      <c r="D237" s="86" t="str">
        <f>INDEX(Cad_Natureza!$B$3:$C$52,MATCH('2025'!F237,Cad_Natureza!$C$3:$C$52,0),MATCH('2025'!D$2,Cad_Natureza!$B$3:$C$3,0))</f>
        <v>TRI1</v>
      </c>
      <c r="E237" s="84" t="s">
        <v>261</v>
      </c>
      <c r="F237" s="85" t="s">
        <v>35</v>
      </c>
      <c r="G237" s="86" t="s">
        <v>25</v>
      </c>
      <c r="H237" s="87">
        <v>45749</v>
      </c>
      <c r="I237" s="87"/>
      <c r="J237" s="79" t="s">
        <v>189</v>
      </c>
      <c r="K237" s="62">
        <v>-0.03</v>
      </c>
      <c r="L237" s="68">
        <v>648.92999999999927</v>
      </c>
      <c r="M237" s="17"/>
      <c r="N237" s="21" t="str">
        <f t="shared" si="21"/>
        <v>MCSTRI1CPF - Desp. Impostos e Obrigações</v>
      </c>
      <c r="O237" s="21" t="str">
        <f t="shared" si="22"/>
        <v>TRI1CPF - Desp. Impostos e Obrigações</v>
      </c>
      <c r="P237" s="21" t="str">
        <f t="shared" si="23"/>
        <v>MCSTRI1CPF - Desp. Impostos e Obrigações</v>
      </c>
      <c r="Q237" s="21" t="str">
        <f t="shared" si="24"/>
        <v>MCSTRI1</v>
      </c>
      <c r="R237" s="21" t="str">
        <f t="shared" si="25"/>
        <v>MCSTRI1</v>
      </c>
      <c r="S237" s="17"/>
      <c r="T237" s="24">
        <f t="shared" si="26"/>
        <v>45748</v>
      </c>
      <c r="U237" s="24" t="str">
        <f t="shared" si="27"/>
        <v/>
      </c>
      <c r="V237" s="14" t="s">
        <v>761</v>
      </c>
    </row>
    <row r="238" spans="2:22" x14ac:dyDescent="0.25">
      <c r="B238" s="20" t="s">
        <v>25</v>
      </c>
      <c r="C238" s="17"/>
      <c r="D238" s="86" t="str">
        <f>INDEX(Cad_Natureza!$B$3:$C$52,MATCH('2025'!F238,Cad_Natureza!$C$3:$C$52,0),MATCH('2025'!D$2,Cad_Natureza!$B$3:$C$3,0))</f>
        <v>FIN2</v>
      </c>
      <c r="E238" s="84" t="s">
        <v>262</v>
      </c>
      <c r="F238" s="85" t="s">
        <v>751</v>
      </c>
      <c r="G238" s="86" t="s">
        <v>25</v>
      </c>
      <c r="H238" s="87">
        <v>45749</v>
      </c>
      <c r="I238" s="87"/>
      <c r="J238" s="79" t="s">
        <v>188</v>
      </c>
      <c r="K238" s="62">
        <v>-28</v>
      </c>
      <c r="L238" s="68">
        <v>620.92999999999927</v>
      </c>
      <c r="M238" s="17"/>
      <c r="N238" s="21" t="str">
        <f t="shared" si="21"/>
        <v>MCSFIN2CPF - Desp. Financeiras - Juros / Tarifas</v>
      </c>
      <c r="O238" s="21" t="str">
        <f t="shared" si="22"/>
        <v>FIN2CPF - Desp. Financeiras - Juros / Tarifas</v>
      </c>
      <c r="P238" s="21" t="str">
        <f t="shared" si="23"/>
        <v>MCSFIN2CPF - Desp. Financeiras - Juros / Tarifas</v>
      </c>
      <c r="Q238" s="21" t="str">
        <f t="shared" si="24"/>
        <v>MCSFIN2</v>
      </c>
      <c r="R238" s="21" t="str">
        <f t="shared" si="25"/>
        <v>MCSFIN2</v>
      </c>
      <c r="S238" s="17"/>
      <c r="T238" s="24">
        <f t="shared" si="26"/>
        <v>45748</v>
      </c>
      <c r="U238" s="24" t="str">
        <f t="shared" si="27"/>
        <v/>
      </c>
      <c r="V238" s="14" t="s">
        <v>761</v>
      </c>
    </row>
    <row r="239" spans="2:22" x14ac:dyDescent="0.25">
      <c r="B239" s="20" t="s">
        <v>25</v>
      </c>
      <c r="C239" s="17"/>
      <c r="D239" s="86" t="str">
        <f>INDEX(Cad_Natureza!$B$3:$C$52,MATCH('2025'!F239,Cad_Natureza!$C$3:$C$52,0),MATCH('2025'!D$2,Cad_Natureza!$B$3:$C$3,0))</f>
        <v>OPF1</v>
      </c>
      <c r="E239" s="84" t="s">
        <v>263</v>
      </c>
      <c r="F239" s="85" t="s">
        <v>744</v>
      </c>
      <c r="G239" s="86" t="s">
        <v>25</v>
      </c>
      <c r="H239" s="87">
        <v>45750</v>
      </c>
      <c r="I239" s="87"/>
      <c r="J239" s="79" t="s">
        <v>182</v>
      </c>
      <c r="K239" s="62">
        <v>-23</v>
      </c>
      <c r="L239" s="68">
        <v>597.92999999999927</v>
      </c>
      <c r="M239" s="17"/>
      <c r="N239" s="21" t="str">
        <f t="shared" si="21"/>
        <v>MCSOPF1CPF - Desp. Alimentação / Refeição</v>
      </c>
      <c r="O239" s="21" t="str">
        <f t="shared" si="22"/>
        <v>OPF1CPF - Desp. Alimentação / Refeição</v>
      </c>
      <c r="P239" s="21" t="str">
        <f t="shared" si="23"/>
        <v>MCSOPF1CPF - Desp. Alimentação / Refeição</v>
      </c>
      <c r="Q239" s="21" t="str">
        <f t="shared" si="24"/>
        <v>MCSOPF1</v>
      </c>
      <c r="R239" s="21" t="str">
        <f t="shared" si="25"/>
        <v>MCSOPF1</v>
      </c>
      <c r="S239" s="17"/>
      <c r="T239" s="24">
        <f t="shared" si="26"/>
        <v>45748</v>
      </c>
      <c r="U239" s="24" t="str">
        <f t="shared" si="27"/>
        <v/>
      </c>
      <c r="V239" s="14" t="s">
        <v>761</v>
      </c>
    </row>
    <row r="240" spans="2:22" x14ac:dyDescent="0.25">
      <c r="B240" s="20" t="s">
        <v>25</v>
      </c>
      <c r="C240" s="17"/>
      <c r="D240" s="86" t="str">
        <f>INDEX(Cad_Natureza!$B$3:$C$52,MATCH('2025'!F240,Cad_Natureza!$C$3:$C$52,0),MATCH('2025'!D$2,Cad_Natureza!$B$3:$C$3,0))</f>
        <v>OPF1</v>
      </c>
      <c r="E240" s="84" t="s">
        <v>264</v>
      </c>
      <c r="F240" s="85" t="s">
        <v>744</v>
      </c>
      <c r="G240" s="86" t="s">
        <v>25</v>
      </c>
      <c r="H240" s="87">
        <v>45751</v>
      </c>
      <c r="I240" s="87"/>
      <c r="J240" s="79" t="s">
        <v>182</v>
      </c>
      <c r="K240" s="62">
        <v>-23</v>
      </c>
      <c r="L240" s="68">
        <v>574.92999999999927</v>
      </c>
      <c r="M240" s="17"/>
      <c r="N240" s="21" t="str">
        <f t="shared" si="21"/>
        <v>MCSOPF1CPF - Desp. Alimentação / Refeição</v>
      </c>
      <c r="O240" s="21" t="str">
        <f t="shared" si="22"/>
        <v>OPF1CPF - Desp. Alimentação / Refeição</v>
      </c>
      <c r="P240" s="21" t="str">
        <f t="shared" si="23"/>
        <v>MCSOPF1CPF - Desp. Alimentação / Refeição</v>
      </c>
      <c r="Q240" s="21" t="str">
        <f t="shared" si="24"/>
        <v>MCSOPF1</v>
      </c>
      <c r="R240" s="21" t="str">
        <f t="shared" si="25"/>
        <v>MCSOPF1</v>
      </c>
      <c r="S240" s="17"/>
      <c r="T240" s="24">
        <f t="shared" si="26"/>
        <v>45748</v>
      </c>
      <c r="U240" s="24" t="str">
        <f t="shared" si="27"/>
        <v/>
      </c>
      <c r="V240" s="14" t="s">
        <v>761</v>
      </c>
    </row>
    <row r="241" spans="2:22" x14ac:dyDescent="0.25">
      <c r="B241" s="20" t="s">
        <v>25</v>
      </c>
      <c r="C241" s="17"/>
      <c r="D241" s="63" t="str">
        <f>INDEX(Cad_Natureza!$B$3:$C$52,MATCH('2025'!F241,Cad_Natureza!$C$3:$C$52,0),MATCH('2025'!D$2,Cad_Natureza!$B$3:$C$3,0))</f>
        <v>REC1</v>
      </c>
      <c r="E241" s="64" t="s">
        <v>265</v>
      </c>
      <c r="F241" s="65" t="s">
        <v>745</v>
      </c>
      <c r="G241" s="63" t="s">
        <v>25</v>
      </c>
      <c r="H241" s="66">
        <v>45751</v>
      </c>
      <c r="I241" s="66"/>
      <c r="J241" s="81" t="s">
        <v>34</v>
      </c>
      <c r="K241" s="82">
        <v>3500</v>
      </c>
      <c r="L241" s="68">
        <v>4074.9299999999994</v>
      </c>
      <c r="M241" s="17"/>
      <c r="N241" s="21" t="str">
        <f t="shared" si="21"/>
        <v>MCSREC1CPF - Remun. Salário / Pró-Labore</v>
      </c>
      <c r="O241" s="21" t="str">
        <f t="shared" si="22"/>
        <v>REC1CPF - Remun. Salário / Pró-Labore</v>
      </c>
      <c r="P241" s="21" t="str">
        <f t="shared" si="23"/>
        <v>MCSREC1CPF - Remun. Salário / Pró-Labore</v>
      </c>
      <c r="Q241" s="21" t="str">
        <f t="shared" si="24"/>
        <v>MCSREC1</v>
      </c>
      <c r="R241" s="21" t="str">
        <f t="shared" si="25"/>
        <v>MCSREC1</v>
      </c>
      <c r="S241" s="17"/>
      <c r="T241" s="24">
        <f t="shared" si="26"/>
        <v>45748</v>
      </c>
      <c r="U241" s="24" t="str">
        <f t="shared" si="27"/>
        <v/>
      </c>
      <c r="V241" s="14" t="s">
        <v>761</v>
      </c>
    </row>
    <row r="242" spans="2:22" x14ac:dyDescent="0.25">
      <c r="B242" s="20" t="s">
        <v>25</v>
      </c>
      <c r="C242" s="17"/>
      <c r="D242" s="86" t="str">
        <f>INDEX(Cad_Natureza!$B$3:$C$52,MATCH('2025'!F242,Cad_Natureza!$C$3:$C$52,0),MATCH('2025'!D$2,Cad_Natureza!$B$3:$C$3,0))</f>
        <v>OPF1</v>
      </c>
      <c r="E242" s="84" t="s">
        <v>266</v>
      </c>
      <c r="F242" s="85" t="s">
        <v>744</v>
      </c>
      <c r="G242" s="86" t="s">
        <v>25</v>
      </c>
      <c r="H242" s="87">
        <v>45751</v>
      </c>
      <c r="I242" s="87"/>
      <c r="J242" s="79" t="s">
        <v>182</v>
      </c>
      <c r="K242" s="62">
        <v>-22</v>
      </c>
      <c r="L242" s="68">
        <v>4052.9299999999994</v>
      </c>
      <c r="M242" s="17"/>
      <c r="N242" s="21" t="str">
        <f t="shared" si="21"/>
        <v>MCSOPF1CPF - Desp. Alimentação / Refeição</v>
      </c>
      <c r="O242" s="21" t="str">
        <f t="shared" si="22"/>
        <v>OPF1CPF - Desp. Alimentação / Refeição</v>
      </c>
      <c r="P242" s="21" t="str">
        <f t="shared" si="23"/>
        <v>MCSOPF1CPF - Desp. Alimentação / Refeição</v>
      </c>
      <c r="Q242" s="21" t="str">
        <f t="shared" si="24"/>
        <v>MCSOPF1</v>
      </c>
      <c r="R242" s="21" t="str">
        <f t="shared" si="25"/>
        <v>MCSOPF1</v>
      </c>
      <c r="S242" s="17"/>
      <c r="T242" s="24">
        <f t="shared" si="26"/>
        <v>45748</v>
      </c>
      <c r="U242" s="24" t="str">
        <f t="shared" si="27"/>
        <v/>
      </c>
      <c r="V242" s="14" t="s">
        <v>761</v>
      </c>
    </row>
    <row r="243" spans="2:22" x14ac:dyDescent="0.25">
      <c r="B243" s="20" t="s">
        <v>25</v>
      </c>
      <c r="C243" s="17"/>
      <c r="D243" s="86" t="str">
        <f>INDEX(Cad_Natureza!$B$3:$C$52,MATCH('2025'!F243,Cad_Natureza!$C$3:$C$52,0),MATCH('2025'!D$2,Cad_Natureza!$B$3:$C$3,0))</f>
        <v>GAST1</v>
      </c>
      <c r="E243" s="84" t="s">
        <v>267</v>
      </c>
      <c r="F243" s="85" t="s">
        <v>742</v>
      </c>
      <c r="G243" s="86" t="s">
        <v>25</v>
      </c>
      <c r="H243" s="87">
        <v>45751</v>
      </c>
      <c r="I243" s="87"/>
      <c r="J243" s="79" t="s">
        <v>185</v>
      </c>
      <c r="K243" s="62">
        <v>-21</v>
      </c>
      <c r="L243" s="68">
        <v>4031.9299999999994</v>
      </c>
      <c r="M243" s="17"/>
      <c r="N243" s="21" t="str">
        <f t="shared" si="21"/>
        <v>MCSGAST1CPF - Desp. Lazer e Entretenimento - Bares</v>
      </c>
      <c r="O243" s="21" t="str">
        <f t="shared" si="22"/>
        <v>GAST1CPF - Desp. Lazer e Entretenimento - Bares</v>
      </c>
      <c r="P243" s="21" t="str">
        <f t="shared" si="23"/>
        <v>MCSGAST1CPF - Desp. Lazer e Entretenimento - Bares</v>
      </c>
      <c r="Q243" s="21" t="str">
        <f t="shared" si="24"/>
        <v>MCSGAST1</v>
      </c>
      <c r="R243" s="21" t="str">
        <f t="shared" si="25"/>
        <v>MCSGAST1</v>
      </c>
      <c r="S243" s="17"/>
      <c r="T243" s="24">
        <f t="shared" si="26"/>
        <v>45748</v>
      </c>
      <c r="U243" s="24" t="str">
        <f t="shared" si="27"/>
        <v/>
      </c>
      <c r="V243" s="14" t="s">
        <v>761</v>
      </c>
    </row>
    <row r="244" spans="2:22" x14ac:dyDescent="0.25">
      <c r="B244" s="20" t="s">
        <v>25</v>
      </c>
      <c r="C244" s="17"/>
      <c r="D244" s="86" t="str">
        <f>INDEX(Cad_Natureza!$B$3:$C$52,MATCH('2025'!F244,Cad_Natureza!$C$3:$C$52,0),MATCH('2025'!D$2,Cad_Natureza!$B$3:$C$3,0))</f>
        <v>GAST1</v>
      </c>
      <c r="E244" s="84" t="s">
        <v>268</v>
      </c>
      <c r="F244" s="85" t="s">
        <v>742</v>
      </c>
      <c r="G244" s="86" t="s">
        <v>25</v>
      </c>
      <c r="H244" s="87">
        <v>45754</v>
      </c>
      <c r="I244" s="87"/>
      <c r="J244" s="79" t="s">
        <v>185</v>
      </c>
      <c r="K244" s="62">
        <v>-6</v>
      </c>
      <c r="L244" s="68">
        <v>4025.9299999999994</v>
      </c>
      <c r="M244" s="17"/>
      <c r="N244" s="21" t="str">
        <f t="shared" si="21"/>
        <v>MCSGAST1CPF - Desp. Lazer e Entretenimento - Bares</v>
      </c>
      <c r="O244" s="21" t="str">
        <f t="shared" si="22"/>
        <v>GAST1CPF - Desp. Lazer e Entretenimento - Bares</v>
      </c>
      <c r="P244" s="21" t="str">
        <f t="shared" si="23"/>
        <v>MCSGAST1CPF - Desp. Lazer e Entretenimento - Bares</v>
      </c>
      <c r="Q244" s="21" t="str">
        <f t="shared" si="24"/>
        <v>MCSGAST1</v>
      </c>
      <c r="R244" s="21" t="str">
        <f t="shared" si="25"/>
        <v>MCSGAST1</v>
      </c>
      <c r="S244" s="17"/>
      <c r="T244" s="24">
        <f t="shared" si="26"/>
        <v>45748</v>
      </c>
      <c r="U244" s="24" t="str">
        <f t="shared" si="27"/>
        <v/>
      </c>
      <c r="V244" s="14" t="s">
        <v>761</v>
      </c>
    </row>
    <row r="245" spans="2:22" x14ac:dyDescent="0.25">
      <c r="B245" s="20" t="s">
        <v>25</v>
      </c>
      <c r="C245" s="17"/>
      <c r="D245" s="86" t="str">
        <f>INDEX(Cad_Natureza!$B$3:$C$52,MATCH('2025'!F245,Cad_Natureza!$C$3:$C$52,0),MATCH('2025'!D$2,Cad_Natureza!$B$3:$C$3,0))</f>
        <v>GAST1</v>
      </c>
      <c r="E245" s="84" t="s">
        <v>269</v>
      </c>
      <c r="F245" s="85" t="s">
        <v>742</v>
      </c>
      <c r="G245" s="86" t="s">
        <v>25</v>
      </c>
      <c r="H245" s="87">
        <v>45754</v>
      </c>
      <c r="I245" s="87"/>
      <c r="J245" s="79" t="s">
        <v>185</v>
      </c>
      <c r="K245" s="62">
        <v>-33</v>
      </c>
      <c r="L245" s="68">
        <v>3992.9299999999994</v>
      </c>
      <c r="M245" s="17"/>
      <c r="N245" s="21" t="str">
        <f t="shared" si="21"/>
        <v>MCSGAST1CPF - Desp. Lazer e Entretenimento - Bares</v>
      </c>
      <c r="O245" s="21" t="str">
        <f t="shared" si="22"/>
        <v>GAST1CPF - Desp. Lazer e Entretenimento - Bares</v>
      </c>
      <c r="P245" s="21" t="str">
        <f t="shared" si="23"/>
        <v>MCSGAST1CPF - Desp. Lazer e Entretenimento - Bares</v>
      </c>
      <c r="Q245" s="21" t="str">
        <f t="shared" si="24"/>
        <v>MCSGAST1</v>
      </c>
      <c r="R245" s="21" t="str">
        <f t="shared" si="25"/>
        <v>MCSGAST1</v>
      </c>
      <c r="S245" s="17"/>
      <c r="T245" s="24">
        <f t="shared" si="26"/>
        <v>45748</v>
      </c>
      <c r="U245" s="24" t="str">
        <f t="shared" si="27"/>
        <v/>
      </c>
      <c r="V245" s="14" t="s">
        <v>761</v>
      </c>
    </row>
    <row r="246" spans="2:22" x14ac:dyDescent="0.25">
      <c r="B246" s="20" t="s">
        <v>25</v>
      </c>
      <c r="C246" s="17"/>
      <c r="D246" s="86" t="str">
        <f>INDEX(Cad_Natureza!$B$3:$C$52,MATCH('2025'!F246,Cad_Natureza!$C$3:$C$52,0),MATCH('2025'!D$2,Cad_Natureza!$B$3:$C$3,0))</f>
        <v>GAST1</v>
      </c>
      <c r="E246" s="84" t="s">
        <v>270</v>
      </c>
      <c r="F246" s="85" t="s">
        <v>742</v>
      </c>
      <c r="G246" s="86" t="s">
        <v>25</v>
      </c>
      <c r="H246" s="87">
        <v>45754</v>
      </c>
      <c r="I246" s="87"/>
      <c r="J246" s="79" t="s">
        <v>185</v>
      </c>
      <c r="K246" s="62">
        <v>-30</v>
      </c>
      <c r="L246" s="68">
        <v>3962.9299999999994</v>
      </c>
      <c r="M246" s="17"/>
      <c r="N246" s="21" t="str">
        <f t="shared" si="21"/>
        <v>MCSGAST1CPF - Desp. Lazer e Entretenimento - Bares</v>
      </c>
      <c r="O246" s="21" t="str">
        <f t="shared" si="22"/>
        <v>GAST1CPF - Desp. Lazer e Entretenimento - Bares</v>
      </c>
      <c r="P246" s="21" t="str">
        <f t="shared" si="23"/>
        <v>MCSGAST1CPF - Desp. Lazer e Entretenimento - Bares</v>
      </c>
      <c r="Q246" s="21" t="str">
        <f t="shared" si="24"/>
        <v>MCSGAST1</v>
      </c>
      <c r="R246" s="21" t="str">
        <f t="shared" si="25"/>
        <v>MCSGAST1</v>
      </c>
      <c r="S246" s="17"/>
      <c r="T246" s="24">
        <f t="shared" si="26"/>
        <v>45748</v>
      </c>
      <c r="U246" s="24" t="str">
        <f t="shared" si="27"/>
        <v/>
      </c>
      <c r="V246" s="14" t="s">
        <v>761</v>
      </c>
    </row>
    <row r="247" spans="2:22" x14ac:dyDescent="0.25">
      <c r="B247" s="20" t="s">
        <v>25</v>
      </c>
      <c r="C247" s="17"/>
      <c r="D247" s="86" t="str">
        <f>INDEX(Cad_Natureza!$B$3:$C$52,MATCH('2025'!F247,Cad_Natureza!$C$3:$C$52,0),MATCH('2025'!D$2,Cad_Natureza!$B$3:$C$3,0))</f>
        <v>GAST1</v>
      </c>
      <c r="E247" s="84" t="s">
        <v>271</v>
      </c>
      <c r="F247" s="85" t="s">
        <v>742</v>
      </c>
      <c r="G247" s="86" t="s">
        <v>25</v>
      </c>
      <c r="H247" s="87">
        <v>45754</v>
      </c>
      <c r="I247" s="87"/>
      <c r="J247" s="79" t="s">
        <v>185</v>
      </c>
      <c r="K247" s="62">
        <v>-15</v>
      </c>
      <c r="L247" s="68">
        <v>3947.9299999999994</v>
      </c>
      <c r="M247" s="17"/>
      <c r="N247" s="21" t="str">
        <f t="shared" si="21"/>
        <v>MCSGAST1CPF - Desp. Lazer e Entretenimento - Bares</v>
      </c>
      <c r="O247" s="21" t="str">
        <f t="shared" si="22"/>
        <v>GAST1CPF - Desp. Lazer e Entretenimento - Bares</v>
      </c>
      <c r="P247" s="21" t="str">
        <f t="shared" si="23"/>
        <v>MCSGAST1CPF - Desp. Lazer e Entretenimento - Bares</v>
      </c>
      <c r="Q247" s="21" t="str">
        <f t="shared" si="24"/>
        <v>MCSGAST1</v>
      </c>
      <c r="R247" s="21" t="str">
        <f t="shared" si="25"/>
        <v>MCSGAST1</v>
      </c>
      <c r="S247" s="17"/>
      <c r="T247" s="24">
        <f t="shared" si="26"/>
        <v>45748</v>
      </c>
      <c r="U247" s="24" t="str">
        <f t="shared" si="27"/>
        <v/>
      </c>
      <c r="V247" s="14" t="s">
        <v>761</v>
      </c>
    </row>
    <row r="248" spans="2:22" x14ac:dyDescent="0.25">
      <c r="B248" s="20" t="s">
        <v>25</v>
      </c>
      <c r="C248" s="17"/>
      <c r="D248" s="86" t="str">
        <f>INDEX(Cad_Natureza!$B$3:$C$52,MATCH('2025'!F248,Cad_Natureza!$C$3:$C$52,0),MATCH('2025'!D$2,Cad_Natureza!$B$3:$C$3,0))</f>
        <v>GAST1</v>
      </c>
      <c r="E248" s="84" t="s">
        <v>271</v>
      </c>
      <c r="F248" s="85" t="s">
        <v>742</v>
      </c>
      <c r="G248" s="86" t="s">
        <v>25</v>
      </c>
      <c r="H248" s="87">
        <v>45754</v>
      </c>
      <c r="I248" s="87"/>
      <c r="J248" s="79" t="s">
        <v>185</v>
      </c>
      <c r="K248" s="62">
        <v>-5.5</v>
      </c>
      <c r="L248" s="68">
        <v>3942.4299999999994</v>
      </c>
      <c r="M248" s="17"/>
      <c r="N248" s="21" t="str">
        <f t="shared" si="21"/>
        <v>MCSGAST1CPF - Desp. Lazer e Entretenimento - Bares</v>
      </c>
      <c r="O248" s="21" t="str">
        <f t="shared" si="22"/>
        <v>GAST1CPF - Desp. Lazer e Entretenimento - Bares</v>
      </c>
      <c r="P248" s="21" t="str">
        <f t="shared" si="23"/>
        <v>MCSGAST1CPF - Desp. Lazer e Entretenimento - Bares</v>
      </c>
      <c r="Q248" s="21" t="str">
        <f t="shared" si="24"/>
        <v>MCSGAST1</v>
      </c>
      <c r="R248" s="21" t="str">
        <f t="shared" si="25"/>
        <v>MCSGAST1</v>
      </c>
      <c r="S248" s="17"/>
      <c r="T248" s="24">
        <f t="shared" si="26"/>
        <v>45748</v>
      </c>
      <c r="U248" s="24" t="str">
        <f t="shared" si="27"/>
        <v/>
      </c>
      <c r="V248" s="14" t="s">
        <v>761</v>
      </c>
    </row>
    <row r="249" spans="2:22" x14ac:dyDescent="0.25">
      <c r="B249" s="20" t="s">
        <v>25</v>
      </c>
      <c r="C249" s="17"/>
      <c r="D249" s="86" t="str">
        <f>INDEX(Cad_Natureza!$B$3:$C$52,MATCH('2025'!F249,Cad_Natureza!$C$3:$C$52,0),MATCH('2025'!D$2,Cad_Natureza!$B$3:$C$3,0))</f>
        <v>GAST1</v>
      </c>
      <c r="E249" s="84" t="s">
        <v>268</v>
      </c>
      <c r="F249" s="85" t="s">
        <v>742</v>
      </c>
      <c r="G249" s="86" t="s">
        <v>25</v>
      </c>
      <c r="H249" s="87">
        <v>45754</v>
      </c>
      <c r="I249" s="87"/>
      <c r="J249" s="79" t="s">
        <v>185</v>
      </c>
      <c r="K249" s="62">
        <v>-16</v>
      </c>
      <c r="L249" s="68">
        <v>3926.4299999999994</v>
      </c>
      <c r="M249" s="17"/>
      <c r="N249" s="21" t="str">
        <f t="shared" si="21"/>
        <v>MCSGAST1CPF - Desp. Lazer e Entretenimento - Bares</v>
      </c>
      <c r="O249" s="21" t="str">
        <f t="shared" si="22"/>
        <v>GAST1CPF - Desp. Lazer e Entretenimento - Bares</v>
      </c>
      <c r="P249" s="21" t="str">
        <f t="shared" si="23"/>
        <v>MCSGAST1CPF - Desp. Lazer e Entretenimento - Bares</v>
      </c>
      <c r="Q249" s="21" t="str">
        <f t="shared" si="24"/>
        <v>MCSGAST1</v>
      </c>
      <c r="R249" s="21" t="str">
        <f t="shared" si="25"/>
        <v>MCSGAST1</v>
      </c>
      <c r="S249" s="17"/>
      <c r="T249" s="24">
        <f t="shared" si="26"/>
        <v>45748</v>
      </c>
      <c r="U249" s="24" t="str">
        <f t="shared" si="27"/>
        <v/>
      </c>
      <c r="V249" s="14" t="s">
        <v>761</v>
      </c>
    </row>
    <row r="250" spans="2:22" x14ac:dyDescent="0.25">
      <c r="B250" s="20" t="s">
        <v>25</v>
      </c>
      <c r="C250" s="17"/>
      <c r="D250" s="86" t="str">
        <f>INDEX(Cad_Natureza!$B$3:$C$52,MATCH('2025'!F250,Cad_Natureza!$C$3:$C$52,0),MATCH('2025'!D$2,Cad_Natureza!$B$3:$C$3,0))</f>
        <v>GAST1</v>
      </c>
      <c r="E250" s="84" t="s">
        <v>271</v>
      </c>
      <c r="F250" s="85" t="s">
        <v>742</v>
      </c>
      <c r="G250" s="86" t="s">
        <v>25</v>
      </c>
      <c r="H250" s="87">
        <v>45754</v>
      </c>
      <c r="I250" s="87"/>
      <c r="J250" s="79" t="s">
        <v>185</v>
      </c>
      <c r="K250" s="62">
        <v>-5</v>
      </c>
      <c r="L250" s="68">
        <v>3921.4299999999994</v>
      </c>
      <c r="M250" s="17"/>
      <c r="N250" s="21" t="str">
        <f t="shared" si="21"/>
        <v>MCSGAST1CPF - Desp. Lazer e Entretenimento - Bares</v>
      </c>
      <c r="O250" s="21" t="str">
        <f t="shared" si="22"/>
        <v>GAST1CPF - Desp. Lazer e Entretenimento - Bares</v>
      </c>
      <c r="P250" s="21" t="str">
        <f t="shared" si="23"/>
        <v>MCSGAST1CPF - Desp. Lazer e Entretenimento - Bares</v>
      </c>
      <c r="Q250" s="21" t="str">
        <f t="shared" si="24"/>
        <v>MCSGAST1</v>
      </c>
      <c r="R250" s="21" t="str">
        <f t="shared" si="25"/>
        <v>MCSGAST1</v>
      </c>
      <c r="S250" s="17"/>
      <c r="T250" s="24">
        <f t="shared" si="26"/>
        <v>45748</v>
      </c>
      <c r="U250" s="24" t="str">
        <f t="shared" si="27"/>
        <v/>
      </c>
      <c r="V250" s="14" t="s">
        <v>761</v>
      </c>
    </row>
    <row r="251" spans="2:22" x14ac:dyDescent="0.25">
      <c r="B251" s="20" t="s">
        <v>25</v>
      </c>
      <c r="C251" s="17"/>
      <c r="D251" s="86" t="str">
        <f>INDEX(Cad_Natureza!$B$3:$C$52,MATCH('2025'!F251,Cad_Natureza!$C$3:$C$52,0),MATCH('2025'!D$2,Cad_Natureza!$B$3:$C$3,0))</f>
        <v>GAST1</v>
      </c>
      <c r="E251" s="84" t="s">
        <v>272</v>
      </c>
      <c r="F251" s="85" t="s">
        <v>742</v>
      </c>
      <c r="G251" s="86" t="s">
        <v>25</v>
      </c>
      <c r="H251" s="87">
        <v>45754</v>
      </c>
      <c r="I251" s="87"/>
      <c r="J251" s="79" t="s">
        <v>185</v>
      </c>
      <c r="K251" s="62">
        <v>-15</v>
      </c>
      <c r="L251" s="68">
        <v>3906.4299999999994</v>
      </c>
      <c r="M251" s="17"/>
      <c r="N251" s="21" t="str">
        <f t="shared" si="21"/>
        <v>MCSGAST1CPF - Desp. Lazer e Entretenimento - Bares</v>
      </c>
      <c r="O251" s="21" t="str">
        <f t="shared" si="22"/>
        <v>GAST1CPF - Desp. Lazer e Entretenimento - Bares</v>
      </c>
      <c r="P251" s="21" t="str">
        <f t="shared" si="23"/>
        <v>MCSGAST1CPF - Desp. Lazer e Entretenimento - Bares</v>
      </c>
      <c r="Q251" s="21" t="str">
        <f t="shared" si="24"/>
        <v>MCSGAST1</v>
      </c>
      <c r="R251" s="21" t="str">
        <f t="shared" si="25"/>
        <v>MCSGAST1</v>
      </c>
      <c r="S251" s="17"/>
      <c r="T251" s="24">
        <f t="shared" si="26"/>
        <v>45748</v>
      </c>
      <c r="U251" s="24" t="str">
        <f t="shared" si="27"/>
        <v/>
      </c>
      <c r="V251" s="14" t="s">
        <v>761</v>
      </c>
    </row>
    <row r="252" spans="2:22" x14ac:dyDescent="0.25">
      <c r="B252" s="20" t="s">
        <v>25</v>
      </c>
      <c r="C252" s="17"/>
      <c r="D252" s="86" t="str">
        <f>INDEX(Cad_Natureza!$B$3:$C$52,MATCH('2025'!F252,Cad_Natureza!$C$3:$C$52,0),MATCH('2025'!D$2,Cad_Natureza!$B$3:$C$3,0))</f>
        <v>OPF1</v>
      </c>
      <c r="E252" s="84" t="s">
        <v>273</v>
      </c>
      <c r="F252" s="85" t="s">
        <v>744</v>
      </c>
      <c r="G252" s="86" t="s">
        <v>25</v>
      </c>
      <c r="H252" s="87">
        <v>45754</v>
      </c>
      <c r="I252" s="87"/>
      <c r="J252" s="79" t="s">
        <v>182</v>
      </c>
      <c r="K252" s="62">
        <v>-23</v>
      </c>
      <c r="L252" s="68">
        <v>3883.4299999999994</v>
      </c>
      <c r="M252" s="17"/>
      <c r="N252" s="21" t="str">
        <f t="shared" si="21"/>
        <v>MCSOPF1CPF - Desp. Alimentação / Refeição</v>
      </c>
      <c r="O252" s="21" t="str">
        <f t="shared" si="22"/>
        <v>OPF1CPF - Desp. Alimentação / Refeição</v>
      </c>
      <c r="P252" s="21" t="str">
        <f t="shared" si="23"/>
        <v>MCSOPF1CPF - Desp. Alimentação / Refeição</v>
      </c>
      <c r="Q252" s="21" t="str">
        <f t="shared" si="24"/>
        <v>MCSOPF1</v>
      </c>
      <c r="R252" s="21" t="str">
        <f t="shared" si="25"/>
        <v>MCSOPF1</v>
      </c>
      <c r="S252" s="17"/>
      <c r="T252" s="24">
        <f t="shared" si="26"/>
        <v>45748</v>
      </c>
      <c r="U252" s="24" t="str">
        <f t="shared" si="27"/>
        <v/>
      </c>
      <c r="V252" s="14" t="s">
        <v>761</v>
      </c>
    </row>
    <row r="253" spans="2:22" x14ac:dyDescent="0.25">
      <c r="B253" s="20" t="s">
        <v>25</v>
      </c>
      <c r="C253" s="17"/>
      <c r="D253" s="86" t="str">
        <f>INDEX(Cad_Natureza!$B$3:$C$52,MATCH('2025'!F253,Cad_Natureza!$C$3:$C$52,0),MATCH('2025'!D$2,Cad_Natureza!$B$3:$C$3,0))</f>
        <v>OPF2</v>
      </c>
      <c r="E253" s="84" t="s">
        <v>274</v>
      </c>
      <c r="F253" s="85" t="s">
        <v>741</v>
      </c>
      <c r="G253" s="86" t="s">
        <v>25</v>
      </c>
      <c r="H253" s="87">
        <v>45754</v>
      </c>
      <c r="I253" s="87"/>
      <c r="J253" s="79" t="s">
        <v>184</v>
      </c>
      <c r="K253" s="62">
        <v>-50</v>
      </c>
      <c r="L253" s="68">
        <v>3833.4299999999994</v>
      </c>
      <c r="M253" s="17"/>
      <c r="N253" s="21" t="str">
        <f t="shared" si="21"/>
        <v>MCSOPF2CPF - Desp. Transporte / Combustível</v>
      </c>
      <c r="O253" s="21" t="str">
        <f t="shared" si="22"/>
        <v>OPF2CPF - Desp. Transporte / Combustível</v>
      </c>
      <c r="P253" s="21" t="str">
        <f t="shared" si="23"/>
        <v>MCSOPF2CPF - Desp. Transporte / Combustível</v>
      </c>
      <c r="Q253" s="21" t="str">
        <f t="shared" si="24"/>
        <v>MCSOPF2</v>
      </c>
      <c r="R253" s="21" t="str">
        <f t="shared" si="25"/>
        <v>MCSOPF2</v>
      </c>
      <c r="S253" s="17"/>
      <c r="T253" s="24">
        <f t="shared" si="26"/>
        <v>45748</v>
      </c>
      <c r="U253" s="24" t="str">
        <f t="shared" si="27"/>
        <v/>
      </c>
      <c r="V253" s="14" t="s">
        <v>761</v>
      </c>
    </row>
    <row r="254" spans="2:22" x14ac:dyDescent="0.25">
      <c r="B254" s="20" t="s">
        <v>25</v>
      </c>
      <c r="C254" s="17"/>
      <c r="D254" s="86" t="str">
        <f>INDEX(Cad_Natureza!$B$3:$C$52,MATCH('2025'!F254,Cad_Natureza!$C$3:$C$52,0),MATCH('2025'!D$2,Cad_Natureza!$B$3:$C$3,0))</f>
        <v>DESP1</v>
      </c>
      <c r="E254" s="84" t="s">
        <v>275</v>
      </c>
      <c r="F254" s="85" t="s">
        <v>733</v>
      </c>
      <c r="G254" s="86" t="s">
        <v>25</v>
      </c>
      <c r="H254" s="87">
        <v>45754</v>
      </c>
      <c r="I254" s="87"/>
      <c r="J254" s="79" t="s">
        <v>194</v>
      </c>
      <c r="K254" s="62">
        <v>-495.5</v>
      </c>
      <c r="L254" s="68">
        <v>3337.9299999999994</v>
      </c>
      <c r="M254" s="17"/>
      <c r="N254" s="21" t="str">
        <f t="shared" si="21"/>
        <v>MCSDESP1CPF - Desp. Cartão de crédito</v>
      </c>
      <c r="O254" s="21" t="str">
        <f t="shared" si="22"/>
        <v>DESP1CPF - Desp. Cartão de crédito</v>
      </c>
      <c r="P254" s="21" t="str">
        <f t="shared" si="23"/>
        <v>MCSDESP1CPF - Desp. Cartão de crédito</v>
      </c>
      <c r="Q254" s="21" t="str">
        <f t="shared" si="24"/>
        <v>MCSDESP1</v>
      </c>
      <c r="R254" s="21" t="str">
        <f t="shared" si="25"/>
        <v>MCSDESP1</v>
      </c>
      <c r="S254" s="17"/>
      <c r="T254" s="24">
        <f t="shared" si="26"/>
        <v>45748</v>
      </c>
      <c r="U254" s="24" t="str">
        <f t="shared" si="27"/>
        <v/>
      </c>
      <c r="V254" s="14" t="s">
        <v>761</v>
      </c>
    </row>
    <row r="255" spans="2:22" x14ac:dyDescent="0.25">
      <c r="B255" s="20" t="s">
        <v>25</v>
      </c>
      <c r="C255" s="17"/>
      <c r="D255" s="86" t="str">
        <f>INDEX(Cad_Natureza!$B$3:$C$52,MATCH('2025'!F255,Cad_Natureza!$C$3:$C$52,0),MATCH('2025'!D$2,Cad_Natureza!$B$3:$C$3,0))</f>
        <v>GAST1</v>
      </c>
      <c r="E255" s="84" t="s">
        <v>276</v>
      </c>
      <c r="F255" s="85" t="s">
        <v>742</v>
      </c>
      <c r="G255" s="86" t="s">
        <v>25</v>
      </c>
      <c r="H255" s="87">
        <v>45754</v>
      </c>
      <c r="I255" s="87"/>
      <c r="J255" s="79" t="s">
        <v>185</v>
      </c>
      <c r="K255" s="62">
        <v>-8</v>
      </c>
      <c r="L255" s="68">
        <v>3329.9299999999994</v>
      </c>
      <c r="M255" s="17"/>
      <c r="N255" s="21" t="str">
        <f t="shared" si="21"/>
        <v>MCSGAST1CPF - Desp. Lazer e Entretenimento - Bares</v>
      </c>
      <c r="O255" s="21" t="str">
        <f t="shared" si="22"/>
        <v>GAST1CPF - Desp. Lazer e Entretenimento - Bares</v>
      </c>
      <c r="P255" s="21" t="str">
        <f t="shared" si="23"/>
        <v>MCSGAST1CPF - Desp. Lazer e Entretenimento - Bares</v>
      </c>
      <c r="Q255" s="21" t="str">
        <f t="shared" si="24"/>
        <v>MCSGAST1</v>
      </c>
      <c r="R255" s="21" t="str">
        <f t="shared" si="25"/>
        <v>MCSGAST1</v>
      </c>
      <c r="S255" s="17"/>
      <c r="T255" s="24">
        <f t="shared" si="26"/>
        <v>45748</v>
      </c>
      <c r="U255" s="24" t="str">
        <f t="shared" si="27"/>
        <v/>
      </c>
      <c r="V255" s="14" t="s">
        <v>761</v>
      </c>
    </row>
    <row r="256" spans="2:22" x14ac:dyDescent="0.25">
      <c r="B256" s="20" t="s">
        <v>25</v>
      </c>
      <c r="C256" s="17"/>
      <c r="D256" s="86" t="str">
        <f>INDEX(Cad_Natureza!$B$3:$C$52,MATCH('2025'!F256,Cad_Natureza!$C$3:$C$52,0),MATCH('2025'!D$2,Cad_Natureza!$B$3:$C$3,0))</f>
        <v>GAST1</v>
      </c>
      <c r="E256" s="84" t="s">
        <v>276</v>
      </c>
      <c r="F256" s="85" t="s">
        <v>742</v>
      </c>
      <c r="G256" s="86" t="s">
        <v>25</v>
      </c>
      <c r="H256" s="87">
        <v>45754</v>
      </c>
      <c r="I256" s="87"/>
      <c r="J256" s="79" t="s">
        <v>185</v>
      </c>
      <c r="K256" s="62">
        <v>-4</v>
      </c>
      <c r="L256" s="68">
        <v>3325.9299999999994</v>
      </c>
      <c r="M256" s="17"/>
      <c r="N256" s="21" t="str">
        <f t="shared" si="21"/>
        <v>MCSGAST1CPF - Desp. Lazer e Entretenimento - Bares</v>
      </c>
      <c r="O256" s="21" t="str">
        <f t="shared" si="22"/>
        <v>GAST1CPF - Desp. Lazer e Entretenimento - Bares</v>
      </c>
      <c r="P256" s="21" t="str">
        <f t="shared" si="23"/>
        <v>MCSGAST1CPF - Desp. Lazer e Entretenimento - Bares</v>
      </c>
      <c r="Q256" s="21" t="str">
        <f t="shared" si="24"/>
        <v>MCSGAST1</v>
      </c>
      <c r="R256" s="21" t="str">
        <f t="shared" si="25"/>
        <v>MCSGAST1</v>
      </c>
      <c r="S256" s="17"/>
      <c r="T256" s="24">
        <f t="shared" si="26"/>
        <v>45748</v>
      </c>
      <c r="U256" s="24" t="str">
        <f t="shared" si="27"/>
        <v/>
      </c>
      <c r="V256" s="14" t="s">
        <v>761</v>
      </c>
    </row>
    <row r="257" spans="2:22" x14ac:dyDescent="0.25">
      <c r="B257" s="20" t="s">
        <v>25</v>
      </c>
      <c r="C257" s="17"/>
      <c r="D257" s="86" t="str">
        <f>INDEX(Cad_Natureza!$B$3:$C$52,MATCH('2025'!F257,Cad_Natureza!$C$3:$C$52,0),MATCH('2025'!D$2,Cad_Natureza!$B$3:$C$3,0))</f>
        <v>GAST1</v>
      </c>
      <c r="E257" s="84" t="s">
        <v>276</v>
      </c>
      <c r="F257" s="85" t="s">
        <v>742</v>
      </c>
      <c r="G257" s="86" t="s">
        <v>25</v>
      </c>
      <c r="H257" s="87">
        <v>45754</v>
      </c>
      <c r="I257" s="87"/>
      <c r="J257" s="79" t="s">
        <v>185</v>
      </c>
      <c r="K257" s="62">
        <v>-4</v>
      </c>
      <c r="L257" s="68">
        <v>3321.9299999999994</v>
      </c>
      <c r="M257" s="17"/>
      <c r="N257" s="21" t="str">
        <f t="shared" si="21"/>
        <v>MCSGAST1CPF - Desp. Lazer e Entretenimento - Bares</v>
      </c>
      <c r="O257" s="21" t="str">
        <f t="shared" si="22"/>
        <v>GAST1CPF - Desp. Lazer e Entretenimento - Bares</v>
      </c>
      <c r="P257" s="21" t="str">
        <f t="shared" si="23"/>
        <v>MCSGAST1CPF - Desp. Lazer e Entretenimento - Bares</v>
      </c>
      <c r="Q257" s="21" t="str">
        <f t="shared" si="24"/>
        <v>MCSGAST1</v>
      </c>
      <c r="R257" s="21" t="str">
        <f t="shared" si="25"/>
        <v>MCSGAST1</v>
      </c>
      <c r="S257" s="17"/>
      <c r="T257" s="24">
        <f t="shared" si="26"/>
        <v>45748</v>
      </c>
      <c r="U257" s="24" t="str">
        <f t="shared" si="27"/>
        <v/>
      </c>
      <c r="V257" s="14" t="s">
        <v>761</v>
      </c>
    </row>
    <row r="258" spans="2:22" x14ac:dyDescent="0.25">
      <c r="B258" s="20" t="s">
        <v>25</v>
      </c>
      <c r="C258" s="17"/>
      <c r="D258" s="86" t="str">
        <f>INDEX(Cad_Natureza!$B$3:$C$52,MATCH('2025'!F258,Cad_Natureza!$C$3:$C$52,0),MATCH('2025'!D$2,Cad_Natureza!$B$3:$C$3,0))</f>
        <v>GAST1</v>
      </c>
      <c r="E258" s="84" t="s">
        <v>277</v>
      </c>
      <c r="F258" s="85" t="s">
        <v>742</v>
      </c>
      <c r="G258" s="86" t="s">
        <v>25</v>
      </c>
      <c r="H258" s="87">
        <v>45754</v>
      </c>
      <c r="I258" s="87"/>
      <c r="J258" s="79" t="s">
        <v>185</v>
      </c>
      <c r="K258" s="62">
        <v>-5</v>
      </c>
      <c r="L258" s="68">
        <v>3316.9299999999994</v>
      </c>
      <c r="M258" s="17"/>
      <c r="N258" s="21" t="str">
        <f t="shared" si="21"/>
        <v>MCSGAST1CPF - Desp. Lazer e Entretenimento - Bares</v>
      </c>
      <c r="O258" s="21" t="str">
        <f t="shared" si="22"/>
        <v>GAST1CPF - Desp. Lazer e Entretenimento - Bares</v>
      </c>
      <c r="P258" s="21" t="str">
        <f t="shared" si="23"/>
        <v>MCSGAST1CPF - Desp. Lazer e Entretenimento - Bares</v>
      </c>
      <c r="Q258" s="21" t="str">
        <f t="shared" si="24"/>
        <v>MCSGAST1</v>
      </c>
      <c r="R258" s="21" t="str">
        <f t="shared" si="25"/>
        <v>MCSGAST1</v>
      </c>
      <c r="S258" s="17"/>
      <c r="T258" s="24">
        <f t="shared" si="26"/>
        <v>45748</v>
      </c>
      <c r="U258" s="24" t="str">
        <f t="shared" si="27"/>
        <v/>
      </c>
      <c r="V258" s="14" t="s">
        <v>761</v>
      </c>
    </row>
    <row r="259" spans="2:22" x14ac:dyDescent="0.25">
      <c r="B259" s="20" t="s">
        <v>25</v>
      </c>
      <c r="C259" s="17"/>
      <c r="D259" s="86" t="str">
        <f>INDEX(Cad_Natureza!$B$3:$C$52,MATCH('2025'!F259,Cad_Natureza!$C$3:$C$52,0),MATCH('2025'!D$2,Cad_Natureza!$B$3:$C$3,0))</f>
        <v>FIN1</v>
      </c>
      <c r="E259" s="84" t="s">
        <v>278</v>
      </c>
      <c r="F259" s="85" t="s">
        <v>713</v>
      </c>
      <c r="G259" s="86" t="s">
        <v>25</v>
      </c>
      <c r="H259" s="87">
        <v>45755</v>
      </c>
      <c r="I259" s="87"/>
      <c r="J259" s="79" t="s">
        <v>353</v>
      </c>
      <c r="K259" s="62">
        <v>-127.18</v>
      </c>
      <c r="L259" s="68">
        <v>3189.7499999999995</v>
      </c>
      <c r="M259" s="17"/>
      <c r="N259" s="21" t="str">
        <f t="shared" ref="N259:N322" si="28">B259&amp;D259&amp;F259</f>
        <v>MCSFIN1CPF - Desp. Financeiras - Empréstimos</v>
      </c>
      <c r="O259" s="21" t="str">
        <f t="shared" ref="O259:O322" si="29">D259&amp;F259</f>
        <v>FIN1CPF - Desp. Financeiras - Empréstimos</v>
      </c>
      <c r="P259" s="21" t="str">
        <f t="shared" ref="P259:P322" si="30">"MCS"&amp;D259&amp;F259</f>
        <v>MCSFIN1CPF - Desp. Financeiras - Empréstimos</v>
      </c>
      <c r="Q259" s="21" t="str">
        <f t="shared" ref="Q259:Q322" si="31">"MCS"&amp;D259</f>
        <v>MCSFIN1</v>
      </c>
      <c r="R259" s="21" t="str">
        <f t="shared" ref="R259:R322" si="32">B259&amp;D259</f>
        <v>MCSFIN1</v>
      </c>
      <c r="S259" s="17"/>
      <c r="T259" s="24">
        <f t="shared" ref="T259:T322" si="33">(1&amp;"/"&amp;MONTH(H259)&amp;"/"&amp;YEAR(H259))*1</f>
        <v>45748</v>
      </c>
      <c r="U259" s="24" t="str">
        <f t="shared" ref="U259:U322" si="34">IF(I259="","",(1&amp;"/"&amp;MONTH(I259)&amp;"/"&amp;YEAR(I259))*1)</f>
        <v/>
      </c>
      <c r="V259" s="14" t="s">
        <v>761</v>
      </c>
    </row>
    <row r="260" spans="2:22" x14ac:dyDescent="0.25">
      <c r="B260" s="20" t="s">
        <v>25</v>
      </c>
      <c r="C260" s="17"/>
      <c r="D260" s="86" t="str">
        <f>INDEX(Cad_Natureza!$B$3:$C$52,MATCH('2025'!F260,Cad_Natureza!$C$3:$C$52,0),MATCH('2025'!D$2,Cad_Natureza!$B$3:$C$3,0))</f>
        <v>OPF1</v>
      </c>
      <c r="E260" s="84" t="s">
        <v>279</v>
      </c>
      <c r="F260" s="85" t="s">
        <v>744</v>
      </c>
      <c r="G260" s="86" t="s">
        <v>25</v>
      </c>
      <c r="H260" s="87">
        <v>45755</v>
      </c>
      <c r="I260" s="87"/>
      <c r="J260" s="79" t="s">
        <v>182</v>
      </c>
      <c r="K260" s="62">
        <v>-23</v>
      </c>
      <c r="L260" s="68">
        <v>3166.7499999999995</v>
      </c>
      <c r="M260" s="17"/>
      <c r="N260" s="21" t="str">
        <f t="shared" si="28"/>
        <v>MCSOPF1CPF - Desp. Alimentação / Refeição</v>
      </c>
      <c r="O260" s="21" t="str">
        <f t="shared" si="29"/>
        <v>OPF1CPF - Desp. Alimentação / Refeição</v>
      </c>
      <c r="P260" s="21" t="str">
        <f t="shared" si="30"/>
        <v>MCSOPF1CPF - Desp. Alimentação / Refeição</v>
      </c>
      <c r="Q260" s="21" t="str">
        <f t="shared" si="31"/>
        <v>MCSOPF1</v>
      </c>
      <c r="R260" s="21" t="str">
        <f t="shared" si="32"/>
        <v>MCSOPF1</v>
      </c>
      <c r="S260" s="17"/>
      <c r="T260" s="24">
        <f t="shared" si="33"/>
        <v>45748</v>
      </c>
      <c r="U260" s="24" t="str">
        <f t="shared" si="34"/>
        <v/>
      </c>
      <c r="V260" s="14" t="s">
        <v>761</v>
      </c>
    </row>
    <row r="261" spans="2:22" x14ac:dyDescent="0.25">
      <c r="B261" s="20" t="s">
        <v>25</v>
      </c>
      <c r="C261" s="17"/>
      <c r="D261" s="86" t="str">
        <f>INDEX(Cad_Natureza!$B$3:$C$52,MATCH('2025'!F261,Cad_Natureza!$C$3:$C$52,0),MATCH('2025'!D$2,Cad_Natureza!$B$3:$C$3,0))</f>
        <v>OPF2</v>
      </c>
      <c r="E261" s="84" t="s">
        <v>280</v>
      </c>
      <c r="F261" s="85" t="s">
        <v>741</v>
      </c>
      <c r="G261" s="86" t="s">
        <v>25</v>
      </c>
      <c r="H261" s="87">
        <v>45755</v>
      </c>
      <c r="I261" s="87"/>
      <c r="J261" s="79" t="s">
        <v>184</v>
      </c>
      <c r="K261" s="62">
        <v>-50</v>
      </c>
      <c r="L261" s="68">
        <v>3116.7499999999995</v>
      </c>
      <c r="M261" s="17"/>
      <c r="N261" s="21" t="str">
        <f t="shared" si="28"/>
        <v>MCSOPF2CPF - Desp. Transporte / Combustível</v>
      </c>
      <c r="O261" s="21" t="str">
        <f t="shared" si="29"/>
        <v>OPF2CPF - Desp. Transporte / Combustível</v>
      </c>
      <c r="P261" s="21" t="str">
        <f t="shared" si="30"/>
        <v>MCSOPF2CPF - Desp. Transporte / Combustível</v>
      </c>
      <c r="Q261" s="21" t="str">
        <f t="shared" si="31"/>
        <v>MCSOPF2</v>
      </c>
      <c r="R261" s="21" t="str">
        <f t="shared" si="32"/>
        <v>MCSOPF2</v>
      </c>
      <c r="S261" s="17"/>
      <c r="T261" s="24">
        <f t="shared" si="33"/>
        <v>45748</v>
      </c>
      <c r="U261" s="24" t="str">
        <f t="shared" si="34"/>
        <v/>
      </c>
      <c r="V261" s="14" t="s">
        <v>761</v>
      </c>
    </row>
    <row r="262" spans="2:22" x14ac:dyDescent="0.25">
      <c r="B262" s="20" t="s">
        <v>25</v>
      </c>
      <c r="C262" s="17"/>
      <c r="D262" s="86" t="str">
        <f>INDEX(Cad_Natureza!$B$3:$C$52,MATCH('2025'!F262,Cad_Natureza!$C$3:$C$52,0),MATCH('2025'!D$2,Cad_Natureza!$B$3:$C$3,0))</f>
        <v>OPF1</v>
      </c>
      <c r="E262" s="84" t="s">
        <v>281</v>
      </c>
      <c r="F262" s="85" t="s">
        <v>744</v>
      </c>
      <c r="G262" s="86" t="s">
        <v>25</v>
      </c>
      <c r="H262" s="87">
        <v>45756</v>
      </c>
      <c r="I262" s="87"/>
      <c r="J262" s="79" t="s">
        <v>182</v>
      </c>
      <c r="K262" s="62">
        <v>-23</v>
      </c>
      <c r="L262" s="68">
        <v>3093.7499999999995</v>
      </c>
      <c r="M262" s="17"/>
      <c r="N262" s="21" t="str">
        <f t="shared" si="28"/>
        <v>MCSOPF1CPF - Desp. Alimentação / Refeição</v>
      </c>
      <c r="O262" s="21" t="str">
        <f t="shared" si="29"/>
        <v>OPF1CPF - Desp. Alimentação / Refeição</v>
      </c>
      <c r="P262" s="21" t="str">
        <f t="shared" si="30"/>
        <v>MCSOPF1CPF - Desp. Alimentação / Refeição</v>
      </c>
      <c r="Q262" s="21" t="str">
        <f t="shared" si="31"/>
        <v>MCSOPF1</v>
      </c>
      <c r="R262" s="21" t="str">
        <f t="shared" si="32"/>
        <v>MCSOPF1</v>
      </c>
      <c r="S262" s="17"/>
      <c r="T262" s="24">
        <f t="shared" si="33"/>
        <v>45748</v>
      </c>
      <c r="U262" s="24" t="str">
        <f t="shared" si="34"/>
        <v/>
      </c>
      <c r="V262" s="14" t="s">
        <v>761</v>
      </c>
    </row>
    <row r="263" spans="2:22" x14ac:dyDescent="0.25">
      <c r="B263" s="20" t="s">
        <v>25</v>
      </c>
      <c r="C263" s="17"/>
      <c r="D263" s="86" t="str">
        <f>INDEX(Cad_Natureza!$B$3:$C$52,MATCH('2025'!F263,Cad_Natureza!$C$3:$C$52,0),MATCH('2025'!D$2,Cad_Natureza!$B$3:$C$3,0))</f>
        <v>PENS3</v>
      </c>
      <c r="E263" s="84" t="s">
        <v>282</v>
      </c>
      <c r="F263" s="85" t="s">
        <v>746</v>
      </c>
      <c r="G263" s="86" t="s">
        <v>25</v>
      </c>
      <c r="H263" s="87">
        <v>45757</v>
      </c>
      <c r="I263" s="87"/>
      <c r="J263" s="78" t="s">
        <v>590</v>
      </c>
      <c r="K263" s="62">
        <v>-234.81</v>
      </c>
      <c r="L263" s="68">
        <v>2858.9399999999996</v>
      </c>
      <c r="M263" s="17"/>
      <c r="N263" s="21" t="str">
        <f t="shared" si="28"/>
        <v>MCSPENS3CPF - Pensão - Plano de saúde</v>
      </c>
      <c r="O263" s="21" t="str">
        <f t="shared" si="29"/>
        <v>PENS3CPF - Pensão - Plano de saúde</v>
      </c>
      <c r="P263" s="21" t="str">
        <f t="shared" si="30"/>
        <v>MCSPENS3CPF - Pensão - Plano de saúde</v>
      </c>
      <c r="Q263" s="21" t="str">
        <f t="shared" si="31"/>
        <v>MCSPENS3</v>
      </c>
      <c r="R263" s="21" t="str">
        <f t="shared" si="32"/>
        <v>MCSPENS3</v>
      </c>
      <c r="S263" s="17"/>
      <c r="T263" s="24">
        <f t="shared" si="33"/>
        <v>45748</v>
      </c>
      <c r="U263" s="24" t="str">
        <f t="shared" si="34"/>
        <v/>
      </c>
      <c r="V263" s="14" t="s">
        <v>731</v>
      </c>
    </row>
    <row r="264" spans="2:22" x14ac:dyDescent="0.25">
      <c r="B264" s="20" t="s">
        <v>25</v>
      </c>
      <c r="C264" s="17"/>
      <c r="D264" s="86" t="str">
        <f>INDEX(Cad_Natureza!$B$3:$C$52,MATCH('2025'!F264,Cad_Natureza!$C$3:$C$52,0),MATCH('2025'!D$2,Cad_Natureza!$B$3:$C$3,0))</f>
        <v>OPF1</v>
      </c>
      <c r="E264" s="84" t="s">
        <v>283</v>
      </c>
      <c r="F264" s="85" t="s">
        <v>744</v>
      </c>
      <c r="G264" s="86" t="s">
        <v>25</v>
      </c>
      <c r="H264" s="87">
        <v>45757</v>
      </c>
      <c r="I264" s="87"/>
      <c r="J264" s="79" t="s">
        <v>182</v>
      </c>
      <c r="K264" s="62">
        <v>-23</v>
      </c>
      <c r="L264" s="68">
        <v>2835.9399999999996</v>
      </c>
      <c r="M264" s="17"/>
      <c r="N264" s="21" t="str">
        <f t="shared" si="28"/>
        <v>MCSOPF1CPF - Desp. Alimentação / Refeição</v>
      </c>
      <c r="O264" s="21" t="str">
        <f t="shared" si="29"/>
        <v>OPF1CPF - Desp. Alimentação / Refeição</v>
      </c>
      <c r="P264" s="21" t="str">
        <f t="shared" si="30"/>
        <v>MCSOPF1CPF - Desp. Alimentação / Refeição</v>
      </c>
      <c r="Q264" s="21" t="str">
        <f t="shared" si="31"/>
        <v>MCSOPF1</v>
      </c>
      <c r="R264" s="21" t="str">
        <f t="shared" si="32"/>
        <v>MCSOPF1</v>
      </c>
      <c r="S264" s="17"/>
      <c r="T264" s="24">
        <f t="shared" si="33"/>
        <v>45748</v>
      </c>
      <c r="U264" s="24" t="str">
        <f t="shared" si="34"/>
        <v/>
      </c>
      <c r="V264" s="14" t="s">
        <v>761</v>
      </c>
    </row>
    <row r="265" spans="2:22" x14ac:dyDescent="0.25">
      <c r="B265" s="20" t="s">
        <v>25</v>
      </c>
      <c r="C265" s="17"/>
      <c r="D265" s="86" t="str">
        <f>INDEX(Cad_Natureza!$B$3:$C$52,MATCH('2025'!F265,Cad_Natureza!$C$3:$C$52,0),MATCH('2025'!D$2,Cad_Natureza!$B$3:$C$3,0))</f>
        <v>OPF2</v>
      </c>
      <c r="E265" s="84" t="s">
        <v>284</v>
      </c>
      <c r="F265" s="85" t="s">
        <v>741</v>
      </c>
      <c r="G265" s="86" t="s">
        <v>25</v>
      </c>
      <c r="H265" s="87">
        <v>45757</v>
      </c>
      <c r="I265" s="87"/>
      <c r="J265" s="79" t="s">
        <v>184</v>
      </c>
      <c r="K265" s="62">
        <v>-50.03</v>
      </c>
      <c r="L265" s="68">
        <v>2785.9099999999994</v>
      </c>
      <c r="M265" s="17"/>
      <c r="N265" s="21" t="str">
        <f t="shared" si="28"/>
        <v>MCSOPF2CPF - Desp. Transporte / Combustível</v>
      </c>
      <c r="O265" s="21" t="str">
        <f t="shared" si="29"/>
        <v>OPF2CPF - Desp. Transporte / Combustível</v>
      </c>
      <c r="P265" s="21" t="str">
        <f t="shared" si="30"/>
        <v>MCSOPF2CPF - Desp. Transporte / Combustível</v>
      </c>
      <c r="Q265" s="21" t="str">
        <f t="shared" si="31"/>
        <v>MCSOPF2</v>
      </c>
      <c r="R265" s="21" t="str">
        <f t="shared" si="32"/>
        <v>MCSOPF2</v>
      </c>
      <c r="S265" s="17"/>
      <c r="T265" s="24">
        <f t="shared" si="33"/>
        <v>45748</v>
      </c>
      <c r="U265" s="24" t="str">
        <f t="shared" si="34"/>
        <v/>
      </c>
      <c r="V265" s="14" t="s">
        <v>761</v>
      </c>
    </row>
    <row r="266" spans="2:22" x14ac:dyDescent="0.25">
      <c r="B266" s="20" t="s">
        <v>25</v>
      </c>
      <c r="C266" s="17"/>
      <c r="D266" s="86" t="str">
        <f>INDEX(Cad_Natureza!$B$3:$C$52,MATCH('2025'!F266,Cad_Natureza!$C$3:$C$52,0),MATCH('2025'!D$2,Cad_Natureza!$B$3:$C$3,0))</f>
        <v>DESP2</v>
      </c>
      <c r="E266" s="84" t="s">
        <v>285</v>
      </c>
      <c r="F266" s="85" t="s">
        <v>739</v>
      </c>
      <c r="G266" s="86" t="s">
        <v>25</v>
      </c>
      <c r="H266" s="87">
        <v>45757</v>
      </c>
      <c r="I266" s="87"/>
      <c r="J266" s="79" t="s">
        <v>455</v>
      </c>
      <c r="K266" s="62">
        <v>-25</v>
      </c>
      <c r="L266" s="68">
        <v>2760.9099999999994</v>
      </c>
      <c r="M266" s="17"/>
      <c r="N266" s="21" t="str">
        <f t="shared" si="28"/>
        <v>MCSDESP2CPF - Desp. Telefone / Internet</v>
      </c>
      <c r="O266" s="21" t="str">
        <f t="shared" si="29"/>
        <v>DESP2CPF - Desp. Telefone / Internet</v>
      </c>
      <c r="P266" s="21" t="str">
        <f t="shared" si="30"/>
        <v>MCSDESP2CPF - Desp. Telefone / Internet</v>
      </c>
      <c r="Q266" s="21" t="str">
        <f t="shared" si="31"/>
        <v>MCSDESP2</v>
      </c>
      <c r="R266" s="21" t="str">
        <f t="shared" si="32"/>
        <v>MCSDESP2</v>
      </c>
      <c r="S266" s="17"/>
      <c r="T266" s="24">
        <f t="shared" si="33"/>
        <v>45748</v>
      </c>
      <c r="U266" s="24" t="str">
        <f t="shared" si="34"/>
        <v/>
      </c>
      <c r="V266" s="14" t="s">
        <v>761</v>
      </c>
    </row>
    <row r="267" spans="2:22" x14ac:dyDescent="0.25">
      <c r="B267" s="20" t="s">
        <v>25</v>
      </c>
      <c r="C267" s="17"/>
      <c r="D267" s="86" t="str">
        <f>INDEX(Cad_Natureza!$B$3:$C$52,MATCH('2025'!F267,Cad_Natureza!$C$3:$C$52,0),MATCH('2025'!D$2,Cad_Natureza!$B$3:$C$3,0))</f>
        <v>PENS1</v>
      </c>
      <c r="E267" s="84" t="s">
        <v>286</v>
      </c>
      <c r="F267" s="85" t="s">
        <v>717</v>
      </c>
      <c r="G267" s="86" t="s">
        <v>25</v>
      </c>
      <c r="H267" s="87">
        <v>45758</v>
      </c>
      <c r="I267" s="87"/>
      <c r="J267" s="78" t="s">
        <v>592</v>
      </c>
      <c r="K267" s="62">
        <v>-600</v>
      </c>
      <c r="L267" s="68">
        <v>2160.9099999999994</v>
      </c>
      <c r="M267" s="17"/>
      <c r="N267" s="21" t="str">
        <f t="shared" si="28"/>
        <v>MCSPENS1CPF - Pensão - Aluguel</v>
      </c>
      <c r="O267" s="21" t="str">
        <f t="shared" si="29"/>
        <v>PENS1CPF - Pensão - Aluguel</v>
      </c>
      <c r="P267" s="21" t="str">
        <f t="shared" si="30"/>
        <v>MCSPENS1CPF - Pensão - Aluguel</v>
      </c>
      <c r="Q267" s="21" t="str">
        <f t="shared" si="31"/>
        <v>MCSPENS1</v>
      </c>
      <c r="R267" s="21" t="str">
        <f t="shared" si="32"/>
        <v>MCSPENS1</v>
      </c>
      <c r="S267" s="17"/>
      <c r="T267" s="24">
        <f t="shared" si="33"/>
        <v>45748</v>
      </c>
      <c r="U267" s="24" t="str">
        <f t="shared" si="34"/>
        <v/>
      </c>
      <c r="V267" s="14" t="s">
        <v>731</v>
      </c>
    </row>
    <row r="268" spans="2:22" x14ac:dyDescent="0.25">
      <c r="B268" s="20" t="s">
        <v>25</v>
      </c>
      <c r="C268" s="17"/>
      <c r="D268" s="86" t="str">
        <f>INDEX(Cad_Natureza!$B$3:$C$52,MATCH('2025'!F268,Cad_Natureza!$C$3:$C$52,0),MATCH('2025'!D$2,Cad_Natureza!$B$3:$C$3,0))</f>
        <v>PENS1</v>
      </c>
      <c r="E268" s="84" t="s">
        <v>287</v>
      </c>
      <c r="F268" s="85" t="s">
        <v>717</v>
      </c>
      <c r="G268" s="86" t="s">
        <v>25</v>
      </c>
      <c r="H268" s="87">
        <v>45758</v>
      </c>
      <c r="I268" s="87"/>
      <c r="J268" s="78" t="s">
        <v>591</v>
      </c>
      <c r="K268" s="62">
        <v>-600</v>
      </c>
      <c r="L268" s="68">
        <v>1560.9099999999994</v>
      </c>
      <c r="M268" s="17"/>
      <c r="N268" s="21" t="str">
        <f t="shared" si="28"/>
        <v>MCSPENS1CPF - Pensão - Aluguel</v>
      </c>
      <c r="O268" s="21" t="str">
        <f t="shared" si="29"/>
        <v>PENS1CPF - Pensão - Aluguel</v>
      </c>
      <c r="P268" s="21" t="str">
        <f t="shared" si="30"/>
        <v>MCSPENS1CPF - Pensão - Aluguel</v>
      </c>
      <c r="Q268" s="21" t="str">
        <f t="shared" si="31"/>
        <v>MCSPENS1</v>
      </c>
      <c r="R268" s="21" t="str">
        <f t="shared" si="32"/>
        <v>MCSPENS1</v>
      </c>
      <c r="S268" s="17"/>
      <c r="T268" s="24">
        <f t="shared" si="33"/>
        <v>45748</v>
      </c>
      <c r="U268" s="24" t="str">
        <f t="shared" si="34"/>
        <v/>
      </c>
      <c r="V268" s="14" t="s">
        <v>731</v>
      </c>
    </row>
    <row r="269" spans="2:22" x14ac:dyDescent="0.25">
      <c r="B269" s="20" t="s">
        <v>25</v>
      </c>
      <c r="C269" s="17"/>
      <c r="D269" s="86" t="str">
        <f>INDEX(Cad_Natureza!$B$3:$C$52,MATCH('2025'!F269,Cad_Natureza!$C$3:$C$52,0),MATCH('2025'!D$2,Cad_Natureza!$B$3:$C$3,0))</f>
        <v>OPF1</v>
      </c>
      <c r="E269" s="84" t="s">
        <v>288</v>
      </c>
      <c r="F269" s="85" t="s">
        <v>744</v>
      </c>
      <c r="G269" s="86" t="s">
        <v>25</v>
      </c>
      <c r="H269" s="87">
        <v>45758</v>
      </c>
      <c r="I269" s="87"/>
      <c r="J269" s="79" t="s">
        <v>182</v>
      </c>
      <c r="K269" s="62">
        <v>-23</v>
      </c>
      <c r="L269" s="68">
        <v>1537.9099999999994</v>
      </c>
      <c r="M269" s="17"/>
      <c r="N269" s="21" t="str">
        <f t="shared" si="28"/>
        <v>MCSOPF1CPF - Desp. Alimentação / Refeição</v>
      </c>
      <c r="O269" s="21" t="str">
        <f t="shared" si="29"/>
        <v>OPF1CPF - Desp. Alimentação / Refeição</v>
      </c>
      <c r="P269" s="21" t="str">
        <f t="shared" si="30"/>
        <v>MCSOPF1CPF - Desp. Alimentação / Refeição</v>
      </c>
      <c r="Q269" s="21" t="str">
        <f t="shared" si="31"/>
        <v>MCSOPF1</v>
      </c>
      <c r="R269" s="21" t="str">
        <f t="shared" si="32"/>
        <v>MCSOPF1</v>
      </c>
      <c r="S269" s="17"/>
      <c r="T269" s="24">
        <f t="shared" si="33"/>
        <v>45748</v>
      </c>
      <c r="U269" s="24" t="str">
        <f t="shared" si="34"/>
        <v/>
      </c>
      <c r="V269" s="14" t="s">
        <v>761</v>
      </c>
    </row>
    <row r="270" spans="2:22" x14ac:dyDescent="0.25">
      <c r="B270" s="20" t="s">
        <v>25</v>
      </c>
      <c r="C270" s="17"/>
      <c r="D270" s="86" t="str">
        <f>INDEX(Cad_Natureza!$B$3:$C$52,MATCH('2025'!F270,Cad_Natureza!$C$3:$C$52,0),MATCH('2025'!D$2,Cad_Natureza!$B$3:$C$3,0))</f>
        <v>GAST1</v>
      </c>
      <c r="E270" s="84" t="s">
        <v>289</v>
      </c>
      <c r="F270" s="85" t="s">
        <v>742</v>
      </c>
      <c r="G270" s="86" t="s">
        <v>25</v>
      </c>
      <c r="H270" s="87">
        <v>45758</v>
      </c>
      <c r="I270" s="87"/>
      <c r="J270" s="79" t="s">
        <v>185</v>
      </c>
      <c r="K270" s="62">
        <v>-32</v>
      </c>
      <c r="L270" s="68">
        <v>1505.9099999999994</v>
      </c>
      <c r="M270" s="17"/>
      <c r="N270" s="21" t="str">
        <f t="shared" si="28"/>
        <v>MCSGAST1CPF - Desp. Lazer e Entretenimento - Bares</v>
      </c>
      <c r="O270" s="21" t="str">
        <f t="shared" si="29"/>
        <v>GAST1CPF - Desp. Lazer e Entretenimento - Bares</v>
      </c>
      <c r="P270" s="21" t="str">
        <f t="shared" si="30"/>
        <v>MCSGAST1CPF - Desp. Lazer e Entretenimento - Bares</v>
      </c>
      <c r="Q270" s="21" t="str">
        <f t="shared" si="31"/>
        <v>MCSGAST1</v>
      </c>
      <c r="R270" s="21" t="str">
        <f t="shared" si="32"/>
        <v>MCSGAST1</v>
      </c>
      <c r="S270" s="17"/>
      <c r="T270" s="24">
        <f t="shared" si="33"/>
        <v>45748</v>
      </c>
      <c r="U270" s="24" t="str">
        <f t="shared" si="34"/>
        <v/>
      </c>
      <c r="V270" s="14" t="s">
        <v>761</v>
      </c>
    </row>
    <row r="271" spans="2:22" x14ac:dyDescent="0.25">
      <c r="B271" s="20" t="s">
        <v>25</v>
      </c>
      <c r="C271" s="17"/>
      <c r="D271" s="86" t="str">
        <f>INDEX(Cad_Natureza!$B$3:$C$52,MATCH('2025'!F271,Cad_Natureza!$C$3:$C$52,0),MATCH('2025'!D$2,Cad_Natureza!$B$3:$C$3,0))</f>
        <v>OPF1</v>
      </c>
      <c r="E271" s="84" t="s">
        <v>290</v>
      </c>
      <c r="F271" s="85" t="s">
        <v>744</v>
      </c>
      <c r="G271" s="86" t="s">
        <v>25</v>
      </c>
      <c r="H271" s="87">
        <v>45758</v>
      </c>
      <c r="I271" s="87"/>
      <c r="J271" s="79" t="s">
        <v>182</v>
      </c>
      <c r="K271" s="62">
        <v>-33</v>
      </c>
      <c r="L271" s="68">
        <v>1472.9099999999994</v>
      </c>
      <c r="M271" s="17"/>
      <c r="N271" s="21" t="str">
        <f t="shared" si="28"/>
        <v>MCSOPF1CPF - Desp. Alimentação / Refeição</v>
      </c>
      <c r="O271" s="21" t="str">
        <f t="shared" si="29"/>
        <v>OPF1CPF - Desp. Alimentação / Refeição</v>
      </c>
      <c r="P271" s="21" t="str">
        <f t="shared" si="30"/>
        <v>MCSOPF1CPF - Desp. Alimentação / Refeição</v>
      </c>
      <c r="Q271" s="21" t="str">
        <f t="shared" si="31"/>
        <v>MCSOPF1</v>
      </c>
      <c r="R271" s="21" t="str">
        <f t="shared" si="32"/>
        <v>MCSOPF1</v>
      </c>
      <c r="S271" s="17"/>
      <c r="T271" s="24">
        <f t="shared" si="33"/>
        <v>45748</v>
      </c>
      <c r="U271" s="24" t="str">
        <f t="shared" si="34"/>
        <v/>
      </c>
      <c r="V271" s="14" t="s">
        <v>761</v>
      </c>
    </row>
    <row r="272" spans="2:22" x14ac:dyDescent="0.25">
      <c r="B272" s="20" t="s">
        <v>25</v>
      </c>
      <c r="C272" s="17"/>
      <c r="D272" s="86" t="str">
        <f>INDEX(Cad_Natureza!$B$3:$C$52,MATCH('2025'!F272,Cad_Natureza!$C$3:$C$52,0),MATCH('2025'!D$2,Cad_Natureza!$B$3:$C$3,0))</f>
        <v>OPF1</v>
      </c>
      <c r="E272" s="84" t="s">
        <v>291</v>
      </c>
      <c r="F272" s="85" t="s">
        <v>744</v>
      </c>
      <c r="G272" s="86" t="s">
        <v>25</v>
      </c>
      <c r="H272" s="87">
        <v>45758</v>
      </c>
      <c r="I272" s="87"/>
      <c r="J272" s="79" t="s">
        <v>457</v>
      </c>
      <c r="K272" s="62">
        <v>-10</v>
      </c>
      <c r="L272" s="68">
        <v>1462.9099999999994</v>
      </c>
      <c r="M272" s="17"/>
      <c r="N272" s="21" t="str">
        <f t="shared" si="28"/>
        <v>MCSOPF1CPF - Desp. Alimentação / Refeição</v>
      </c>
      <c r="O272" s="21" t="str">
        <f t="shared" si="29"/>
        <v>OPF1CPF - Desp. Alimentação / Refeição</v>
      </c>
      <c r="P272" s="21" t="str">
        <f t="shared" si="30"/>
        <v>MCSOPF1CPF - Desp. Alimentação / Refeição</v>
      </c>
      <c r="Q272" s="21" t="str">
        <f t="shared" si="31"/>
        <v>MCSOPF1</v>
      </c>
      <c r="R272" s="21" t="str">
        <f t="shared" si="32"/>
        <v>MCSOPF1</v>
      </c>
      <c r="S272" s="17"/>
      <c r="T272" s="24">
        <f t="shared" si="33"/>
        <v>45748</v>
      </c>
      <c r="U272" s="24" t="str">
        <f t="shared" si="34"/>
        <v/>
      </c>
      <c r="V272" s="14" t="s">
        <v>761</v>
      </c>
    </row>
    <row r="273" spans="2:22" x14ac:dyDescent="0.25">
      <c r="B273" s="20" t="s">
        <v>25</v>
      </c>
      <c r="C273" s="17"/>
      <c r="D273" s="86" t="str">
        <f>INDEX(Cad_Natureza!$B$3:$C$52,MATCH('2025'!F273,Cad_Natureza!$C$3:$C$52,0),MATCH('2025'!D$2,Cad_Natureza!$B$3:$C$3,0))</f>
        <v>FIN3</v>
      </c>
      <c r="E273" s="84" t="s">
        <v>292</v>
      </c>
      <c r="F273" s="85" t="s">
        <v>939</v>
      </c>
      <c r="G273" s="86" t="s">
        <v>25</v>
      </c>
      <c r="H273" s="87">
        <v>45761</v>
      </c>
      <c r="I273" s="87"/>
      <c r="J273" s="79" t="s">
        <v>572</v>
      </c>
      <c r="K273" s="62">
        <v>-538.03</v>
      </c>
      <c r="L273" s="68">
        <v>924.87999999999943</v>
      </c>
      <c r="M273" s="17"/>
      <c r="N273" s="21" t="str">
        <f t="shared" si="28"/>
        <v>MCSFIN3CPF - Desp. Financeiras - Empréstimos bancários</v>
      </c>
      <c r="O273" s="21" t="str">
        <f t="shared" si="29"/>
        <v>FIN3CPF - Desp. Financeiras - Empréstimos bancários</v>
      </c>
      <c r="P273" s="21" t="str">
        <f t="shared" si="30"/>
        <v>MCSFIN3CPF - Desp. Financeiras - Empréstimos bancários</v>
      </c>
      <c r="Q273" s="21" t="str">
        <f t="shared" si="31"/>
        <v>MCSFIN3</v>
      </c>
      <c r="R273" s="21" t="str">
        <f t="shared" si="32"/>
        <v>MCSFIN3</v>
      </c>
      <c r="S273" s="17"/>
      <c r="T273" s="24">
        <f t="shared" si="33"/>
        <v>45748</v>
      </c>
      <c r="U273" s="24" t="str">
        <f t="shared" si="34"/>
        <v/>
      </c>
      <c r="V273" s="14" t="s">
        <v>761</v>
      </c>
    </row>
    <row r="274" spans="2:22" x14ac:dyDescent="0.25">
      <c r="B274" s="20" t="s">
        <v>25</v>
      </c>
      <c r="C274" s="17"/>
      <c r="D274" s="86" t="str">
        <f>INDEX(Cad_Natureza!$B$3:$C$52,MATCH('2025'!F274,Cad_Natureza!$C$3:$C$52,0),MATCH('2025'!D$2,Cad_Natureza!$B$3:$C$3,0))</f>
        <v>OPF1</v>
      </c>
      <c r="E274" s="84" t="s">
        <v>293</v>
      </c>
      <c r="F274" s="85" t="s">
        <v>744</v>
      </c>
      <c r="G274" s="86" t="s">
        <v>25</v>
      </c>
      <c r="H274" s="87">
        <v>45761</v>
      </c>
      <c r="I274" s="87"/>
      <c r="J274" s="79" t="s">
        <v>182</v>
      </c>
      <c r="K274" s="62">
        <v>-23</v>
      </c>
      <c r="L274" s="68">
        <v>901.87999999999943</v>
      </c>
      <c r="M274" s="17"/>
      <c r="N274" s="21" t="str">
        <f t="shared" si="28"/>
        <v>MCSOPF1CPF - Desp. Alimentação / Refeição</v>
      </c>
      <c r="O274" s="21" t="str">
        <f t="shared" si="29"/>
        <v>OPF1CPF - Desp. Alimentação / Refeição</v>
      </c>
      <c r="P274" s="21" t="str">
        <f t="shared" si="30"/>
        <v>MCSOPF1CPF - Desp. Alimentação / Refeição</v>
      </c>
      <c r="Q274" s="21" t="str">
        <f t="shared" si="31"/>
        <v>MCSOPF1</v>
      </c>
      <c r="R274" s="21" t="str">
        <f t="shared" si="32"/>
        <v>MCSOPF1</v>
      </c>
      <c r="S274" s="17"/>
      <c r="T274" s="24">
        <f t="shared" si="33"/>
        <v>45748</v>
      </c>
      <c r="U274" s="24" t="str">
        <f t="shared" si="34"/>
        <v/>
      </c>
      <c r="V274" s="14" t="s">
        <v>761</v>
      </c>
    </row>
    <row r="275" spans="2:22" x14ac:dyDescent="0.25">
      <c r="B275" s="20" t="s">
        <v>25</v>
      </c>
      <c r="C275" s="17"/>
      <c r="D275" s="86" t="str">
        <f>INDEX(Cad_Natureza!$B$3:$C$52,MATCH('2025'!F275,Cad_Natureza!$C$3:$C$52,0),MATCH('2025'!D$2,Cad_Natureza!$B$3:$C$3,0))</f>
        <v>PENS9</v>
      </c>
      <c r="E275" s="84" t="s">
        <v>294</v>
      </c>
      <c r="F275" s="85" t="s">
        <v>735</v>
      </c>
      <c r="G275" s="86" t="s">
        <v>25</v>
      </c>
      <c r="H275" s="87">
        <v>45761</v>
      </c>
      <c r="I275" s="87"/>
      <c r="J275" s="78" t="s">
        <v>199</v>
      </c>
      <c r="K275" s="62">
        <v>-70</v>
      </c>
      <c r="L275" s="68">
        <v>831.87999999999943</v>
      </c>
      <c r="M275" s="17"/>
      <c r="N275" s="21" t="str">
        <f t="shared" si="28"/>
        <v>MCSPENS9CPF - Pensão - Outros Gastos</v>
      </c>
      <c r="O275" s="21" t="str">
        <f t="shared" si="29"/>
        <v>PENS9CPF - Pensão - Outros Gastos</v>
      </c>
      <c r="P275" s="21" t="str">
        <f t="shared" si="30"/>
        <v>MCSPENS9CPF - Pensão - Outros Gastos</v>
      </c>
      <c r="Q275" s="21" t="str">
        <f t="shared" si="31"/>
        <v>MCSPENS9</v>
      </c>
      <c r="R275" s="21" t="str">
        <f t="shared" si="32"/>
        <v>MCSPENS9</v>
      </c>
      <c r="S275" s="17"/>
      <c r="T275" s="24">
        <f t="shared" si="33"/>
        <v>45748</v>
      </c>
      <c r="U275" s="24" t="str">
        <f t="shared" si="34"/>
        <v/>
      </c>
      <c r="V275" s="14" t="s">
        <v>731</v>
      </c>
    </row>
    <row r="276" spans="2:22" x14ac:dyDescent="0.25">
      <c r="B276" s="20" t="s">
        <v>25</v>
      </c>
      <c r="C276" s="17"/>
      <c r="D276" s="63" t="str">
        <f>INDEX(Cad_Natureza!$B$3:$C$52,MATCH('2025'!F276,Cad_Natureza!$C$3:$C$52,0),MATCH('2025'!D$2,Cad_Natureza!$B$3:$C$3,0))</f>
        <v>REC6</v>
      </c>
      <c r="E276" s="64" t="s">
        <v>294</v>
      </c>
      <c r="F276" s="65" t="s">
        <v>755</v>
      </c>
      <c r="G276" s="63" t="s">
        <v>25</v>
      </c>
      <c r="H276" s="66">
        <v>45761</v>
      </c>
      <c r="I276" s="66"/>
      <c r="J276" s="81" t="s">
        <v>593</v>
      </c>
      <c r="K276" s="68">
        <v>70</v>
      </c>
      <c r="L276" s="68">
        <v>901.87999999999943</v>
      </c>
      <c r="M276" s="17"/>
      <c r="N276" s="21" t="str">
        <f t="shared" si="28"/>
        <v>MCSREC6CPF - Pensão - Outras receitas</v>
      </c>
      <c r="O276" s="21" t="str">
        <f t="shared" si="29"/>
        <v>REC6CPF - Pensão - Outras receitas</v>
      </c>
      <c r="P276" s="21" t="str">
        <f t="shared" si="30"/>
        <v>MCSREC6CPF - Pensão - Outras receitas</v>
      </c>
      <c r="Q276" s="21" t="str">
        <f t="shared" si="31"/>
        <v>MCSREC6</v>
      </c>
      <c r="R276" s="21" t="str">
        <f t="shared" si="32"/>
        <v>MCSREC6</v>
      </c>
      <c r="S276" s="17"/>
      <c r="T276" s="24">
        <f t="shared" si="33"/>
        <v>45748</v>
      </c>
      <c r="U276" s="24" t="str">
        <f t="shared" si="34"/>
        <v/>
      </c>
      <c r="V276" s="14" t="s">
        <v>731</v>
      </c>
    </row>
    <row r="277" spans="2:22" x14ac:dyDescent="0.25">
      <c r="B277" s="20" t="s">
        <v>25</v>
      </c>
      <c r="C277" s="17"/>
      <c r="D277" s="86" t="str">
        <f>INDEX(Cad_Natureza!$B$3:$C$52,MATCH('2025'!F277,Cad_Natureza!$C$3:$C$52,0),MATCH('2025'!D$2,Cad_Natureza!$B$3:$C$3,0))</f>
        <v>PENS6</v>
      </c>
      <c r="E277" s="84" t="s">
        <v>295</v>
      </c>
      <c r="F277" s="85" t="s">
        <v>37</v>
      </c>
      <c r="G277" s="86" t="s">
        <v>25</v>
      </c>
      <c r="H277" s="87">
        <v>45761</v>
      </c>
      <c r="I277" s="87"/>
      <c r="J277" s="78" t="s">
        <v>360</v>
      </c>
      <c r="K277" s="62">
        <v>-70</v>
      </c>
      <c r="L277" s="68">
        <v>831.87999999999943</v>
      </c>
      <c r="M277" s="17"/>
      <c r="N277" s="21" t="str">
        <f t="shared" si="28"/>
        <v>MCSPENS6CPF - Pensão - Farmácia e Saúde</v>
      </c>
      <c r="O277" s="21" t="str">
        <f t="shared" si="29"/>
        <v>PENS6CPF - Pensão - Farmácia e Saúde</v>
      </c>
      <c r="P277" s="21" t="str">
        <f t="shared" si="30"/>
        <v>MCSPENS6CPF - Pensão - Farmácia e Saúde</v>
      </c>
      <c r="Q277" s="21" t="str">
        <f t="shared" si="31"/>
        <v>MCSPENS6</v>
      </c>
      <c r="R277" s="21" t="str">
        <f t="shared" si="32"/>
        <v>MCSPENS6</v>
      </c>
      <c r="S277" s="17"/>
      <c r="T277" s="24">
        <f t="shared" si="33"/>
        <v>45748</v>
      </c>
      <c r="U277" s="24" t="str">
        <f t="shared" si="34"/>
        <v/>
      </c>
      <c r="V277" s="14" t="s">
        <v>731</v>
      </c>
    </row>
    <row r="278" spans="2:22" x14ac:dyDescent="0.25">
      <c r="B278" s="20" t="s">
        <v>25</v>
      </c>
      <c r="C278" s="17"/>
      <c r="D278" s="63" t="str">
        <f>INDEX(Cad_Natureza!$B$3:$C$52,MATCH('2025'!F278,Cad_Natureza!$C$3:$C$52,0),MATCH('2025'!D$2,Cad_Natureza!$B$3:$C$3,0))</f>
        <v>REC6</v>
      </c>
      <c r="E278" s="64" t="s">
        <v>294</v>
      </c>
      <c r="F278" s="65" t="s">
        <v>755</v>
      </c>
      <c r="G278" s="63" t="s">
        <v>25</v>
      </c>
      <c r="H278" s="66">
        <v>45761</v>
      </c>
      <c r="I278" s="66"/>
      <c r="J278" s="81" t="s">
        <v>593</v>
      </c>
      <c r="K278" s="68">
        <v>70</v>
      </c>
      <c r="L278" s="68">
        <v>901.87999999999943</v>
      </c>
      <c r="M278" s="17"/>
      <c r="N278" s="21" t="str">
        <f t="shared" si="28"/>
        <v>MCSREC6CPF - Pensão - Outras receitas</v>
      </c>
      <c r="O278" s="21" t="str">
        <f t="shared" si="29"/>
        <v>REC6CPF - Pensão - Outras receitas</v>
      </c>
      <c r="P278" s="21" t="str">
        <f t="shared" si="30"/>
        <v>MCSREC6CPF - Pensão - Outras receitas</v>
      </c>
      <c r="Q278" s="21" t="str">
        <f t="shared" si="31"/>
        <v>MCSREC6</v>
      </c>
      <c r="R278" s="21" t="str">
        <f t="shared" si="32"/>
        <v>MCSREC6</v>
      </c>
      <c r="S278" s="17"/>
      <c r="T278" s="24">
        <f t="shared" si="33"/>
        <v>45748</v>
      </c>
      <c r="U278" s="24" t="str">
        <f t="shared" si="34"/>
        <v/>
      </c>
      <c r="V278" s="14" t="s">
        <v>731</v>
      </c>
    </row>
    <row r="279" spans="2:22" x14ac:dyDescent="0.25">
      <c r="B279" s="20" t="s">
        <v>25</v>
      </c>
      <c r="C279" s="17"/>
      <c r="D279" s="86" t="str">
        <f>INDEX(Cad_Natureza!$B$3:$C$52,MATCH('2025'!F279,Cad_Natureza!$C$3:$C$52,0),MATCH('2025'!D$2,Cad_Natureza!$B$3:$C$3,0))</f>
        <v>PENS6</v>
      </c>
      <c r="E279" s="84" t="s">
        <v>294</v>
      </c>
      <c r="F279" s="85" t="s">
        <v>37</v>
      </c>
      <c r="G279" s="86" t="s">
        <v>25</v>
      </c>
      <c r="H279" s="87">
        <v>45761</v>
      </c>
      <c r="I279" s="87"/>
      <c r="J279" s="78" t="s">
        <v>360</v>
      </c>
      <c r="K279" s="62">
        <v>-100</v>
      </c>
      <c r="L279" s="68">
        <v>801.87999999999943</v>
      </c>
      <c r="M279" s="17"/>
      <c r="N279" s="21" t="str">
        <f t="shared" si="28"/>
        <v>MCSPENS6CPF - Pensão - Farmácia e Saúde</v>
      </c>
      <c r="O279" s="21" t="str">
        <f t="shared" si="29"/>
        <v>PENS6CPF - Pensão - Farmácia e Saúde</v>
      </c>
      <c r="P279" s="21" t="str">
        <f t="shared" si="30"/>
        <v>MCSPENS6CPF - Pensão - Farmácia e Saúde</v>
      </c>
      <c r="Q279" s="21" t="str">
        <f t="shared" si="31"/>
        <v>MCSPENS6</v>
      </c>
      <c r="R279" s="21" t="str">
        <f t="shared" si="32"/>
        <v>MCSPENS6</v>
      </c>
      <c r="S279" s="17"/>
      <c r="T279" s="24">
        <f t="shared" si="33"/>
        <v>45748</v>
      </c>
      <c r="U279" s="24" t="str">
        <f t="shared" si="34"/>
        <v/>
      </c>
      <c r="V279" s="14" t="s">
        <v>731</v>
      </c>
    </row>
    <row r="280" spans="2:22" x14ac:dyDescent="0.25">
      <c r="B280" s="20" t="s">
        <v>25</v>
      </c>
      <c r="C280" s="17"/>
      <c r="D280" s="86" t="str">
        <f>INDEX(Cad_Natureza!$B$3:$C$52,MATCH('2025'!F280,Cad_Natureza!$C$3:$C$52,0),MATCH('2025'!D$2,Cad_Natureza!$B$3:$C$3,0))</f>
        <v>OPF1</v>
      </c>
      <c r="E280" s="84" t="s">
        <v>296</v>
      </c>
      <c r="F280" s="85" t="s">
        <v>744</v>
      </c>
      <c r="G280" s="86" t="s">
        <v>25</v>
      </c>
      <c r="H280" s="87">
        <v>45762</v>
      </c>
      <c r="I280" s="87"/>
      <c r="J280" s="79" t="s">
        <v>182</v>
      </c>
      <c r="K280" s="62">
        <v>-23</v>
      </c>
      <c r="L280" s="68">
        <v>778.87999999999943</v>
      </c>
      <c r="M280" s="17"/>
      <c r="N280" s="21" t="str">
        <f t="shared" si="28"/>
        <v>MCSOPF1CPF - Desp. Alimentação / Refeição</v>
      </c>
      <c r="O280" s="21" t="str">
        <f t="shared" si="29"/>
        <v>OPF1CPF - Desp. Alimentação / Refeição</v>
      </c>
      <c r="P280" s="21" t="str">
        <f t="shared" si="30"/>
        <v>MCSOPF1CPF - Desp. Alimentação / Refeição</v>
      </c>
      <c r="Q280" s="21" t="str">
        <f t="shared" si="31"/>
        <v>MCSOPF1</v>
      </c>
      <c r="R280" s="21" t="str">
        <f t="shared" si="32"/>
        <v>MCSOPF1</v>
      </c>
      <c r="S280" s="17"/>
      <c r="T280" s="24">
        <f t="shared" si="33"/>
        <v>45748</v>
      </c>
      <c r="U280" s="24" t="str">
        <f t="shared" si="34"/>
        <v/>
      </c>
      <c r="V280" s="14" t="s">
        <v>761</v>
      </c>
    </row>
    <row r="281" spans="2:22" x14ac:dyDescent="0.25">
      <c r="B281" s="20" t="s">
        <v>25</v>
      </c>
      <c r="C281" s="17"/>
      <c r="D281" s="86" t="str">
        <f>INDEX(Cad_Natureza!$B$3:$C$52,MATCH('2025'!F281,Cad_Natureza!$C$3:$C$52,0),MATCH('2025'!D$2,Cad_Natureza!$B$3:$C$3,0))</f>
        <v>DESP2</v>
      </c>
      <c r="E281" s="84" t="s">
        <v>222</v>
      </c>
      <c r="F281" s="85" t="s">
        <v>739</v>
      </c>
      <c r="G281" s="86" t="s">
        <v>25</v>
      </c>
      <c r="H281" s="87">
        <v>45762</v>
      </c>
      <c r="I281" s="87"/>
      <c r="J281" s="79" t="s">
        <v>355</v>
      </c>
      <c r="K281" s="62">
        <v>-95.9</v>
      </c>
      <c r="L281" s="68">
        <v>682.97999999999945</v>
      </c>
      <c r="M281" s="17"/>
      <c r="N281" s="21" t="str">
        <f t="shared" si="28"/>
        <v>MCSDESP2CPF - Desp. Telefone / Internet</v>
      </c>
      <c r="O281" s="21" t="str">
        <f t="shared" si="29"/>
        <v>DESP2CPF - Desp. Telefone / Internet</v>
      </c>
      <c r="P281" s="21" t="str">
        <f t="shared" si="30"/>
        <v>MCSDESP2CPF - Desp. Telefone / Internet</v>
      </c>
      <c r="Q281" s="21" t="str">
        <f t="shared" si="31"/>
        <v>MCSDESP2</v>
      </c>
      <c r="R281" s="21" t="str">
        <f t="shared" si="32"/>
        <v>MCSDESP2</v>
      </c>
      <c r="S281" s="17"/>
      <c r="T281" s="24">
        <f t="shared" si="33"/>
        <v>45748</v>
      </c>
      <c r="U281" s="24" t="str">
        <f t="shared" si="34"/>
        <v/>
      </c>
      <c r="V281" s="14" t="s">
        <v>761</v>
      </c>
    </row>
    <row r="282" spans="2:22" x14ac:dyDescent="0.25">
      <c r="B282" s="20" t="s">
        <v>25</v>
      </c>
      <c r="C282" s="17"/>
      <c r="D282" s="86" t="str">
        <f>INDEX(Cad_Natureza!$B$3:$C$52,MATCH('2025'!F282,Cad_Natureza!$C$3:$C$52,0),MATCH('2025'!D$2,Cad_Natureza!$B$3:$C$3,0))</f>
        <v>OPF1</v>
      </c>
      <c r="E282" s="84" t="s">
        <v>297</v>
      </c>
      <c r="F282" s="85" t="s">
        <v>744</v>
      </c>
      <c r="G282" s="86" t="s">
        <v>25</v>
      </c>
      <c r="H282" s="87">
        <v>45763</v>
      </c>
      <c r="I282" s="87"/>
      <c r="J282" s="79" t="s">
        <v>182</v>
      </c>
      <c r="K282" s="62">
        <v>-23</v>
      </c>
      <c r="L282" s="68">
        <v>659.97999999999945</v>
      </c>
      <c r="M282" s="17"/>
      <c r="N282" s="21" t="str">
        <f t="shared" si="28"/>
        <v>MCSOPF1CPF - Desp. Alimentação / Refeição</v>
      </c>
      <c r="O282" s="21" t="str">
        <f t="shared" si="29"/>
        <v>OPF1CPF - Desp. Alimentação / Refeição</v>
      </c>
      <c r="P282" s="21" t="str">
        <f t="shared" si="30"/>
        <v>MCSOPF1CPF - Desp. Alimentação / Refeição</v>
      </c>
      <c r="Q282" s="21" t="str">
        <f t="shared" si="31"/>
        <v>MCSOPF1</v>
      </c>
      <c r="R282" s="21" t="str">
        <f t="shared" si="32"/>
        <v>MCSOPF1</v>
      </c>
      <c r="S282" s="17"/>
      <c r="T282" s="24">
        <f t="shared" si="33"/>
        <v>45748</v>
      </c>
      <c r="U282" s="24" t="str">
        <f t="shared" si="34"/>
        <v/>
      </c>
      <c r="V282" s="14" t="s">
        <v>761</v>
      </c>
    </row>
    <row r="283" spans="2:22" x14ac:dyDescent="0.25">
      <c r="B283" s="20" t="s">
        <v>25</v>
      </c>
      <c r="C283" s="17"/>
      <c r="D283" s="86" t="str">
        <f>INDEX(Cad_Natureza!$B$3:$C$52,MATCH('2025'!F283,Cad_Natureza!$C$3:$C$52,0),MATCH('2025'!D$2,Cad_Natureza!$B$3:$C$3,0))</f>
        <v>OPF2</v>
      </c>
      <c r="E283" s="84" t="s">
        <v>298</v>
      </c>
      <c r="F283" s="85" t="s">
        <v>741</v>
      </c>
      <c r="G283" s="86" t="s">
        <v>25</v>
      </c>
      <c r="H283" s="87">
        <v>45763</v>
      </c>
      <c r="I283" s="87"/>
      <c r="J283" s="79" t="s">
        <v>184</v>
      </c>
      <c r="K283" s="62">
        <v>-50</v>
      </c>
      <c r="L283" s="68">
        <v>609.97999999999945</v>
      </c>
      <c r="M283" s="17"/>
      <c r="N283" s="21" t="str">
        <f t="shared" si="28"/>
        <v>MCSOPF2CPF - Desp. Transporte / Combustível</v>
      </c>
      <c r="O283" s="21" t="str">
        <f t="shared" si="29"/>
        <v>OPF2CPF - Desp. Transporte / Combustível</v>
      </c>
      <c r="P283" s="21" t="str">
        <f t="shared" si="30"/>
        <v>MCSOPF2CPF - Desp. Transporte / Combustível</v>
      </c>
      <c r="Q283" s="21" t="str">
        <f t="shared" si="31"/>
        <v>MCSOPF2</v>
      </c>
      <c r="R283" s="21" t="str">
        <f t="shared" si="32"/>
        <v>MCSOPF2</v>
      </c>
      <c r="S283" s="17"/>
      <c r="T283" s="24">
        <f t="shared" si="33"/>
        <v>45748</v>
      </c>
      <c r="U283" s="24" t="str">
        <f t="shared" si="34"/>
        <v/>
      </c>
      <c r="V283" s="14" t="s">
        <v>761</v>
      </c>
    </row>
    <row r="284" spans="2:22" x14ac:dyDescent="0.25">
      <c r="B284" s="20" t="s">
        <v>25</v>
      </c>
      <c r="C284" s="17"/>
      <c r="D284" s="86" t="str">
        <f>INDEX(Cad_Natureza!$B$3:$C$52,MATCH('2025'!F284,Cad_Natureza!$C$3:$C$52,0),MATCH('2025'!D$2,Cad_Natureza!$B$3:$C$3,0))</f>
        <v>OPF1</v>
      </c>
      <c r="E284" s="84" t="s">
        <v>299</v>
      </c>
      <c r="F284" s="85" t="s">
        <v>744</v>
      </c>
      <c r="G284" s="86" t="s">
        <v>25</v>
      </c>
      <c r="H284" s="87">
        <v>45764</v>
      </c>
      <c r="I284" s="87"/>
      <c r="J284" s="79" t="s">
        <v>182</v>
      </c>
      <c r="K284" s="62">
        <v>-23</v>
      </c>
      <c r="L284" s="68">
        <v>586.97999999999945</v>
      </c>
      <c r="M284" s="17"/>
      <c r="N284" s="21" t="str">
        <f t="shared" si="28"/>
        <v>MCSOPF1CPF - Desp. Alimentação / Refeição</v>
      </c>
      <c r="O284" s="21" t="str">
        <f t="shared" si="29"/>
        <v>OPF1CPF - Desp. Alimentação / Refeição</v>
      </c>
      <c r="P284" s="21" t="str">
        <f t="shared" si="30"/>
        <v>MCSOPF1CPF - Desp. Alimentação / Refeição</v>
      </c>
      <c r="Q284" s="21" t="str">
        <f t="shared" si="31"/>
        <v>MCSOPF1</v>
      </c>
      <c r="R284" s="21" t="str">
        <f t="shared" si="32"/>
        <v>MCSOPF1</v>
      </c>
      <c r="S284" s="17"/>
      <c r="T284" s="24">
        <f t="shared" si="33"/>
        <v>45748</v>
      </c>
      <c r="U284" s="24" t="str">
        <f t="shared" si="34"/>
        <v/>
      </c>
      <c r="V284" s="14" t="s">
        <v>761</v>
      </c>
    </row>
    <row r="285" spans="2:22" x14ac:dyDescent="0.25">
      <c r="B285" s="20" t="s">
        <v>25</v>
      </c>
      <c r="C285" s="17"/>
      <c r="D285" s="63" t="str">
        <f>INDEX(Cad_Natureza!$B$3:$C$52,MATCH('2025'!F285,Cad_Natureza!$C$3:$C$52,0),MATCH('2025'!D$2,Cad_Natureza!$B$3:$C$3,0))</f>
        <v>REC7</v>
      </c>
      <c r="E285" s="64" t="s">
        <v>300</v>
      </c>
      <c r="F285" s="65" t="s">
        <v>774</v>
      </c>
      <c r="G285" s="63" t="s">
        <v>25</v>
      </c>
      <c r="H285" s="66">
        <v>45764</v>
      </c>
      <c r="I285" s="66"/>
      <c r="J285" s="81" t="s">
        <v>358</v>
      </c>
      <c r="K285" s="82">
        <v>525</v>
      </c>
      <c r="L285" s="68">
        <v>1111.9799999999996</v>
      </c>
      <c r="M285" s="17"/>
      <c r="N285" s="21" t="str">
        <f t="shared" si="28"/>
        <v>MCSREC7CPF - Rec. Financeiras - Empréstimos</v>
      </c>
      <c r="O285" s="21" t="str">
        <f t="shared" si="29"/>
        <v>REC7CPF - Rec. Financeiras - Empréstimos</v>
      </c>
      <c r="P285" s="21" t="str">
        <f t="shared" si="30"/>
        <v>MCSREC7CPF - Rec. Financeiras - Empréstimos</v>
      </c>
      <c r="Q285" s="21" t="str">
        <f t="shared" si="31"/>
        <v>MCSREC7</v>
      </c>
      <c r="R285" s="21" t="str">
        <f t="shared" si="32"/>
        <v>MCSREC7</v>
      </c>
      <c r="S285" s="17"/>
      <c r="T285" s="24">
        <f t="shared" si="33"/>
        <v>45748</v>
      </c>
      <c r="U285" s="24" t="str">
        <f t="shared" si="34"/>
        <v/>
      </c>
      <c r="V285" s="14" t="s">
        <v>761</v>
      </c>
    </row>
    <row r="286" spans="2:22" x14ac:dyDescent="0.25">
      <c r="B286" s="20" t="s">
        <v>25</v>
      </c>
      <c r="C286" s="17"/>
      <c r="D286" s="86" t="str">
        <f>INDEX(Cad_Natureza!$B$3:$C$52,MATCH('2025'!F286,Cad_Natureza!$C$3:$C$52,0),MATCH('2025'!D$2,Cad_Natureza!$B$3:$C$3,0))</f>
        <v>GAST1</v>
      </c>
      <c r="E286" s="84" t="s">
        <v>301</v>
      </c>
      <c r="F286" s="85" t="s">
        <v>742</v>
      </c>
      <c r="G286" s="86" t="s">
        <v>25</v>
      </c>
      <c r="H286" s="87">
        <v>45764</v>
      </c>
      <c r="I286" s="87"/>
      <c r="J286" s="79" t="s">
        <v>185</v>
      </c>
      <c r="K286" s="62">
        <v>-32</v>
      </c>
      <c r="L286" s="68">
        <v>1079.9799999999996</v>
      </c>
      <c r="M286" s="17"/>
      <c r="N286" s="21" t="str">
        <f t="shared" si="28"/>
        <v>MCSGAST1CPF - Desp. Lazer e Entretenimento - Bares</v>
      </c>
      <c r="O286" s="21" t="str">
        <f t="shared" si="29"/>
        <v>GAST1CPF - Desp. Lazer e Entretenimento - Bares</v>
      </c>
      <c r="P286" s="21" t="str">
        <f t="shared" si="30"/>
        <v>MCSGAST1CPF - Desp. Lazer e Entretenimento - Bares</v>
      </c>
      <c r="Q286" s="21" t="str">
        <f t="shared" si="31"/>
        <v>MCSGAST1</v>
      </c>
      <c r="R286" s="21" t="str">
        <f t="shared" si="32"/>
        <v>MCSGAST1</v>
      </c>
      <c r="S286" s="17"/>
      <c r="T286" s="24">
        <f t="shared" si="33"/>
        <v>45748</v>
      </c>
      <c r="U286" s="24" t="str">
        <f t="shared" si="34"/>
        <v/>
      </c>
      <c r="V286" s="14" t="s">
        <v>761</v>
      </c>
    </row>
    <row r="287" spans="2:22" x14ac:dyDescent="0.25">
      <c r="B287" s="20" t="s">
        <v>25</v>
      </c>
      <c r="C287" s="17"/>
      <c r="D287" s="86" t="str">
        <f>INDEX(Cad_Natureza!$B$3:$C$52,MATCH('2025'!F287,Cad_Natureza!$C$3:$C$52,0),MATCH('2025'!D$2,Cad_Natureza!$B$3:$C$3,0))</f>
        <v>OPF1</v>
      </c>
      <c r="E287" s="84" t="s">
        <v>302</v>
      </c>
      <c r="F287" s="85" t="s">
        <v>744</v>
      </c>
      <c r="G287" s="86" t="s">
        <v>25</v>
      </c>
      <c r="H287" s="87">
        <v>45764</v>
      </c>
      <c r="I287" s="87"/>
      <c r="J287" s="79" t="s">
        <v>182</v>
      </c>
      <c r="K287" s="62">
        <v>-22</v>
      </c>
      <c r="L287" s="68">
        <v>1057.9799999999996</v>
      </c>
      <c r="M287" s="17"/>
      <c r="N287" s="21" t="str">
        <f t="shared" si="28"/>
        <v>MCSOPF1CPF - Desp. Alimentação / Refeição</v>
      </c>
      <c r="O287" s="21" t="str">
        <f t="shared" si="29"/>
        <v>OPF1CPF - Desp. Alimentação / Refeição</v>
      </c>
      <c r="P287" s="21" t="str">
        <f t="shared" si="30"/>
        <v>MCSOPF1CPF - Desp. Alimentação / Refeição</v>
      </c>
      <c r="Q287" s="21" t="str">
        <f t="shared" si="31"/>
        <v>MCSOPF1</v>
      </c>
      <c r="R287" s="21" t="str">
        <f t="shared" si="32"/>
        <v>MCSOPF1</v>
      </c>
      <c r="S287" s="17"/>
      <c r="T287" s="24">
        <f t="shared" si="33"/>
        <v>45748</v>
      </c>
      <c r="U287" s="24" t="str">
        <f t="shared" si="34"/>
        <v/>
      </c>
      <c r="V287" s="14" t="s">
        <v>761</v>
      </c>
    </row>
    <row r="288" spans="2:22" x14ac:dyDescent="0.25">
      <c r="B288" s="20" t="s">
        <v>25</v>
      </c>
      <c r="C288" s="17"/>
      <c r="D288" s="86" t="str">
        <f>INDEX(Cad_Natureza!$B$3:$C$52,MATCH('2025'!F288,Cad_Natureza!$C$3:$C$52,0),MATCH('2025'!D$2,Cad_Natureza!$B$3:$C$3,0))</f>
        <v>GAST1</v>
      </c>
      <c r="E288" s="84" t="s">
        <v>303</v>
      </c>
      <c r="F288" s="85" t="s">
        <v>742</v>
      </c>
      <c r="G288" s="86" t="s">
        <v>25</v>
      </c>
      <c r="H288" s="87">
        <v>45764</v>
      </c>
      <c r="I288" s="87"/>
      <c r="J288" s="79" t="s">
        <v>185</v>
      </c>
      <c r="K288" s="62">
        <v>-7</v>
      </c>
      <c r="L288" s="68">
        <v>1050.9799999999996</v>
      </c>
      <c r="M288" s="17"/>
      <c r="N288" s="21" t="str">
        <f t="shared" si="28"/>
        <v>MCSGAST1CPF - Desp. Lazer e Entretenimento - Bares</v>
      </c>
      <c r="O288" s="21" t="str">
        <f t="shared" si="29"/>
        <v>GAST1CPF - Desp. Lazer e Entretenimento - Bares</v>
      </c>
      <c r="P288" s="21" t="str">
        <f t="shared" si="30"/>
        <v>MCSGAST1CPF - Desp. Lazer e Entretenimento - Bares</v>
      </c>
      <c r="Q288" s="21" t="str">
        <f t="shared" si="31"/>
        <v>MCSGAST1</v>
      </c>
      <c r="R288" s="21" t="str">
        <f t="shared" si="32"/>
        <v>MCSGAST1</v>
      </c>
      <c r="S288" s="17"/>
      <c r="T288" s="24">
        <f t="shared" si="33"/>
        <v>45748</v>
      </c>
      <c r="U288" s="24" t="str">
        <f t="shared" si="34"/>
        <v/>
      </c>
      <c r="V288" s="14" t="s">
        <v>761</v>
      </c>
    </row>
    <row r="289" spans="2:22" x14ac:dyDescent="0.25">
      <c r="B289" s="20" t="s">
        <v>25</v>
      </c>
      <c r="C289" s="17"/>
      <c r="D289" s="86" t="str">
        <f>INDEX(Cad_Natureza!$B$3:$C$52,MATCH('2025'!F289,Cad_Natureza!$C$3:$C$52,0),MATCH('2025'!D$2,Cad_Natureza!$B$3:$C$3,0))</f>
        <v>OPF2</v>
      </c>
      <c r="E289" s="84" t="s">
        <v>304</v>
      </c>
      <c r="F289" s="85" t="s">
        <v>741</v>
      </c>
      <c r="G289" s="86" t="s">
        <v>25</v>
      </c>
      <c r="H289" s="87">
        <v>45769</v>
      </c>
      <c r="I289" s="87"/>
      <c r="J289" s="79" t="s">
        <v>184</v>
      </c>
      <c r="K289" s="62">
        <v>-50</v>
      </c>
      <c r="L289" s="68">
        <v>1000.9799999999996</v>
      </c>
      <c r="M289" s="17"/>
      <c r="N289" s="21" t="str">
        <f t="shared" si="28"/>
        <v>MCSOPF2CPF - Desp. Transporte / Combustível</v>
      </c>
      <c r="O289" s="21" t="str">
        <f t="shared" si="29"/>
        <v>OPF2CPF - Desp. Transporte / Combustível</v>
      </c>
      <c r="P289" s="21" t="str">
        <f t="shared" si="30"/>
        <v>MCSOPF2CPF - Desp. Transporte / Combustível</v>
      </c>
      <c r="Q289" s="21" t="str">
        <f t="shared" si="31"/>
        <v>MCSOPF2</v>
      </c>
      <c r="R289" s="21" t="str">
        <f t="shared" si="32"/>
        <v>MCSOPF2</v>
      </c>
      <c r="S289" s="17"/>
      <c r="T289" s="24">
        <f t="shared" si="33"/>
        <v>45748</v>
      </c>
      <c r="U289" s="24" t="str">
        <f t="shared" si="34"/>
        <v/>
      </c>
      <c r="V289" s="14" t="s">
        <v>761</v>
      </c>
    </row>
    <row r="290" spans="2:22" x14ac:dyDescent="0.25">
      <c r="B290" s="20" t="s">
        <v>25</v>
      </c>
      <c r="C290" s="17"/>
      <c r="D290" s="86" t="str">
        <f>INDEX(Cad_Natureza!$B$3:$C$52,MATCH('2025'!F290,Cad_Natureza!$C$3:$C$52,0),MATCH('2025'!D$2,Cad_Natureza!$B$3:$C$3,0))</f>
        <v>GAST1</v>
      </c>
      <c r="E290" s="84" t="s">
        <v>305</v>
      </c>
      <c r="F290" s="85" t="s">
        <v>742</v>
      </c>
      <c r="G290" s="86" t="s">
        <v>25</v>
      </c>
      <c r="H290" s="87">
        <v>45769</v>
      </c>
      <c r="I290" s="87"/>
      <c r="J290" s="79" t="s">
        <v>185</v>
      </c>
      <c r="K290" s="62">
        <v>-6</v>
      </c>
      <c r="L290" s="68">
        <v>994.97999999999956</v>
      </c>
      <c r="M290" s="17"/>
      <c r="N290" s="21" t="str">
        <f t="shared" si="28"/>
        <v>MCSGAST1CPF - Desp. Lazer e Entretenimento - Bares</v>
      </c>
      <c r="O290" s="21" t="str">
        <f t="shared" si="29"/>
        <v>GAST1CPF - Desp. Lazer e Entretenimento - Bares</v>
      </c>
      <c r="P290" s="21" t="str">
        <f t="shared" si="30"/>
        <v>MCSGAST1CPF - Desp. Lazer e Entretenimento - Bares</v>
      </c>
      <c r="Q290" s="21" t="str">
        <f t="shared" si="31"/>
        <v>MCSGAST1</v>
      </c>
      <c r="R290" s="21" t="str">
        <f t="shared" si="32"/>
        <v>MCSGAST1</v>
      </c>
      <c r="S290" s="17"/>
      <c r="T290" s="24">
        <f t="shared" si="33"/>
        <v>45748</v>
      </c>
      <c r="U290" s="24" t="str">
        <f t="shared" si="34"/>
        <v/>
      </c>
      <c r="V290" s="14" t="s">
        <v>761</v>
      </c>
    </row>
    <row r="291" spans="2:22" x14ac:dyDescent="0.25">
      <c r="B291" s="20" t="s">
        <v>25</v>
      </c>
      <c r="C291" s="17"/>
      <c r="D291" s="86" t="str">
        <f>INDEX(Cad_Natureza!$B$3:$C$52,MATCH('2025'!F291,Cad_Natureza!$C$3:$C$52,0),MATCH('2025'!D$2,Cad_Natureza!$B$3:$C$3,0))</f>
        <v>GAST1</v>
      </c>
      <c r="E291" s="84" t="s">
        <v>306</v>
      </c>
      <c r="F291" s="85" t="s">
        <v>742</v>
      </c>
      <c r="G291" s="86" t="s">
        <v>25</v>
      </c>
      <c r="H291" s="87">
        <v>45769</v>
      </c>
      <c r="I291" s="87"/>
      <c r="J291" s="79" t="s">
        <v>185</v>
      </c>
      <c r="K291" s="62">
        <v>-30</v>
      </c>
      <c r="L291" s="68">
        <v>964.97999999999956</v>
      </c>
      <c r="M291" s="17"/>
      <c r="N291" s="21" t="str">
        <f t="shared" si="28"/>
        <v>MCSGAST1CPF - Desp. Lazer e Entretenimento - Bares</v>
      </c>
      <c r="O291" s="21" t="str">
        <f t="shared" si="29"/>
        <v>GAST1CPF - Desp. Lazer e Entretenimento - Bares</v>
      </c>
      <c r="P291" s="21" t="str">
        <f t="shared" si="30"/>
        <v>MCSGAST1CPF - Desp. Lazer e Entretenimento - Bares</v>
      </c>
      <c r="Q291" s="21" t="str">
        <f t="shared" si="31"/>
        <v>MCSGAST1</v>
      </c>
      <c r="R291" s="21" t="str">
        <f t="shared" si="32"/>
        <v>MCSGAST1</v>
      </c>
      <c r="S291" s="17"/>
      <c r="T291" s="24">
        <f t="shared" si="33"/>
        <v>45748</v>
      </c>
      <c r="U291" s="24" t="str">
        <f t="shared" si="34"/>
        <v/>
      </c>
      <c r="V291" s="14" t="s">
        <v>761</v>
      </c>
    </row>
    <row r="292" spans="2:22" x14ac:dyDescent="0.25">
      <c r="B292" s="20" t="s">
        <v>25</v>
      </c>
      <c r="C292" s="17"/>
      <c r="D292" s="86" t="str">
        <f>INDEX(Cad_Natureza!$B$3:$C$52,MATCH('2025'!F292,Cad_Natureza!$C$3:$C$52,0),MATCH('2025'!D$2,Cad_Natureza!$B$3:$C$3,0))</f>
        <v>GAST1</v>
      </c>
      <c r="E292" s="84" t="s">
        <v>305</v>
      </c>
      <c r="F292" s="85" t="s">
        <v>742</v>
      </c>
      <c r="G292" s="86" t="s">
        <v>25</v>
      </c>
      <c r="H292" s="87">
        <v>45769</v>
      </c>
      <c r="I292" s="87"/>
      <c r="J292" s="79" t="s">
        <v>185</v>
      </c>
      <c r="K292" s="62">
        <v>-5</v>
      </c>
      <c r="L292" s="68">
        <v>959.97999999999956</v>
      </c>
      <c r="M292" s="17"/>
      <c r="N292" s="21" t="str">
        <f t="shared" si="28"/>
        <v>MCSGAST1CPF - Desp. Lazer e Entretenimento - Bares</v>
      </c>
      <c r="O292" s="21" t="str">
        <f t="shared" si="29"/>
        <v>GAST1CPF - Desp. Lazer e Entretenimento - Bares</v>
      </c>
      <c r="P292" s="21" t="str">
        <f t="shared" si="30"/>
        <v>MCSGAST1CPF - Desp. Lazer e Entretenimento - Bares</v>
      </c>
      <c r="Q292" s="21" t="str">
        <f t="shared" si="31"/>
        <v>MCSGAST1</v>
      </c>
      <c r="R292" s="21" t="str">
        <f t="shared" si="32"/>
        <v>MCSGAST1</v>
      </c>
      <c r="S292" s="17"/>
      <c r="T292" s="24">
        <f t="shared" si="33"/>
        <v>45748</v>
      </c>
      <c r="U292" s="24" t="str">
        <f t="shared" si="34"/>
        <v/>
      </c>
      <c r="V292" s="14" t="s">
        <v>761</v>
      </c>
    </row>
    <row r="293" spans="2:22" x14ac:dyDescent="0.25">
      <c r="B293" s="20" t="s">
        <v>25</v>
      </c>
      <c r="C293" s="17"/>
      <c r="D293" s="86" t="str">
        <f>INDEX(Cad_Natureza!$B$3:$C$52,MATCH('2025'!F293,Cad_Natureza!$C$3:$C$52,0),MATCH('2025'!D$2,Cad_Natureza!$B$3:$C$3,0))</f>
        <v>DESP4</v>
      </c>
      <c r="E293" s="84" t="s">
        <v>307</v>
      </c>
      <c r="F293" s="85" t="s">
        <v>753</v>
      </c>
      <c r="G293" s="86" t="s">
        <v>25</v>
      </c>
      <c r="H293" s="87">
        <v>45769</v>
      </c>
      <c r="I293" s="87"/>
      <c r="J293" s="79" t="s">
        <v>359</v>
      </c>
      <c r="K293" s="62">
        <v>-19.98</v>
      </c>
      <c r="L293" s="68">
        <v>939.99999999999955</v>
      </c>
      <c r="M293" s="17"/>
      <c r="N293" s="21" t="str">
        <f t="shared" si="28"/>
        <v>MCSDESP4CPF - Desp. Moradia</v>
      </c>
      <c r="O293" s="21" t="str">
        <f t="shared" si="29"/>
        <v>DESP4CPF - Desp. Moradia</v>
      </c>
      <c r="P293" s="21" t="str">
        <f t="shared" si="30"/>
        <v>MCSDESP4CPF - Desp. Moradia</v>
      </c>
      <c r="Q293" s="21" t="str">
        <f t="shared" si="31"/>
        <v>MCSDESP4</v>
      </c>
      <c r="R293" s="21" t="str">
        <f t="shared" si="32"/>
        <v>MCSDESP4</v>
      </c>
      <c r="S293" s="17"/>
      <c r="T293" s="24">
        <f t="shared" si="33"/>
        <v>45748</v>
      </c>
      <c r="U293" s="24" t="str">
        <f t="shared" si="34"/>
        <v/>
      </c>
      <c r="V293" s="14" t="s">
        <v>761</v>
      </c>
    </row>
    <row r="294" spans="2:22" x14ac:dyDescent="0.25">
      <c r="B294" s="20" t="s">
        <v>25</v>
      </c>
      <c r="C294" s="17"/>
      <c r="D294" s="86" t="str">
        <f>INDEX(Cad_Natureza!$B$3:$C$52,MATCH('2025'!F294,Cad_Natureza!$C$3:$C$52,0),MATCH('2025'!D$2,Cad_Natureza!$B$3:$C$3,0))</f>
        <v>OPF1</v>
      </c>
      <c r="E294" s="84" t="s">
        <v>308</v>
      </c>
      <c r="F294" s="85" t="s">
        <v>744</v>
      </c>
      <c r="G294" s="86" t="s">
        <v>25</v>
      </c>
      <c r="H294" s="87">
        <v>45769</v>
      </c>
      <c r="I294" s="87"/>
      <c r="J294" s="79" t="s">
        <v>185</v>
      </c>
      <c r="K294" s="62">
        <v>-63.19</v>
      </c>
      <c r="L294" s="68">
        <v>876.80999999999949</v>
      </c>
      <c r="M294" s="17"/>
      <c r="N294" s="21" t="str">
        <f t="shared" si="28"/>
        <v>MCSOPF1CPF - Desp. Alimentação / Refeição</v>
      </c>
      <c r="O294" s="21" t="str">
        <f t="shared" si="29"/>
        <v>OPF1CPF - Desp. Alimentação / Refeição</v>
      </c>
      <c r="P294" s="21" t="str">
        <f t="shared" si="30"/>
        <v>MCSOPF1CPF - Desp. Alimentação / Refeição</v>
      </c>
      <c r="Q294" s="21" t="str">
        <f t="shared" si="31"/>
        <v>MCSOPF1</v>
      </c>
      <c r="R294" s="21" t="str">
        <f t="shared" si="32"/>
        <v>MCSOPF1</v>
      </c>
      <c r="S294" s="17"/>
      <c r="T294" s="24">
        <f t="shared" si="33"/>
        <v>45748</v>
      </c>
      <c r="U294" s="24" t="str">
        <f t="shared" si="34"/>
        <v/>
      </c>
      <c r="V294" s="14" t="s">
        <v>761</v>
      </c>
    </row>
    <row r="295" spans="2:22" x14ac:dyDescent="0.25">
      <c r="B295" s="20" t="s">
        <v>25</v>
      </c>
      <c r="C295" s="17"/>
      <c r="D295" s="86" t="str">
        <f>INDEX(Cad_Natureza!$B$3:$C$52,MATCH('2025'!F295,Cad_Natureza!$C$3:$C$52,0),MATCH('2025'!D$2,Cad_Natureza!$B$3:$C$3,0))</f>
        <v>DESP2</v>
      </c>
      <c r="E295" s="84" t="s">
        <v>309</v>
      </c>
      <c r="F295" s="85" t="s">
        <v>739</v>
      </c>
      <c r="G295" s="86" t="s">
        <v>25</v>
      </c>
      <c r="H295" s="87">
        <v>45769</v>
      </c>
      <c r="I295" s="87"/>
      <c r="J295" s="79" t="s">
        <v>455</v>
      </c>
      <c r="K295" s="62">
        <v>-117.5</v>
      </c>
      <c r="L295" s="68">
        <v>759.30999999999949</v>
      </c>
      <c r="M295" s="17"/>
      <c r="N295" s="21" t="str">
        <f t="shared" si="28"/>
        <v>MCSDESP2CPF - Desp. Telefone / Internet</v>
      </c>
      <c r="O295" s="21" t="str">
        <f t="shared" si="29"/>
        <v>DESP2CPF - Desp. Telefone / Internet</v>
      </c>
      <c r="P295" s="21" t="str">
        <f t="shared" si="30"/>
        <v>MCSDESP2CPF - Desp. Telefone / Internet</v>
      </c>
      <c r="Q295" s="21" t="str">
        <f t="shared" si="31"/>
        <v>MCSDESP2</v>
      </c>
      <c r="R295" s="21" t="str">
        <f t="shared" si="32"/>
        <v>MCSDESP2</v>
      </c>
      <c r="S295" s="17"/>
      <c r="T295" s="24">
        <f t="shared" si="33"/>
        <v>45748</v>
      </c>
      <c r="U295" s="24" t="str">
        <f t="shared" si="34"/>
        <v/>
      </c>
      <c r="V295" s="14" t="s">
        <v>761</v>
      </c>
    </row>
    <row r="296" spans="2:22" x14ac:dyDescent="0.25">
      <c r="B296" s="20" t="s">
        <v>25</v>
      </c>
      <c r="C296" s="17"/>
      <c r="D296" s="86" t="str">
        <f>INDEX(Cad_Natureza!$B$3:$C$52,MATCH('2025'!F296,Cad_Natureza!$C$3:$C$52,0),MATCH('2025'!D$2,Cad_Natureza!$B$3:$C$3,0))</f>
        <v>GAST1</v>
      </c>
      <c r="E296" s="84" t="s">
        <v>310</v>
      </c>
      <c r="F296" s="85" t="s">
        <v>742</v>
      </c>
      <c r="G296" s="86" t="s">
        <v>25</v>
      </c>
      <c r="H296" s="87">
        <v>45769</v>
      </c>
      <c r="I296" s="87"/>
      <c r="J296" s="79" t="s">
        <v>185</v>
      </c>
      <c r="K296" s="62">
        <v>-15</v>
      </c>
      <c r="L296" s="68">
        <v>744.30999999999949</v>
      </c>
      <c r="M296" s="17"/>
      <c r="N296" s="21" t="str">
        <f t="shared" si="28"/>
        <v>MCSGAST1CPF - Desp. Lazer e Entretenimento - Bares</v>
      </c>
      <c r="O296" s="21" t="str">
        <f t="shared" si="29"/>
        <v>GAST1CPF - Desp. Lazer e Entretenimento - Bares</v>
      </c>
      <c r="P296" s="21" t="str">
        <f t="shared" si="30"/>
        <v>MCSGAST1CPF - Desp. Lazer e Entretenimento - Bares</v>
      </c>
      <c r="Q296" s="21" t="str">
        <f t="shared" si="31"/>
        <v>MCSGAST1</v>
      </c>
      <c r="R296" s="21" t="str">
        <f t="shared" si="32"/>
        <v>MCSGAST1</v>
      </c>
      <c r="S296" s="17"/>
      <c r="T296" s="24">
        <f t="shared" si="33"/>
        <v>45748</v>
      </c>
      <c r="U296" s="24" t="str">
        <f t="shared" si="34"/>
        <v/>
      </c>
      <c r="V296" s="14" t="s">
        <v>761</v>
      </c>
    </row>
    <row r="297" spans="2:22" x14ac:dyDescent="0.25">
      <c r="B297" s="20" t="s">
        <v>25</v>
      </c>
      <c r="C297" s="17"/>
      <c r="D297" s="86" t="str">
        <f>INDEX(Cad_Natureza!$B$3:$C$52,MATCH('2025'!F297,Cad_Natureza!$C$3:$C$52,0),MATCH('2025'!D$2,Cad_Natureza!$B$3:$C$3,0))</f>
        <v>GAST1</v>
      </c>
      <c r="E297" s="84" t="s">
        <v>311</v>
      </c>
      <c r="F297" s="85" t="s">
        <v>742</v>
      </c>
      <c r="G297" s="86" t="s">
        <v>25</v>
      </c>
      <c r="H297" s="87">
        <v>45769</v>
      </c>
      <c r="I297" s="87"/>
      <c r="J297" s="79" t="s">
        <v>185</v>
      </c>
      <c r="K297" s="62">
        <v>-20</v>
      </c>
      <c r="L297" s="68">
        <v>724.30999999999949</v>
      </c>
      <c r="M297" s="17"/>
      <c r="N297" s="21" t="str">
        <f t="shared" si="28"/>
        <v>MCSGAST1CPF - Desp. Lazer e Entretenimento - Bares</v>
      </c>
      <c r="O297" s="21" t="str">
        <f t="shared" si="29"/>
        <v>GAST1CPF - Desp. Lazer e Entretenimento - Bares</v>
      </c>
      <c r="P297" s="21" t="str">
        <f t="shared" si="30"/>
        <v>MCSGAST1CPF - Desp. Lazer e Entretenimento - Bares</v>
      </c>
      <c r="Q297" s="21" t="str">
        <f t="shared" si="31"/>
        <v>MCSGAST1</v>
      </c>
      <c r="R297" s="21" t="str">
        <f t="shared" si="32"/>
        <v>MCSGAST1</v>
      </c>
      <c r="S297" s="17"/>
      <c r="T297" s="24">
        <f t="shared" si="33"/>
        <v>45748</v>
      </c>
      <c r="U297" s="24" t="str">
        <f t="shared" si="34"/>
        <v/>
      </c>
      <c r="V297" s="14" t="s">
        <v>761</v>
      </c>
    </row>
    <row r="298" spans="2:22" x14ac:dyDescent="0.25">
      <c r="B298" s="20" t="s">
        <v>25</v>
      </c>
      <c r="C298" s="17"/>
      <c r="D298" s="86" t="str">
        <f>INDEX(Cad_Natureza!$B$3:$C$52,MATCH('2025'!F298,Cad_Natureza!$C$3:$C$52,0),MATCH('2025'!D$2,Cad_Natureza!$B$3:$C$3,0))</f>
        <v>DESP1</v>
      </c>
      <c r="E298" s="84" t="s">
        <v>312</v>
      </c>
      <c r="F298" s="85" t="s">
        <v>733</v>
      </c>
      <c r="G298" s="86" t="s">
        <v>25</v>
      </c>
      <c r="H298" s="87">
        <v>45769</v>
      </c>
      <c r="I298" s="87"/>
      <c r="J298" s="79" t="s">
        <v>194</v>
      </c>
      <c r="K298" s="62">
        <v>-516.73</v>
      </c>
      <c r="L298" s="68">
        <v>207.57999999999947</v>
      </c>
      <c r="M298" s="17"/>
      <c r="N298" s="21" t="str">
        <f t="shared" si="28"/>
        <v>MCSDESP1CPF - Desp. Cartão de crédito</v>
      </c>
      <c r="O298" s="21" t="str">
        <f t="shared" si="29"/>
        <v>DESP1CPF - Desp. Cartão de crédito</v>
      </c>
      <c r="P298" s="21" t="str">
        <f t="shared" si="30"/>
        <v>MCSDESP1CPF - Desp. Cartão de crédito</v>
      </c>
      <c r="Q298" s="21" t="str">
        <f t="shared" si="31"/>
        <v>MCSDESP1</v>
      </c>
      <c r="R298" s="21" t="str">
        <f t="shared" si="32"/>
        <v>MCSDESP1</v>
      </c>
      <c r="S298" s="17"/>
      <c r="T298" s="24">
        <f t="shared" si="33"/>
        <v>45748</v>
      </c>
      <c r="U298" s="24" t="str">
        <f t="shared" si="34"/>
        <v/>
      </c>
      <c r="V298" s="14" t="s">
        <v>761</v>
      </c>
    </row>
    <row r="299" spans="2:22" x14ac:dyDescent="0.25">
      <c r="B299" s="20" t="s">
        <v>25</v>
      </c>
      <c r="C299" s="17"/>
      <c r="D299" s="86" t="str">
        <f>INDEX(Cad_Natureza!$B$3:$C$52,MATCH('2025'!F299,Cad_Natureza!$C$3:$C$52,0),MATCH('2025'!D$2,Cad_Natureza!$B$3:$C$3,0))</f>
        <v>OPF1</v>
      </c>
      <c r="E299" s="84" t="s">
        <v>313</v>
      </c>
      <c r="F299" s="85" t="s">
        <v>744</v>
      </c>
      <c r="G299" s="86" t="s">
        <v>25</v>
      </c>
      <c r="H299" s="87">
        <v>45769</v>
      </c>
      <c r="I299" s="87"/>
      <c r="J299" s="79" t="s">
        <v>182</v>
      </c>
      <c r="K299" s="62">
        <v>-23</v>
      </c>
      <c r="L299" s="68">
        <v>184.57999999999947</v>
      </c>
      <c r="M299" s="17"/>
      <c r="N299" s="21" t="str">
        <f t="shared" si="28"/>
        <v>MCSOPF1CPF - Desp. Alimentação / Refeição</v>
      </c>
      <c r="O299" s="21" t="str">
        <f t="shared" si="29"/>
        <v>OPF1CPF - Desp. Alimentação / Refeição</v>
      </c>
      <c r="P299" s="21" t="str">
        <f t="shared" si="30"/>
        <v>MCSOPF1CPF - Desp. Alimentação / Refeição</v>
      </c>
      <c r="Q299" s="21" t="str">
        <f t="shared" si="31"/>
        <v>MCSOPF1</v>
      </c>
      <c r="R299" s="21" t="str">
        <f t="shared" si="32"/>
        <v>MCSOPF1</v>
      </c>
      <c r="S299" s="17"/>
      <c r="T299" s="24">
        <f t="shared" si="33"/>
        <v>45748</v>
      </c>
      <c r="U299" s="24" t="str">
        <f t="shared" si="34"/>
        <v/>
      </c>
      <c r="V299" s="14" t="s">
        <v>761</v>
      </c>
    </row>
    <row r="300" spans="2:22" x14ac:dyDescent="0.25">
      <c r="B300" s="20" t="s">
        <v>25</v>
      </c>
      <c r="C300" s="17"/>
      <c r="D300" s="86" t="str">
        <f>INDEX(Cad_Natureza!$B$3:$C$52,MATCH('2025'!F300,Cad_Natureza!$C$3:$C$52,0),MATCH('2025'!D$2,Cad_Natureza!$B$3:$C$3,0))</f>
        <v>PENS9</v>
      </c>
      <c r="E300" s="84" t="s">
        <v>314</v>
      </c>
      <c r="F300" s="85" t="s">
        <v>735</v>
      </c>
      <c r="G300" s="86" t="s">
        <v>25</v>
      </c>
      <c r="H300" s="87">
        <v>45769</v>
      </c>
      <c r="I300" s="87"/>
      <c r="J300" s="78" t="s">
        <v>199</v>
      </c>
      <c r="K300" s="62">
        <v>-55</v>
      </c>
      <c r="L300" s="68">
        <v>129.57999999999947</v>
      </c>
      <c r="M300" s="17"/>
      <c r="N300" s="21" t="str">
        <f t="shared" si="28"/>
        <v>MCSPENS9CPF - Pensão - Outros Gastos</v>
      </c>
      <c r="O300" s="21" t="str">
        <f t="shared" si="29"/>
        <v>PENS9CPF - Pensão - Outros Gastos</v>
      </c>
      <c r="P300" s="21" t="str">
        <f t="shared" si="30"/>
        <v>MCSPENS9CPF - Pensão - Outros Gastos</v>
      </c>
      <c r="Q300" s="21" t="str">
        <f t="shared" si="31"/>
        <v>MCSPENS9</v>
      </c>
      <c r="R300" s="21" t="str">
        <f t="shared" si="32"/>
        <v>MCSPENS9</v>
      </c>
      <c r="S300" s="17"/>
      <c r="T300" s="24">
        <f t="shared" si="33"/>
        <v>45748</v>
      </c>
      <c r="U300" s="24" t="str">
        <f t="shared" si="34"/>
        <v/>
      </c>
      <c r="V300" s="14" t="s">
        <v>731</v>
      </c>
    </row>
    <row r="301" spans="2:22" x14ac:dyDescent="0.25">
      <c r="B301" s="20" t="s">
        <v>25</v>
      </c>
      <c r="C301" s="17"/>
      <c r="D301" s="86" t="str">
        <f>INDEX(Cad_Natureza!$B$3:$C$52,MATCH('2025'!F301,Cad_Natureza!$C$3:$C$52,0),MATCH('2025'!D$2,Cad_Natureza!$B$3:$C$3,0))</f>
        <v>GAST1</v>
      </c>
      <c r="E301" s="84" t="s">
        <v>315</v>
      </c>
      <c r="F301" s="85" t="s">
        <v>742</v>
      </c>
      <c r="G301" s="86" t="s">
        <v>25</v>
      </c>
      <c r="H301" s="87">
        <v>45769</v>
      </c>
      <c r="I301" s="87"/>
      <c r="J301" s="79" t="s">
        <v>185</v>
      </c>
      <c r="K301" s="62">
        <v>-67.5</v>
      </c>
      <c r="L301" s="68">
        <v>62.079999999999472</v>
      </c>
      <c r="M301" s="17"/>
      <c r="N301" s="21" t="str">
        <f t="shared" si="28"/>
        <v>MCSGAST1CPF - Desp. Lazer e Entretenimento - Bares</v>
      </c>
      <c r="O301" s="21" t="str">
        <f t="shared" si="29"/>
        <v>GAST1CPF - Desp. Lazer e Entretenimento - Bares</v>
      </c>
      <c r="P301" s="21" t="str">
        <f t="shared" si="30"/>
        <v>MCSGAST1CPF - Desp. Lazer e Entretenimento - Bares</v>
      </c>
      <c r="Q301" s="21" t="str">
        <f t="shared" si="31"/>
        <v>MCSGAST1</v>
      </c>
      <c r="R301" s="21" t="str">
        <f t="shared" si="32"/>
        <v>MCSGAST1</v>
      </c>
      <c r="S301" s="17"/>
      <c r="T301" s="24">
        <f t="shared" si="33"/>
        <v>45748</v>
      </c>
      <c r="U301" s="24" t="str">
        <f t="shared" si="34"/>
        <v/>
      </c>
      <c r="V301" s="14" t="s">
        <v>761</v>
      </c>
    </row>
    <row r="302" spans="2:22" x14ac:dyDescent="0.25">
      <c r="B302" s="20" t="s">
        <v>25</v>
      </c>
      <c r="C302" s="17"/>
      <c r="D302" s="86" t="str">
        <f>INDEX(Cad_Natureza!$B$3:$C$52,MATCH('2025'!F302,Cad_Natureza!$C$3:$C$52,0),MATCH('2025'!D$2,Cad_Natureza!$B$3:$C$3,0))</f>
        <v>GAST1</v>
      </c>
      <c r="E302" s="84" t="s">
        <v>316</v>
      </c>
      <c r="F302" s="85" t="s">
        <v>742</v>
      </c>
      <c r="G302" s="86" t="s">
        <v>25</v>
      </c>
      <c r="H302" s="87">
        <v>45769</v>
      </c>
      <c r="I302" s="87"/>
      <c r="J302" s="79" t="s">
        <v>185</v>
      </c>
      <c r="K302" s="62">
        <v>-12</v>
      </c>
      <c r="L302" s="68">
        <v>50.079999999999472</v>
      </c>
      <c r="M302" s="17"/>
      <c r="N302" s="21" t="str">
        <f t="shared" si="28"/>
        <v>MCSGAST1CPF - Desp. Lazer e Entretenimento - Bares</v>
      </c>
      <c r="O302" s="21" t="str">
        <f t="shared" si="29"/>
        <v>GAST1CPF - Desp. Lazer e Entretenimento - Bares</v>
      </c>
      <c r="P302" s="21" t="str">
        <f t="shared" si="30"/>
        <v>MCSGAST1CPF - Desp. Lazer e Entretenimento - Bares</v>
      </c>
      <c r="Q302" s="21" t="str">
        <f t="shared" si="31"/>
        <v>MCSGAST1</v>
      </c>
      <c r="R302" s="21" t="str">
        <f t="shared" si="32"/>
        <v>MCSGAST1</v>
      </c>
      <c r="S302" s="17"/>
      <c r="T302" s="24">
        <f t="shared" si="33"/>
        <v>45748</v>
      </c>
      <c r="U302" s="24" t="str">
        <f t="shared" si="34"/>
        <v/>
      </c>
      <c r="V302" s="14" t="s">
        <v>761</v>
      </c>
    </row>
    <row r="303" spans="2:22" x14ac:dyDescent="0.25">
      <c r="B303" s="20" t="s">
        <v>25</v>
      </c>
      <c r="C303" s="17"/>
      <c r="D303" s="86" t="str">
        <f>INDEX(Cad_Natureza!$B$3:$C$52,MATCH('2025'!F303,Cad_Natureza!$C$3:$C$52,0),MATCH('2025'!D$2,Cad_Natureza!$B$3:$C$3,0))</f>
        <v>GAST1</v>
      </c>
      <c r="E303" s="84" t="s">
        <v>316</v>
      </c>
      <c r="F303" s="85" t="s">
        <v>742</v>
      </c>
      <c r="G303" s="86" t="s">
        <v>25</v>
      </c>
      <c r="H303" s="87">
        <v>45769</v>
      </c>
      <c r="I303" s="87"/>
      <c r="J303" s="79" t="s">
        <v>185</v>
      </c>
      <c r="K303" s="62">
        <v>-10</v>
      </c>
      <c r="L303" s="68">
        <v>40.079999999999472</v>
      </c>
      <c r="M303" s="17"/>
      <c r="N303" s="21" t="str">
        <f t="shared" si="28"/>
        <v>MCSGAST1CPF - Desp. Lazer e Entretenimento - Bares</v>
      </c>
      <c r="O303" s="21" t="str">
        <f t="shared" si="29"/>
        <v>GAST1CPF - Desp. Lazer e Entretenimento - Bares</v>
      </c>
      <c r="P303" s="21" t="str">
        <f t="shared" si="30"/>
        <v>MCSGAST1CPF - Desp. Lazer e Entretenimento - Bares</v>
      </c>
      <c r="Q303" s="21" t="str">
        <f t="shared" si="31"/>
        <v>MCSGAST1</v>
      </c>
      <c r="R303" s="21" t="str">
        <f t="shared" si="32"/>
        <v>MCSGAST1</v>
      </c>
      <c r="S303" s="17"/>
      <c r="T303" s="24">
        <f t="shared" si="33"/>
        <v>45748</v>
      </c>
      <c r="U303" s="24" t="str">
        <f t="shared" si="34"/>
        <v/>
      </c>
      <c r="V303" s="14" t="s">
        <v>761</v>
      </c>
    </row>
    <row r="304" spans="2:22" x14ac:dyDescent="0.25">
      <c r="B304" s="20" t="s">
        <v>25</v>
      </c>
      <c r="C304" s="17"/>
      <c r="D304" s="63" t="str">
        <f>INDEX(Cad_Natureza!$B$3:$C$52,MATCH('2025'!F304,Cad_Natureza!$C$3:$C$52,0),MATCH('2025'!D$2,Cad_Natureza!$B$3:$C$3,0))</f>
        <v>REC5</v>
      </c>
      <c r="E304" s="64" t="s">
        <v>317</v>
      </c>
      <c r="F304" s="65" t="s">
        <v>740</v>
      </c>
      <c r="G304" s="63" t="s">
        <v>25</v>
      </c>
      <c r="H304" s="66">
        <v>45771</v>
      </c>
      <c r="I304" s="66"/>
      <c r="J304" s="67" t="s">
        <v>356</v>
      </c>
      <c r="K304" s="68">
        <v>20</v>
      </c>
      <c r="L304" s="68">
        <v>60.079999999999472</v>
      </c>
      <c r="M304" s="17"/>
      <c r="N304" s="21" t="str">
        <f t="shared" si="28"/>
        <v>MCSREC5CPF - Outras receitas</v>
      </c>
      <c r="O304" s="21" t="str">
        <f t="shared" si="29"/>
        <v>REC5CPF - Outras receitas</v>
      </c>
      <c r="P304" s="21" t="str">
        <f t="shared" si="30"/>
        <v>MCSREC5CPF - Outras receitas</v>
      </c>
      <c r="Q304" s="21" t="str">
        <f t="shared" si="31"/>
        <v>MCSREC5</v>
      </c>
      <c r="R304" s="21" t="str">
        <f t="shared" si="32"/>
        <v>MCSREC5</v>
      </c>
      <c r="S304" s="17"/>
      <c r="T304" s="24">
        <f t="shared" si="33"/>
        <v>45748</v>
      </c>
      <c r="U304" s="24" t="str">
        <f t="shared" si="34"/>
        <v/>
      </c>
      <c r="V304" s="14" t="s">
        <v>761</v>
      </c>
    </row>
    <row r="305" spans="2:22" x14ac:dyDescent="0.25">
      <c r="B305" s="20" t="s">
        <v>25</v>
      </c>
      <c r="C305" s="17"/>
      <c r="D305" s="86" t="str">
        <f>INDEX(Cad_Natureza!$B$3:$C$52,MATCH('2025'!F305,Cad_Natureza!$C$3:$C$52,0),MATCH('2025'!D$2,Cad_Natureza!$B$3:$C$3,0))</f>
        <v>OPF1</v>
      </c>
      <c r="E305" s="84" t="s">
        <v>318</v>
      </c>
      <c r="F305" s="85" t="s">
        <v>744</v>
      </c>
      <c r="G305" s="86" t="s">
        <v>25</v>
      </c>
      <c r="H305" s="87">
        <v>45772</v>
      </c>
      <c r="I305" s="87"/>
      <c r="J305" s="79" t="s">
        <v>182</v>
      </c>
      <c r="K305" s="62">
        <v>-23</v>
      </c>
      <c r="L305" s="68">
        <v>37.079999999999472</v>
      </c>
      <c r="M305" s="17"/>
      <c r="N305" s="21" t="str">
        <f t="shared" si="28"/>
        <v>MCSOPF1CPF - Desp. Alimentação / Refeição</v>
      </c>
      <c r="O305" s="21" t="str">
        <f t="shared" si="29"/>
        <v>OPF1CPF - Desp. Alimentação / Refeição</v>
      </c>
      <c r="P305" s="21" t="str">
        <f t="shared" si="30"/>
        <v>MCSOPF1CPF - Desp. Alimentação / Refeição</v>
      </c>
      <c r="Q305" s="21" t="str">
        <f t="shared" si="31"/>
        <v>MCSOPF1</v>
      </c>
      <c r="R305" s="21" t="str">
        <f t="shared" si="32"/>
        <v>MCSOPF1</v>
      </c>
      <c r="S305" s="17"/>
      <c r="T305" s="24">
        <f t="shared" si="33"/>
        <v>45748</v>
      </c>
      <c r="U305" s="24" t="str">
        <f t="shared" si="34"/>
        <v/>
      </c>
      <c r="V305" s="14" t="s">
        <v>761</v>
      </c>
    </row>
    <row r="306" spans="2:22" x14ac:dyDescent="0.25">
      <c r="B306" s="20" t="s">
        <v>25</v>
      </c>
      <c r="C306" s="17"/>
      <c r="D306" s="86" t="str">
        <f>INDEX(Cad_Natureza!$B$3:$C$52,MATCH('2025'!F306,Cad_Natureza!$C$3:$C$52,0),MATCH('2025'!D$2,Cad_Natureza!$B$3:$C$3,0))</f>
        <v>OPF1</v>
      </c>
      <c r="E306" s="84" t="s">
        <v>319</v>
      </c>
      <c r="F306" s="85" t="s">
        <v>744</v>
      </c>
      <c r="G306" s="86" t="s">
        <v>25</v>
      </c>
      <c r="H306" s="87">
        <v>45776</v>
      </c>
      <c r="I306" s="87"/>
      <c r="J306" s="79" t="s">
        <v>182</v>
      </c>
      <c r="K306" s="62">
        <v>-23</v>
      </c>
      <c r="L306" s="68">
        <v>14.079999999999472</v>
      </c>
      <c r="M306" s="17"/>
      <c r="N306" s="21" t="str">
        <f t="shared" si="28"/>
        <v>MCSOPF1CPF - Desp. Alimentação / Refeição</v>
      </c>
      <c r="O306" s="21" t="str">
        <f t="shared" si="29"/>
        <v>OPF1CPF - Desp. Alimentação / Refeição</v>
      </c>
      <c r="P306" s="21" t="str">
        <f t="shared" si="30"/>
        <v>MCSOPF1CPF - Desp. Alimentação / Refeição</v>
      </c>
      <c r="Q306" s="21" t="str">
        <f t="shared" si="31"/>
        <v>MCSOPF1</v>
      </c>
      <c r="R306" s="21" t="str">
        <f t="shared" si="32"/>
        <v>MCSOPF1</v>
      </c>
      <c r="S306" s="17"/>
      <c r="T306" s="24">
        <f t="shared" si="33"/>
        <v>45748</v>
      </c>
      <c r="U306" s="24" t="str">
        <f t="shared" si="34"/>
        <v/>
      </c>
      <c r="V306" s="14" t="s">
        <v>761</v>
      </c>
    </row>
    <row r="307" spans="2:22" x14ac:dyDescent="0.25">
      <c r="B307" s="20" t="s">
        <v>25</v>
      </c>
      <c r="C307" s="17"/>
      <c r="D307" s="63" t="str">
        <f>INDEX(Cad_Natureza!$B$3:$C$52,MATCH('2025'!F307,Cad_Natureza!$C$3:$C$52,0),MATCH('2025'!D$2,Cad_Natureza!$B$3:$C$3,0))</f>
        <v>REC4</v>
      </c>
      <c r="E307" s="64" t="s">
        <v>320</v>
      </c>
      <c r="F307" s="65" t="s">
        <v>734</v>
      </c>
      <c r="G307" s="63" t="s">
        <v>25</v>
      </c>
      <c r="H307" s="66">
        <v>45777</v>
      </c>
      <c r="I307" s="66"/>
      <c r="J307" s="67" t="s">
        <v>183</v>
      </c>
      <c r="K307" s="68">
        <v>400</v>
      </c>
      <c r="L307" s="68">
        <v>414.07999999999947</v>
      </c>
      <c r="M307" s="17"/>
      <c r="N307" s="21" t="str">
        <f t="shared" si="28"/>
        <v>MCSREC4CPF - Transf. Da conta PJ para a conta PF</v>
      </c>
      <c r="O307" s="21" t="str">
        <f t="shared" si="29"/>
        <v>REC4CPF - Transf. Da conta PJ para a conta PF</v>
      </c>
      <c r="P307" s="21" t="str">
        <f t="shared" si="30"/>
        <v>MCSREC4CPF - Transf. Da conta PJ para a conta PF</v>
      </c>
      <c r="Q307" s="21" t="str">
        <f t="shared" si="31"/>
        <v>MCSREC4</v>
      </c>
      <c r="R307" s="21" t="str">
        <f t="shared" si="32"/>
        <v>MCSREC4</v>
      </c>
      <c r="S307" s="17"/>
      <c r="T307" s="24">
        <f t="shared" si="33"/>
        <v>45748</v>
      </c>
      <c r="U307" s="24" t="str">
        <f t="shared" si="34"/>
        <v/>
      </c>
      <c r="V307" s="14" t="s">
        <v>761</v>
      </c>
    </row>
    <row r="308" spans="2:22" x14ac:dyDescent="0.25">
      <c r="B308" s="20" t="s">
        <v>25</v>
      </c>
      <c r="C308" s="17"/>
      <c r="D308" s="86" t="str">
        <f>INDEX(Cad_Natureza!$B$3:$C$52,MATCH('2025'!F308,Cad_Natureza!$C$3:$C$52,0),MATCH('2025'!D$2,Cad_Natureza!$B$3:$C$3,0))</f>
        <v>OPF1</v>
      </c>
      <c r="E308" s="84" t="s">
        <v>321</v>
      </c>
      <c r="F308" s="85" t="s">
        <v>744</v>
      </c>
      <c r="G308" s="86" t="s">
        <v>25</v>
      </c>
      <c r="H308" s="87">
        <v>45777</v>
      </c>
      <c r="I308" s="87"/>
      <c r="J308" s="79" t="s">
        <v>182</v>
      </c>
      <c r="K308" s="62">
        <v>-23</v>
      </c>
      <c r="L308" s="68">
        <v>391.07999999999947</v>
      </c>
      <c r="M308" s="17"/>
      <c r="N308" s="21" t="str">
        <f t="shared" si="28"/>
        <v>MCSOPF1CPF - Desp. Alimentação / Refeição</v>
      </c>
      <c r="O308" s="21" t="str">
        <f t="shared" si="29"/>
        <v>OPF1CPF - Desp. Alimentação / Refeição</v>
      </c>
      <c r="P308" s="21" t="str">
        <f t="shared" si="30"/>
        <v>MCSOPF1CPF - Desp. Alimentação / Refeição</v>
      </c>
      <c r="Q308" s="21" t="str">
        <f t="shared" si="31"/>
        <v>MCSOPF1</v>
      </c>
      <c r="R308" s="21" t="str">
        <f t="shared" si="32"/>
        <v>MCSOPF1</v>
      </c>
      <c r="S308" s="17"/>
      <c r="T308" s="24">
        <f t="shared" si="33"/>
        <v>45748</v>
      </c>
      <c r="U308" s="24" t="str">
        <f t="shared" si="34"/>
        <v/>
      </c>
      <c r="V308" s="14" t="s">
        <v>761</v>
      </c>
    </row>
    <row r="309" spans="2:22" x14ac:dyDescent="0.25">
      <c r="B309" s="20" t="s">
        <v>25</v>
      </c>
      <c r="C309" s="17"/>
      <c r="D309" s="86" t="str">
        <f>INDEX(Cad_Natureza!$B$3:$C$52,MATCH('2025'!F309,Cad_Natureza!$C$3:$C$52,0),MATCH('2025'!D$2,Cad_Natureza!$B$3:$C$3,0))</f>
        <v>PENS5</v>
      </c>
      <c r="E309" s="84" t="s">
        <v>322</v>
      </c>
      <c r="F309" s="85" t="s">
        <v>716</v>
      </c>
      <c r="G309" s="86" t="s">
        <v>25</v>
      </c>
      <c r="H309" s="87">
        <v>45777</v>
      </c>
      <c r="I309" s="87"/>
      <c r="J309" s="78" t="s">
        <v>594</v>
      </c>
      <c r="K309" s="62">
        <v>-38.56</v>
      </c>
      <c r="L309" s="68">
        <v>352.51999999999947</v>
      </c>
      <c r="M309" s="17"/>
      <c r="N309" s="21" t="str">
        <f t="shared" si="28"/>
        <v>MCSPENS5CPF - Pensão - Água</v>
      </c>
      <c r="O309" s="21" t="str">
        <f t="shared" si="29"/>
        <v>PENS5CPF - Pensão - Água</v>
      </c>
      <c r="P309" s="21" t="str">
        <f t="shared" si="30"/>
        <v>MCSPENS5CPF - Pensão - Água</v>
      </c>
      <c r="Q309" s="21" t="str">
        <f t="shared" si="31"/>
        <v>MCSPENS5</v>
      </c>
      <c r="R309" s="21" t="str">
        <f t="shared" si="32"/>
        <v>MCSPENS5</v>
      </c>
      <c r="S309" s="17"/>
      <c r="T309" s="24">
        <f t="shared" si="33"/>
        <v>45748</v>
      </c>
      <c r="U309" s="24" t="str">
        <f t="shared" si="34"/>
        <v/>
      </c>
      <c r="V309" s="14" t="s">
        <v>731</v>
      </c>
    </row>
    <row r="310" spans="2:22" x14ac:dyDescent="0.25">
      <c r="B310" s="20" t="s">
        <v>25</v>
      </c>
      <c r="C310" s="17"/>
      <c r="D310" s="86" t="str">
        <f>INDEX(Cad_Natureza!$B$3:$C$52,MATCH('2025'!F310,Cad_Natureza!$C$3:$C$52,0),MATCH('2025'!D$2,Cad_Natureza!$B$3:$C$3,0))</f>
        <v>PENS2</v>
      </c>
      <c r="E310" s="84" t="s">
        <v>323</v>
      </c>
      <c r="F310" s="85" t="s">
        <v>715</v>
      </c>
      <c r="G310" s="86" t="s">
        <v>25</v>
      </c>
      <c r="H310" s="87">
        <v>45777</v>
      </c>
      <c r="I310" s="87"/>
      <c r="J310" s="78" t="s">
        <v>772</v>
      </c>
      <c r="K310" s="62">
        <v>-318.82</v>
      </c>
      <c r="L310" s="68">
        <v>33.699999999999477</v>
      </c>
      <c r="M310" s="17"/>
      <c r="N310" s="21" t="str">
        <f t="shared" si="28"/>
        <v>MCSPENS2CPF - Pensão - Energia</v>
      </c>
      <c r="O310" s="21" t="str">
        <f t="shared" si="29"/>
        <v>PENS2CPF - Pensão - Energia</v>
      </c>
      <c r="P310" s="21" t="str">
        <f t="shared" si="30"/>
        <v>MCSPENS2CPF - Pensão - Energia</v>
      </c>
      <c r="Q310" s="21" t="str">
        <f t="shared" si="31"/>
        <v>MCSPENS2</v>
      </c>
      <c r="R310" s="21" t="str">
        <f t="shared" si="32"/>
        <v>MCSPENS2</v>
      </c>
      <c r="S310" s="17"/>
      <c r="T310" s="24">
        <f t="shared" si="33"/>
        <v>45748</v>
      </c>
      <c r="U310" s="24" t="str">
        <f t="shared" si="34"/>
        <v/>
      </c>
      <c r="V310" s="14" t="s">
        <v>731</v>
      </c>
    </row>
    <row r="311" spans="2:22" x14ac:dyDescent="0.25">
      <c r="B311" s="20" t="s">
        <v>25</v>
      </c>
      <c r="C311" s="17"/>
      <c r="D311" s="86" t="str">
        <f>INDEX(Cad_Natureza!$B$3:$C$52,MATCH('2025'!F311,Cad_Natureza!$C$3:$C$52,0),MATCH('2025'!D$2,Cad_Natureza!$B$3:$C$3,0))</f>
        <v>GAST1</v>
      </c>
      <c r="E311" s="84" t="s">
        <v>324</v>
      </c>
      <c r="F311" s="85" t="s">
        <v>742</v>
      </c>
      <c r="G311" s="86" t="s">
        <v>25</v>
      </c>
      <c r="H311" s="87">
        <v>45777</v>
      </c>
      <c r="I311" s="87"/>
      <c r="J311" s="79" t="s">
        <v>185</v>
      </c>
      <c r="K311" s="62">
        <v>-24</v>
      </c>
      <c r="L311" s="68">
        <v>9.699999999999477</v>
      </c>
      <c r="M311" s="17"/>
      <c r="N311" s="21" t="str">
        <f t="shared" si="28"/>
        <v>MCSGAST1CPF - Desp. Lazer e Entretenimento - Bares</v>
      </c>
      <c r="O311" s="21" t="str">
        <f t="shared" si="29"/>
        <v>GAST1CPF - Desp. Lazer e Entretenimento - Bares</v>
      </c>
      <c r="P311" s="21" t="str">
        <f t="shared" si="30"/>
        <v>MCSGAST1CPF - Desp. Lazer e Entretenimento - Bares</v>
      </c>
      <c r="Q311" s="21" t="str">
        <f t="shared" si="31"/>
        <v>MCSGAST1</v>
      </c>
      <c r="R311" s="21" t="str">
        <f t="shared" si="32"/>
        <v>MCSGAST1</v>
      </c>
      <c r="S311" s="17"/>
      <c r="T311" s="24">
        <f t="shared" si="33"/>
        <v>45748</v>
      </c>
      <c r="U311" s="24" t="str">
        <f t="shared" si="34"/>
        <v/>
      </c>
      <c r="V311" s="14" t="s">
        <v>761</v>
      </c>
    </row>
    <row r="312" spans="2:22" x14ac:dyDescent="0.25">
      <c r="B312" s="20" t="s">
        <v>25</v>
      </c>
      <c r="C312" s="17"/>
      <c r="D312" s="63" t="str">
        <f>INDEX(Cad_Natureza!$B$3:$C$52,MATCH('2025'!F312,Cad_Natureza!$C$3:$C$52,0),MATCH('2025'!D$2,Cad_Natureza!$B$3:$C$3,0))</f>
        <v>REC4</v>
      </c>
      <c r="E312" s="64" t="s">
        <v>325</v>
      </c>
      <c r="F312" s="65" t="s">
        <v>734</v>
      </c>
      <c r="G312" s="63" t="s">
        <v>25</v>
      </c>
      <c r="H312" s="66">
        <v>45779</v>
      </c>
      <c r="I312" s="66"/>
      <c r="J312" s="67" t="s">
        <v>183</v>
      </c>
      <c r="K312" s="68">
        <v>130</v>
      </c>
      <c r="L312" s="68">
        <v>139.69999999999948</v>
      </c>
      <c r="M312" s="17"/>
      <c r="N312" s="21" t="str">
        <f t="shared" si="28"/>
        <v>MCSREC4CPF - Transf. Da conta PJ para a conta PF</v>
      </c>
      <c r="O312" s="21" t="str">
        <f t="shared" si="29"/>
        <v>REC4CPF - Transf. Da conta PJ para a conta PF</v>
      </c>
      <c r="P312" s="21" t="str">
        <f t="shared" si="30"/>
        <v>MCSREC4CPF - Transf. Da conta PJ para a conta PF</v>
      </c>
      <c r="Q312" s="21" t="str">
        <f t="shared" si="31"/>
        <v>MCSREC4</v>
      </c>
      <c r="R312" s="21" t="str">
        <f t="shared" si="32"/>
        <v>MCSREC4</v>
      </c>
      <c r="S312" s="17"/>
      <c r="T312" s="24">
        <f t="shared" si="33"/>
        <v>45778</v>
      </c>
      <c r="U312" s="24" t="str">
        <f t="shared" si="34"/>
        <v/>
      </c>
      <c r="V312" s="14" t="s">
        <v>761</v>
      </c>
    </row>
    <row r="313" spans="2:22" x14ac:dyDescent="0.25">
      <c r="B313" s="20" t="s">
        <v>25</v>
      </c>
      <c r="C313" s="17"/>
      <c r="D313" s="86" t="str">
        <f>INDEX(Cad_Natureza!$B$3:$C$52,MATCH('2025'!F313,Cad_Natureza!$C$3:$C$52,0),MATCH('2025'!D$2,Cad_Natureza!$B$3:$C$3,0))</f>
        <v>OPF1</v>
      </c>
      <c r="E313" s="84" t="s">
        <v>326</v>
      </c>
      <c r="F313" s="85" t="s">
        <v>744</v>
      </c>
      <c r="G313" s="86" t="s">
        <v>25</v>
      </c>
      <c r="H313" s="87">
        <v>45779</v>
      </c>
      <c r="I313" s="87"/>
      <c r="J313" s="79" t="s">
        <v>182</v>
      </c>
      <c r="K313" s="62">
        <v>-55.28</v>
      </c>
      <c r="L313" s="68">
        <v>84.419999999999476</v>
      </c>
      <c r="M313" s="17"/>
      <c r="N313" s="21" t="str">
        <f t="shared" si="28"/>
        <v>MCSOPF1CPF - Desp. Alimentação / Refeição</v>
      </c>
      <c r="O313" s="21" t="str">
        <f t="shared" si="29"/>
        <v>OPF1CPF - Desp. Alimentação / Refeição</v>
      </c>
      <c r="P313" s="21" t="str">
        <f t="shared" si="30"/>
        <v>MCSOPF1CPF - Desp. Alimentação / Refeição</v>
      </c>
      <c r="Q313" s="21" t="str">
        <f t="shared" si="31"/>
        <v>MCSOPF1</v>
      </c>
      <c r="R313" s="21" t="str">
        <f t="shared" si="32"/>
        <v>MCSOPF1</v>
      </c>
      <c r="S313" s="17"/>
      <c r="T313" s="24">
        <f t="shared" si="33"/>
        <v>45778</v>
      </c>
      <c r="U313" s="24" t="str">
        <f t="shared" si="34"/>
        <v/>
      </c>
      <c r="V313" s="14" t="s">
        <v>761</v>
      </c>
    </row>
    <row r="314" spans="2:22" x14ac:dyDescent="0.25">
      <c r="B314" s="20" t="s">
        <v>25</v>
      </c>
      <c r="C314" s="17"/>
      <c r="D314" s="86" t="str">
        <f>INDEX(Cad_Natureza!$B$3:$C$52,MATCH('2025'!F314,Cad_Natureza!$C$3:$C$52,0),MATCH('2025'!D$2,Cad_Natureza!$B$3:$C$3,0))</f>
        <v>OPF2</v>
      </c>
      <c r="E314" s="84" t="s">
        <v>327</v>
      </c>
      <c r="F314" s="85" t="s">
        <v>741</v>
      </c>
      <c r="G314" s="86" t="s">
        <v>25</v>
      </c>
      <c r="H314" s="87">
        <v>45779</v>
      </c>
      <c r="I314" s="87"/>
      <c r="J314" s="79" t="s">
        <v>184</v>
      </c>
      <c r="K314" s="62">
        <v>-50</v>
      </c>
      <c r="L314" s="68">
        <v>34.419999999999476</v>
      </c>
      <c r="M314" s="17"/>
      <c r="N314" s="21" t="str">
        <f t="shared" si="28"/>
        <v>MCSOPF2CPF - Desp. Transporte / Combustível</v>
      </c>
      <c r="O314" s="21" t="str">
        <f t="shared" si="29"/>
        <v>OPF2CPF - Desp. Transporte / Combustível</v>
      </c>
      <c r="P314" s="21" t="str">
        <f t="shared" si="30"/>
        <v>MCSOPF2CPF - Desp. Transporte / Combustível</v>
      </c>
      <c r="Q314" s="21" t="str">
        <f t="shared" si="31"/>
        <v>MCSOPF2</v>
      </c>
      <c r="R314" s="21" t="str">
        <f t="shared" si="32"/>
        <v>MCSOPF2</v>
      </c>
      <c r="S314" s="17"/>
      <c r="T314" s="24">
        <f t="shared" si="33"/>
        <v>45778</v>
      </c>
      <c r="U314" s="24" t="str">
        <f t="shared" si="34"/>
        <v/>
      </c>
      <c r="V314" s="14" t="s">
        <v>761</v>
      </c>
    </row>
    <row r="315" spans="2:22" x14ac:dyDescent="0.25">
      <c r="B315" s="20" t="s">
        <v>25</v>
      </c>
      <c r="C315" s="17"/>
      <c r="D315" s="86" t="str">
        <f>INDEX(Cad_Natureza!$B$3:$C$52,MATCH('2025'!F315,Cad_Natureza!$C$3:$C$52,0),MATCH('2025'!D$2,Cad_Natureza!$B$3:$C$3,0))</f>
        <v>FIN2</v>
      </c>
      <c r="E315" s="84" t="s">
        <v>328</v>
      </c>
      <c r="F315" s="85" t="s">
        <v>751</v>
      </c>
      <c r="G315" s="86" t="s">
        <v>25</v>
      </c>
      <c r="H315" s="87">
        <v>45782</v>
      </c>
      <c r="I315" s="87"/>
      <c r="J315" s="79" t="s">
        <v>188</v>
      </c>
      <c r="K315" s="62">
        <v>-28</v>
      </c>
      <c r="L315" s="68">
        <v>6.4199999999994759</v>
      </c>
      <c r="M315" s="17"/>
      <c r="N315" s="21" t="str">
        <f t="shared" si="28"/>
        <v>MCSFIN2CPF - Desp. Financeiras - Juros / Tarifas</v>
      </c>
      <c r="O315" s="21" t="str">
        <f t="shared" si="29"/>
        <v>FIN2CPF - Desp. Financeiras - Juros / Tarifas</v>
      </c>
      <c r="P315" s="21" t="str">
        <f t="shared" si="30"/>
        <v>MCSFIN2CPF - Desp. Financeiras - Juros / Tarifas</v>
      </c>
      <c r="Q315" s="21" t="str">
        <f t="shared" si="31"/>
        <v>MCSFIN2</v>
      </c>
      <c r="R315" s="21" t="str">
        <f t="shared" si="32"/>
        <v>MCSFIN2</v>
      </c>
      <c r="S315" s="17"/>
      <c r="T315" s="24">
        <f t="shared" si="33"/>
        <v>45778</v>
      </c>
      <c r="U315" s="24" t="str">
        <f t="shared" si="34"/>
        <v/>
      </c>
      <c r="V315" s="14" t="s">
        <v>761</v>
      </c>
    </row>
    <row r="316" spans="2:22" x14ac:dyDescent="0.25">
      <c r="B316" s="20" t="s">
        <v>25</v>
      </c>
      <c r="C316" s="17"/>
      <c r="D316" s="63" t="str">
        <f>INDEX(Cad_Natureza!$B$3:$C$52,MATCH('2025'!F316,Cad_Natureza!$C$3:$C$52,0),MATCH('2025'!D$2,Cad_Natureza!$B$3:$C$3,0))</f>
        <v>REC1</v>
      </c>
      <c r="E316" s="64" t="s">
        <v>329</v>
      </c>
      <c r="F316" s="65" t="s">
        <v>745</v>
      </c>
      <c r="G316" s="63" t="s">
        <v>25</v>
      </c>
      <c r="H316" s="66">
        <v>45784</v>
      </c>
      <c r="I316" s="66"/>
      <c r="J316" s="81" t="s">
        <v>34</v>
      </c>
      <c r="K316" s="82">
        <v>3500</v>
      </c>
      <c r="L316" s="68">
        <v>3506.4199999999996</v>
      </c>
      <c r="M316" s="17"/>
      <c r="N316" s="21" t="str">
        <f t="shared" si="28"/>
        <v>MCSREC1CPF - Remun. Salário / Pró-Labore</v>
      </c>
      <c r="O316" s="21" t="str">
        <f t="shared" si="29"/>
        <v>REC1CPF - Remun. Salário / Pró-Labore</v>
      </c>
      <c r="P316" s="21" t="str">
        <f t="shared" si="30"/>
        <v>MCSREC1CPF - Remun. Salário / Pró-Labore</v>
      </c>
      <c r="Q316" s="21" t="str">
        <f t="shared" si="31"/>
        <v>MCSREC1</v>
      </c>
      <c r="R316" s="21" t="str">
        <f t="shared" si="32"/>
        <v>MCSREC1</v>
      </c>
      <c r="S316" s="17"/>
      <c r="T316" s="24">
        <f t="shared" si="33"/>
        <v>45778</v>
      </c>
      <c r="U316" s="24" t="str">
        <f t="shared" si="34"/>
        <v/>
      </c>
      <c r="V316" s="14" t="s">
        <v>761</v>
      </c>
    </row>
    <row r="317" spans="2:22" x14ac:dyDescent="0.25">
      <c r="B317" s="20" t="s">
        <v>25</v>
      </c>
      <c r="C317" s="17"/>
      <c r="D317" s="86" t="str">
        <f>INDEX(Cad_Natureza!$B$3:$C$52,MATCH('2025'!F317,Cad_Natureza!$C$3:$C$52,0),MATCH('2025'!D$2,Cad_Natureza!$B$3:$C$3,0))</f>
        <v>PENS3</v>
      </c>
      <c r="E317" s="84" t="s">
        <v>42</v>
      </c>
      <c r="F317" s="85" t="s">
        <v>746</v>
      </c>
      <c r="G317" s="86" t="s">
        <v>25</v>
      </c>
      <c r="H317" s="87">
        <v>45784</v>
      </c>
      <c r="I317" s="87"/>
      <c r="J317" s="78" t="s">
        <v>581</v>
      </c>
      <c r="K317" s="80">
        <v>-506.57</v>
      </c>
      <c r="L317" s="68">
        <v>2999.8499999999995</v>
      </c>
      <c r="M317" s="17"/>
      <c r="N317" s="21" t="str">
        <f t="shared" si="28"/>
        <v>MCSPENS3CPF - Pensão - Plano de saúde</v>
      </c>
      <c r="O317" s="21" t="str">
        <f t="shared" si="29"/>
        <v>PENS3CPF - Pensão - Plano de saúde</v>
      </c>
      <c r="P317" s="21" t="str">
        <f t="shared" si="30"/>
        <v>MCSPENS3CPF - Pensão - Plano de saúde</v>
      </c>
      <c r="Q317" s="21" t="str">
        <f t="shared" si="31"/>
        <v>MCSPENS3</v>
      </c>
      <c r="R317" s="21" t="str">
        <f t="shared" si="32"/>
        <v>MCSPENS3</v>
      </c>
      <c r="S317" s="17"/>
      <c r="T317" s="24">
        <f t="shared" si="33"/>
        <v>45778</v>
      </c>
      <c r="U317" s="24" t="str">
        <f t="shared" si="34"/>
        <v/>
      </c>
      <c r="V317" s="14" t="s">
        <v>731</v>
      </c>
    </row>
    <row r="318" spans="2:22" x14ac:dyDescent="0.25">
      <c r="B318" s="20" t="s">
        <v>25</v>
      </c>
      <c r="C318" s="17"/>
      <c r="D318" s="86" t="str">
        <f>INDEX(Cad_Natureza!$B$3:$C$52,MATCH('2025'!F318,Cad_Natureza!$C$3:$C$52,0),MATCH('2025'!D$2,Cad_Natureza!$B$3:$C$3,0))</f>
        <v>FIN1</v>
      </c>
      <c r="E318" s="84" t="s">
        <v>41</v>
      </c>
      <c r="F318" s="85" t="s">
        <v>713</v>
      </c>
      <c r="G318" s="86" t="s">
        <v>25</v>
      </c>
      <c r="H318" s="87">
        <v>45785</v>
      </c>
      <c r="I318" s="87"/>
      <c r="J318" s="79" t="s">
        <v>353</v>
      </c>
      <c r="K318" s="62">
        <v>-127.18</v>
      </c>
      <c r="L318" s="68">
        <v>2872.6699999999996</v>
      </c>
      <c r="M318" s="17"/>
      <c r="N318" s="21" t="str">
        <f t="shared" si="28"/>
        <v>MCSFIN1CPF - Desp. Financeiras - Empréstimos</v>
      </c>
      <c r="O318" s="21" t="str">
        <f t="shared" si="29"/>
        <v>FIN1CPF - Desp. Financeiras - Empréstimos</v>
      </c>
      <c r="P318" s="21" t="str">
        <f t="shared" si="30"/>
        <v>MCSFIN1CPF - Desp. Financeiras - Empréstimos</v>
      </c>
      <c r="Q318" s="21" t="str">
        <f t="shared" si="31"/>
        <v>MCSFIN1</v>
      </c>
      <c r="R318" s="21" t="str">
        <f t="shared" si="32"/>
        <v>MCSFIN1</v>
      </c>
      <c r="S318" s="17"/>
      <c r="T318" s="24">
        <f t="shared" si="33"/>
        <v>45778</v>
      </c>
      <c r="U318" s="24" t="str">
        <f t="shared" si="34"/>
        <v/>
      </c>
      <c r="V318" s="14" t="s">
        <v>761</v>
      </c>
    </row>
    <row r="319" spans="2:22" x14ac:dyDescent="0.25">
      <c r="B319" s="20" t="s">
        <v>25</v>
      </c>
      <c r="C319" s="17"/>
      <c r="D319" s="86" t="str">
        <f>INDEX(Cad_Natureza!$B$3:$C$52,MATCH('2025'!F319,Cad_Natureza!$C$3:$C$52,0),MATCH('2025'!D$2,Cad_Natureza!$B$3:$C$3,0))</f>
        <v>OPF2</v>
      </c>
      <c r="E319" s="84" t="s">
        <v>330</v>
      </c>
      <c r="F319" s="85" t="s">
        <v>741</v>
      </c>
      <c r="G319" s="86" t="s">
        <v>25</v>
      </c>
      <c r="H319" s="87">
        <v>45785</v>
      </c>
      <c r="I319" s="87"/>
      <c r="J319" s="79" t="s">
        <v>184</v>
      </c>
      <c r="K319" s="62">
        <v>-50</v>
      </c>
      <c r="L319" s="68">
        <v>2822.6699999999996</v>
      </c>
      <c r="M319" s="17"/>
      <c r="N319" s="21" t="str">
        <f t="shared" si="28"/>
        <v>MCSOPF2CPF - Desp. Transporte / Combustível</v>
      </c>
      <c r="O319" s="21" t="str">
        <f t="shared" si="29"/>
        <v>OPF2CPF - Desp. Transporte / Combustível</v>
      </c>
      <c r="P319" s="21" t="str">
        <f t="shared" si="30"/>
        <v>MCSOPF2CPF - Desp. Transporte / Combustível</v>
      </c>
      <c r="Q319" s="21" t="str">
        <f t="shared" si="31"/>
        <v>MCSOPF2</v>
      </c>
      <c r="R319" s="21" t="str">
        <f t="shared" si="32"/>
        <v>MCSOPF2</v>
      </c>
      <c r="S319" s="17"/>
      <c r="T319" s="24">
        <f t="shared" si="33"/>
        <v>45778</v>
      </c>
      <c r="U319" s="24" t="str">
        <f t="shared" si="34"/>
        <v/>
      </c>
      <c r="V319" s="14" t="s">
        <v>761</v>
      </c>
    </row>
    <row r="320" spans="2:22" x14ac:dyDescent="0.25">
      <c r="B320" s="20" t="s">
        <v>25</v>
      </c>
      <c r="C320" s="17"/>
      <c r="D320" s="86" t="str">
        <f>INDEX(Cad_Natureza!$B$3:$C$52,MATCH('2025'!F320,Cad_Natureza!$C$3:$C$52,0),MATCH('2025'!D$2,Cad_Natureza!$B$3:$C$3,0))</f>
        <v>GAST2</v>
      </c>
      <c r="E320" s="84" t="s">
        <v>331</v>
      </c>
      <c r="F320" s="85" t="s">
        <v>743</v>
      </c>
      <c r="G320" s="86" t="s">
        <v>25</v>
      </c>
      <c r="H320" s="87">
        <v>45785</v>
      </c>
      <c r="I320" s="87"/>
      <c r="J320" s="79" t="s">
        <v>180</v>
      </c>
      <c r="K320" s="62">
        <v>-35</v>
      </c>
      <c r="L320" s="68">
        <v>2787.6699999999996</v>
      </c>
      <c r="M320" s="17"/>
      <c r="N320" s="21" t="str">
        <f t="shared" si="28"/>
        <v>MCSGAST2CPF - Desp. Lazer e Entretenimento - Cigarro</v>
      </c>
      <c r="O320" s="21" t="str">
        <f t="shared" si="29"/>
        <v>GAST2CPF - Desp. Lazer e Entretenimento - Cigarro</v>
      </c>
      <c r="P320" s="21" t="str">
        <f t="shared" si="30"/>
        <v>MCSGAST2CPF - Desp. Lazer e Entretenimento - Cigarro</v>
      </c>
      <c r="Q320" s="21" t="str">
        <f t="shared" si="31"/>
        <v>MCSGAST2</v>
      </c>
      <c r="R320" s="21" t="str">
        <f t="shared" si="32"/>
        <v>MCSGAST2</v>
      </c>
      <c r="S320" s="17"/>
      <c r="T320" s="24">
        <f t="shared" si="33"/>
        <v>45778</v>
      </c>
      <c r="U320" s="24" t="str">
        <f t="shared" si="34"/>
        <v/>
      </c>
      <c r="V320" s="14" t="s">
        <v>761</v>
      </c>
    </row>
    <row r="321" spans="2:22" x14ac:dyDescent="0.25">
      <c r="B321" s="20" t="s">
        <v>25</v>
      </c>
      <c r="C321" s="17"/>
      <c r="D321" s="86" t="str">
        <f>INDEX(Cad_Natureza!$B$3:$C$52,MATCH('2025'!F321,Cad_Natureza!$C$3:$C$52,0),MATCH('2025'!D$2,Cad_Natureza!$B$3:$C$3,0))</f>
        <v>OUG1</v>
      </c>
      <c r="E321" s="84" t="s">
        <v>332</v>
      </c>
      <c r="F321" s="85" t="s">
        <v>748</v>
      </c>
      <c r="G321" s="86" t="s">
        <v>25</v>
      </c>
      <c r="H321" s="87">
        <v>45785</v>
      </c>
      <c r="I321" s="87"/>
      <c r="J321" s="79" t="s">
        <v>354</v>
      </c>
      <c r="K321" s="62">
        <v>-18</v>
      </c>
      <c r="L321" s="68">
        <v>2769.6699999999996</v>
      </c>
      <c r="M321" s="17"/>
      <c r="N321" s="21" t="str">
        <f t="shared" si="28"/>
        <v>MCSOUG1CPF - Outros gastos</v>
      </c>
      <c r="O321" s="21" t="str">
        <f t="shared" si="29"/>
        <v>OUG1CPF - Outros gastos</v>
      </c>
      <c r="P321" s="21" t="str">
        <f t="shared" si="30"/>
        <v>MCSOUG1CPF - Outros gastos</v>
      </c>
      <c r="Q321" s="21" t="str">
        <f t="shared" si="31"/>
        <v>MCSOUG1</v>
      </c>
      <c r="R321" s="21" t="str">
        <f t="shared" si="32"/>
        <v>MCSOUG1</v>
      </c>
      <c r="S321" s="17"/>
      <c r="T321" s="24">
        <f t="shared" si="33"/>
        <v>45778</v>
      </c>
      <c r="U321" s="24" t="str">
        <f t="shared" si="34"/>
        <v/>
      </c>
      <c r="V321" s="14" t="s">
        <v>761</v>
      </c>
    </row>
    <row r="322" spans="2:22" x14ac:dyDescent="0.25">
      <c r="B322" s="20" t="s">
        <v>25</v>
      </c>
      <c r="C322" s="17"/>
      <c r="D322" s="86" t="str">
        <f>INDEX(Cad_Natureza!$B$3:$C$52,MATCH('2025'!F322,Cad_Natureza!$C$3:$C$52,0),MATCH('2025'!D$2,Cad_Natureza!$B$3:$C$3,0))</f>
        <v>PENS4</v>
      </c>
      <c r="E322" s="84" t="s">
        <v>362</v>
      </c>
      <c r="F322" s="85" t="s">
        <v>749</v>
      </c>
      <c r="G322" s="86" t="s">
        <v>25</v>
      </c>
      <c r="H322" s="87">
        <v>45786</v>
      </c>
      <c r="I322" s="87"/>
      <c r="J322" s="78" t="s">
        <v>588</v>
      </c>
      <c r="K322" s="80">
        <v>-600</v>
      </c>
      <c r="L322" s="68">
        <v>2169.67</v>
      </c>
      <c r="M322" s="17"/>
      <c r="N322" s="21" t="str">
        <f t="shared" si="28"/>
        <v>MCSPENS4CPF - Pensão - Supermercado</v>
      </c>
      <c r="O322" s="21" t="str">
        <f t="shared" si="29"/>
        <v>PENS4CPF - Pensão - Supermercado</v>
      </c>
      <c r="P322" s="21" t="str">
        <f t="shared" si="30"/>
        <v>MCSPENS4CPF - Pensão - Supermercado</v>
      </c>
      <c r="Q322" s="21" t="str">
        <f t="shared" si="31"/>
        <v>MCSPENS4</v>
      </c>
      <c r="R322" s="21" t="str">
        <f t="shared" si="32"/>
        <v>MCSPENS4</v>
      </c>
      <c r="S322" s="17"/>
      <c r="T322" s="24">
        <f t="shared" si="33"/>
        <v>45778</v>
      </c>
      <c r="U322" s="24" t="str">
        <f t="shared" si="34"/>
        <v/>
      </c>
      <c r="V322" s="14" t="s">
        <v>731</v>
      </c>
    </row>
    <row r="323" spans="2:22" x14ac:dyDescent="0.25">
      <c r="B323" s="20" t="s">
        <v>25</v>
      </c>
      <c r="C323" s="17"/>
      <c r="D323" s="86" t="str">
        <f>INDEX(Cad_Natureza!$B$3:$C$52,MATCH('2025'!F323,Cad_Natureza!$C$3:$C$52,0),MATCH('2025'!D$2,Cad_Natureza!$B$3:$C$3,0))</f>
        <v>GAST1</v>
      </c>
      <c r="E323" s="84" t="s">
        <v>363</v>
      </c>
      <c r="F323" s="85" t="s">
        <v>742</v>
      </c>
      <c r="G323" s="86" t="s">
        <v>25</v>
      </c>
      <c r="H323" s="87">
        <v>45789</v>
      </c>
      <c r="I323" s="87"/>
      <c r="J323" s="79" t="s">
        <v>185</v>
      </c>
      <c r="K323" s="62">
        <v>-20</v>
      </c>
      <c r="L323" s="68">
        <v>2149.67</v>
      </c>
      <c r="M323" s="17"/>
      <c r="N323" s="21" t="str">
        <f t="shared" ref="N323:N460" si="35">B323&amp;D323&amp;F323</f>
        <v>MCSGAST1CPF - Desp. Lazer e Entretenimento - Bares</v>
      </c>
      <c r="O323" s="21" t="str">
        <f t="shared" ref="O323:O460" si="36">D323&amp;F323</f>
        <v>GAST1CPF - Desp. Lazer e Entretenimento - Bares</v>
      </c>
      <c r="P323" s="21" t="str">
        <f t="shared" ref="P323:P460" si="37">"MCS"&amp;D323&amp;F323</f>
        <v>MCSGAST1CPF - Desp. Lazer e Entretenimento - Bares</v>
      </c>
      <c r="Q323" s="21" t="str">
        <f t="shared" ref="Q323:Q460" si="38">"MCS"&amp;D323</f>
        <v>MCSGAST1</v>
      </c>
      <c r="R323" s="21" t="str">
        <f t="shared" ref="R323:R460" si="39">B323&amp;D323</f>
        <v>MCSGAST1</v>
      </c>
      <c r="S323" s="17"/>
      <c r="T323" s="24">
        <f t="shared" ref="T323:T460" si="40">(1&amp;"/"&amp;MONTH(H323)&amp;"/"&amp;YEAR(H323))*1</f>
        <v>45778</v>
      </c>
      <c r="U323" s="24" t="str">
        <f t="shared" ref="U323:U386" si="41">IF(I323="","",(1&amp;"/"&amp;MONTH(I323)&amp;"/"&amp;YEAR(I323))*1)</f>
        <v/>
      </c>
      <c r="V323" s="14" t="s">
        <v>761</v>
      </c>
    </row>
    <row r="324" spans="2:22" x14ac:dyDescent="0.25">
      <c r="B324" s="20" t="s">
        <v>25</v>
      </c>
      <c r="C324" s="17"/>
      <c r="D324" s="86" t="str">
        <f>INDEX(Cad_Natureza!$B$3:$C$52,MATCH('2025'!F324,Cad_Natureza!$C$3:$C$52,0),MATCH('2025'!D$2,Cad_Natureza!$B$3:$C$3,0))</f>
        <v>GAST1</v>
      </c>
      <c r="E324" s="84" t="s">
        <v>364</v>
      </c>
      <c r="F324" s="85" t="s">
        <v>742</v>
      </c>
      <c r="G324" s="86" t="s">
        <v>25</v>
      </c>
      <c r="H324" s="87">
        <v>45789</v>
      </c>
      <c r="I324" s="87"/>
      <c r="J324" s="79" t="s">
        <v>185</v>
      </c>
      <c r="K324" s="62">
        <v>-25</v>
      </c>
      <c r="L324" s="68">
        <v>2124.67</v>
      </c>
      <c r="M324" s="17"/>
      <c r="N324" s="21" t="str">
        <f t="shared" si="35"/>
        <v>MCSGAST1CPF - Desp. Lazer e Entretenimento - Bares</v>
      </c>
      <c r="O324" s="21" t="str">
        <f t="shared" si="36"/>
        <v>GAST1CPF - Desp. Lazer e Entretenimento - Bares</v>
      </c>
      <c r="P324" s="21" t="str">
        <f t="shared" si="37"/>
        <v>MCSGAST1CPF - Desp. Lazer e Entretenimento - Bares</v>
      </c>
      <c r="Q324" s="21" t="str">
        <f t="shared" si="38"/>
        <v>MCSGAST1</v>
      </c>
      <c r="R324" s="21" t="str">
        <f t="shared" si="39"/>
        <v>MCSGAST1</v>
      </c>
      <c r="S324" s="17"/>
      <c r="T324" s="24">
        <f t="shared" si="40"/>
        <v>45778</v>
      </c>
      <c r="U324" s="24" t="str">
        <f t="shared" si="41"/>
        <v/>
      </c>
      <c r="V324" s="14" t="s">
        <v>761</v>
      </c>
    </row>
    <row r="325" spans="2:22" x14ac:dyDescent="0.25">
      <c r="B325" s="20" t="s">
        <v>25</v>
      </c>
      <c r="C325" s="17"/>
      <c r="D325" s="86" t="str">
        <f>INDEX(Cad_Natureza!$B$3:$C$52,MATCH('2025'!F325,Cad_Natureza!$C$3:$C$52,0),MATCH('2025'!D$2,Cad_Natureza!$B$3:$C$3,0))</f>
        <v>GAST1</v>
      </c>
      <c r="E325" s="84" t="s">
        <v>365</v>
      </c>
      <c r="F325" s="85" t="s">
        <v>742</v>
      </c>
      <c r="G325" s="86" t="s">
        <v>25</v>
      </c>
      <c r="H325" s="87">
        <v>45789</v>
      </c>
      <c r="I325" s="87"/>
      <c r="J325" s="79" t="s">
        <v>185</v>
      </c>
      <c r="K325" s="62">
        <v>-15</v>
      </c>
      <c r="L325" s="68">
        <v>2109.67</v>
      </c>
      <c r="M325" s="17"/>
      <c r="N325" s="21" t="str">
        <f t="shared" si="35"/>
        <v>MCSGAST1CPF - Desp. Lazer e Entretenimento - Bares</v>
      </c>
      <c r="O325" s="21" t="str">
        <f t="shared" si="36"/>
        <v>GAST1CPF - Desp. Lazer e Entretenimento - Bares</v>
      </c>
      <c r="P325" s="21" t="str">
        <f t="shared" si="37"/>
        <v>MCSGAST1CPF - Desp. Lazer e Entretenimento - Bares</v>
      </c>
      <c r="Q325" s="21" t="str">
        <f t="shared" si="38"/>
        <v>MCSGAST1</v>
      </c>
      <c r="R325" s="21" t="str">
        <f t="shared" si="39"/>
        <v>MCSGAST1</v>
      </c>
      <c r="S325" s="17"/>
      <c r="T325" s="24">
        <f t="shared" si="40"/>
        <v>45778</v>
      </c>
      <c r="U325" s="24" t="str">
        <f t="shared" si="41"/>
        <v/>
      </c>
      <c r="V325" s="14" t="s">
        <v>761</v>
      </c>
    </row>
    <row r="326" spans="2:22" x14ac:dyDescent="0.25">
      <c r="B326" s="20" t="s">
        <v>25</v>
      </c>
      <c r="C326" s="17"/>
      <c r="D326" s="86" t="str">
        <f>INDEX(Cad_Natureza!$B$3:$C$52,MATCH('2025'!F326,Cad_Natureza!$C$3:$C$52,0),MATCH('2025'!D$2,Cad_Natureza!$B$3:$C$3,0))</f>
        <v>GAST1</v>
      </c>
      <c r="E326" s="84" t="s">
        <v>366</v>
      </c>
      <c r="F326" s="85" t="s">
        <v>742</v>
      </c>
      <c r="G326" s="86" t="s">
        <v>25</v>
      </c>
      <c r="H326" s="87">
        <v>45789</v>
      </c>
      <c r="I326" s="87"/>
      <c r="J326" s="79" t="s">
        <v>185</v>
      </c>
      <c r="K326" s="62">
        <v>-15</v>
      </c>
      <c r="L326" s="68">
        <v>2094.67</v>
      </c>
      <c r="M326" s="17"/>
      <c r="N326" s="21" t="str">
        <f t="shared" si="35"/>
        <v>MCSGAST1CPF - Desp. Lazer e Entretenimento - Bares</v>
      </c>
      <c r="O326" s="21" t="str">
        <f t="shared" si="36"/>
        <v>GAST1CPF - Desp. Lazer e Entretenimento - Bares</v>
      </c>
      <c r="P326" s="21" t="str">
        <f t="shared" si="37"/>
        <v>MCSGAST1CPF - Desp. Lazer e Entretenimento - Bares</v>
      </c>
      <c r="Q326" s="21" t="str">
        <f t="shared" si="38"/>
        <v>MCSGAST1</v>
      </c>
      <c r="R326" s="21" t="str">
        <f t="shared" si="39"/>
        <v>MCSGAST1</v>
      </c>
      <c r="S326" s="17"/>
      <c r="T326" s="24">
        <f t="shared" si="40"/>
        <v>45778</v>
      </c>
      <c r="U326" s="24" t="str">
        <f t="shared" si="41"/>
        <v/>
      </c>
      <c r="V326" s="14" t="s">
        <v>761</v>
      </c>
    </row>
    <row r="327" spans="2:22" x14ac:dyDescent="0.25">
      <c r="B327" s="20" t="s">
        <v>25</v>
      </c>
      <c r="C327" s="17"/>
      <c r="D327" s="86" t="str">
        <f>INDEX(Cad_Natureza!$B$3:$C$52,MATCH('2025'!F327,Cad_Natureza!$C$3:$C$52,0),MATCH('2025'!D$2,Cad_Natureza!$B$3:$C$3,0))</f>
        <v>GAST1</v>
      </c>
      <c r="E327" s="84" t="s">
        <v>367</v>
      </c>
      <c r="F327" s="85" t="s">
        <v>742</v>
      </c>
      <c r="G327" s="86" t="s">
        <v>25</v>
      </c>
      <c r="H327" s="87">
        <v>45789</v>
      </c>
      <c r="I327" s="87"/>
      <c r="J327" s="79" t="s">
        <v>185</v>
      </c>
      <c r="K327" s="62">
        <v>-50.49</v>
      </c>
      <c r="L327" s="68">
        <v>2044.18</v>
      </c>
      <c r="M327" s="17"/>
      <c r="N327" s="21" t="str">
        <f t="shared" si="35"/>
        <v>MCSGAST1CPF - Desp. Lazer e Entretenimento - Bares</v>
      </c>
      <c r="O327" s="21" t="str">
        <f t="shared" si="36"/>
        <v>GAST1CPF - Desp. Lazer e Entretenimento - Bares</v>
      </c>
      <c r="P327" s="21" t="str">
        <f t="shared" si="37"/>
        <v>MCSGAST1CPF - Desp. Lazer e Entretenimento - Bares</v>
      </c>
      <c r="Q327" s="21" t="str">
        <f t="shared" si="38"/>
        <v>MCSGAST1</v>
      </c>
      <c r="R327" s="21" t="str">
        <f t="shared" si="39"/>
        <v>MCSGAST1</v>
      </c>
      <c r="S327" s="17"/>
      <c r="T327" s="24">
        <f t="shared" si="40"/>
        <v>45778</v>
      </c>
      <c r="U327" s="24" t="str">
        <f t="shared" si="41"/>
        <v/>
      </c>
      <c r="V327" s="14" t="s">
        <v>761</v>
      </c>
    </row>
    <row r="328" spans="2:22" x14ac:dyDescent="0.25">
      <c r="B328" s="20" t="s">
        <v>25</v>
      </c>
      <c r="C328" s="17"/>
      <c r="D328" s="86" t="str">
        <f>INDEX(Cad_Natureza!$B$3:$C$52,MATCH('2025'!F328,Cad_Natureza!$C$3:$C$52,0),MATCH('2025'!D$2,Cad_Natureza!$B$3:$C$3,0))</f>
        <v>OPF2</v>
      </c>
      <c r="E328" s="84" t="s">
        <v>368</v>
      </c>
      <c r="F328" s="85" t="s">
        <v>741</v>
      </c>
      <c r="G328" s="86" t="s">
        <v>25</v>
      </c>
      <c r="H328" s="87">
        <v>45789</v>
      </c>
      <c r="I328" s="87"/>
      <c r="J328" s="79" t="s">
        <v>184</v>
      </c>
      <c r="K328" s="62">
        <v>-50</v>
      </c>
      <c r="L328" s="68">
        <v>1994.18</v>
      </c>
      <c r="M328" s="17"/>
      <c r="N328" s="21" t="str">
        <f t="shared" si="35"/>
        <v>MCSOPF2CPF - Desp. Transporte / Combustível</v>
      </c>
      <c r="O328" s="21" t="str">
        <f t="shared" si="36"/>
        <v>OPF2CPF - Desp. Transporte / Combustível</v>
      </c>
      <c r="P328" s="21" t="str">
        <f t="shared" si="37"/>
        <v>MCSOPF2CPF - Desp. Transporte / Combustível</v>
      </c>
      <c r="Q328" s="21" t="str">
        <f t="shared" si="38"/>
        <v>MCSOPF2</v>
      </c>
      <c r="R328" s="21" t="str">
        <f t="shared" si="39"/>
        <v>MCSOPF2</v>
      </c>
      <c r="S328" s="17"/>
      <c r="T328" s="24">
        <f t="shared" si="40"/>
        <v>45778</v>
      </c>
      <c r="U328" s="24" t="str">
        <f t="shared" si="41"/>
        <v/>
      </c>
      <c r="V328" s="14" t="s">
        <v>761</v>
      </c>
    </row>
    <row r="329" spans="2:22" x14ac:dyDescent="0.25">
      <c r="B329" s="20" t="s">
        <v>25</v>
      </c>
      <c r="C329" s="17"/>
      <c r="D329" s="86" t="str">
        <f>INDEX(Cad_Natureza!$B$3:$C$52,MATCH('2025'!F329,Cad_Natureza!$C$3:$C$52,0),MATCH('2025'!D$2,Cad_Natureza!$B$3:$C$3,0))</f>
        <v>OPF1</v>
      </c>
      <c r="E329" s="84" t="s">
        <v>369</v>
      </c>
      <c r="F329" s="85" t="s">
        <v>744</v>
      </c>
      <c r="G329" s="86" t="s">
        <v>25</v>
      </c>
      <c r="H329" s="87">
        <v>45789</v>
      </c>
      <c r="I329" s="87"/>
      <c r="J329" s="79" t="s">
        <v>182</v>
      </c>
      <c r="K329" s="62">
        <v>-23</v>
      </c>
      <c r="L329" s="68">
        <v>1971.18</v>
      </c>
      <c r="M329" s="17"/>
      <c r="N329" s="21" t="str">
        <f t="shared" si="35"/>
        <v>MCSOPF1CPF - Desp. Alimentação / Refeição</v>
      </c>
      <c r="O329" s="21" t="str">
        <f t="shared" si="36"/>
        <v>OPF1CPF - Desp. Alimentação / Refeição</v>
      </c>
      <c r="P329" s="21" t="str">
        <f t="shared" si="37"/>
        <v>MCSOPF1CPF - Desp. Alimentação / Refeição</v>
      </c>
      <c r="Q329" s="21" t="str">
        <f t="shared" si="38"/>
        <v>MCSOPF1</v>
      </c>
      <c r="R329" s="21" t="str">
        <f t="shared" si="39"/>
        <v>MCSOPF1</v>
      </c>
      <c r="S329" s="17"/>
      <c r="T329" s="24">
        <f t="shared" si="40"/>
        <v>45778</v>
      </c>
      <c r="U329" s="24" t="str">
        <f t="shared" si="41"/>
        <v/>
      </c>
      <c r="V329" s="14" t="s">
        <v>761</v>
      </c>
    </row>
    <row r="330" spans="2:22" x14ac:dyDescent="0.25">
      <c r="B330" s="20" t="s">
        <v>25</v>
      </c>
      <c r="C330" s="17"/>
      <c r="D330" s="86" t="str">
        <f>INDEX(Cad_Natureza!$B$3:$C$52,MATCH('2025'!F330,Cad_Natureza!$C$3:$C$52,0),MATCH('2025'!D$2,Cad_Natureza!$B$3:$C$3,0))</f>
        <v>FIN3</v>
      </c>
      <c r="E330" s="84" t="s">
        <v>351</v>
      </c>
      <c r="F330" s="85" t="s">
        <v>939</v>
      </c>
      <c r="G330" s="86" t="s">
        <v>25</v>
      </c>
      <c r="H330" s="87">
        <v>45790</v>
      </c>
      <c r="I330" s="87"/>
      <c r="J330" s="79" t="s">
        <v>572</v>
      </c>
      <c r="K330" s="62">
        <v>-538.03</v>
      </c>
      <c r="L330" s="68">
        <v>1433.15</v>
      </c>
      <c r="M330" s="17"/>
      <c r="N330" s="21" t="str">
        <f t="shared" si="35"/>
        <v>MCSFIN3CPF - Desp. Financeiras - Empréstimos bancários</v>
      </c>
      <c r="O330" s="21" t="str">
        <f t="shared" si="36"/>
        <v>FIN3CPF - Desp. Financeiras - Empréstimos bancários</v>
      </c>
      <c r="P330" s="21" t="str">
        <f t="shared" si="37"/>
        <v>MCSFIN3CPF - Desp. Financeiras - Empréstimos bancários</v>
      </c>
      <c r="Q330" s="21" t="str">
        <f t="shared" si="38"/>
        <v>MCSFIN3</v>
      </c>
      <c r="R330" s="21" t="str">
        <f t="shared" si="39"/>
        <v>MCSFIN3</v>
      </c>
      <c r="S330" s="17"/>
      <c r="T330" s="24">
        <f t="shared" si="40"/>
        <v>45778</v>
      </c>
      <c r="U330" s="24" t="str">
        <f t="shared" si="41"/>
        <v/>
      </c>
      <c r="V330" s="14" t="s">
        <v>761</v>
      </c>
    </row>
    <row r="331" spans="2:22" x14ac:dyDescent="0.25">
      <c r="B331" s="20" t="s">
        <v>25</v>
      </c>
      <c r="C331" s="17"/>
      <c r="D331" s="86" t="str">
        <f>INDEX(Cad_Natureza!$B$3:$C$52,MATCH('2025'!F331,Cad_Natureza!$C$3:$C$52,0),MATCH('2025'!D$2,Cad_Natureza!$B$3:$C$3,0))</f>
        <v>OPF1</v>
      </c>
      <c r="E331" s="84" t="s">
        <v>370</v>
      </c>
      <c r="F331" s="85" t="s">
        <v>744</v>
      </c>
      <c r="G331" s="86" t="s">
        <v>25</v>
      </c>
      <c r="H331" s="87">
        <v>45790</v>
      </c>
      <c r="I331" s="87"/>
      <c r="J331" s="79" t="s">
        <v>182</v>
      </c>
      <c r="K331" s="62">
        <v>-23</v>
      </c>
      <c r="L331" s="68">
        <v>1410.15</v>
      </c>
      <c r="M331" s="17"/>
      <c r="N331" s="21" t="str">
        <f t="shared" si="35"/>
        <v>MCSOPF1CPF - Desp. Alimentação / Refeição</v>
      </c>
      <c r="O331" s="21" t="str">
        <f t="shared" si="36"/>
        <v>OPF1CPF - Desp. Alimentação / Refeição</v>
      </c>
      <c r="P331" s="21" t="str">
        <f t="shared" si="37"/>
        <v>MCSOPF1CPF - Desp. Alimentação / Refeição</v>
      </c>
      <c r="Q331" s="21" t="str">
        <f t="shared" si="38"/>
        <v>MCSOPF1</v>
      </c>
      <c r="R331" s="21" t="str">
        <f t="shared" si="39"/>
        <v>MCSOPF1</v>
      </c>
      <c r="S331" s="17"/>
      <c r="T331" s="24">
        <f t="shared" si="40"/>
        <v>45778</v>
      </c>
      <c r="U331" s="24" t="str">
        <f t="shared" si="41"/>
        <v/>
      </c>
      <c r="V331" s="14" t="s">
        <v>761</v>
      </c>
    </row>
    <row r="332" spans="2:22" x14ac:dyDescent="0.25">
      <c r="B332" s="20" t="s">
        <v>25</v>
      </c>
      <c r="C332" s="17"/>
      <c r="D332" s="86" t="str">
        <f>INDEX(Cad_Natureza!$B$3:$C$52,MATCH('2025'!F332,Cad_Natureza!$C$3:$C$52,0),MATCH('2025'!D$2,Cad_Natureza!$B$3:$C$3,0))</f>
        <v>OPF2</v>
      </c>
      <c r="E332" s="84" t="s">
        <v>371</v>
      </c>
      <c r="F332" s="85" t="s">
        <v>741</v>
      </c>
      <c r="G332" s="86" t="s">
        <v>25</v>
      </c>
      <c r="H332" s="87">
        <v>45791</v>
      </c>
      <c r="I332" s="87"/>
      <c r="J332" s="79" t="s">
        <v>184</v>
      </c>
      <c r="K332" s="62">
        <v>-50</v>
      </c>
      <c r="L332" s="68">
        <v>1360.15</v>
      </c>
      <c r="M332" s="17"/>
      <c r="N332" s="21" t="str">
        <f t="shared" si="35"/>
        <v>MCSOPF2CPF - Desp. Transporte / Combustível</v>
      </c>
      <c r="O332" s="21" t="str">
        <f t="shared" si="36"/>
        <v>OPF2CPF - Desp. Transporte / Combustível</v>
      </c>
      <c r="P332" s="21" t="str">
        <f t="shared" si="37"/>
        <v>MCSOPF2CPF - Desp. Transporte / Combustível</v>
      </c>
      <c r="Q332" s="21" t="str">
        <f t="shared" si="38"/>
        <v>MCSOPF2</v>
      </c>
      <c r="R332" s="21" t="str">
        <f t="shared" si="39"/>
        <v>MCSOPF2</v>
      </c>
      <c r="S332" s="17"/>
      <c r="T332" s="24">
        <f t="shared" si="40"/>
        <v>45778</v>
      </c>
      <c r="U332" s="24" t="str">
        <f t="shared" si="41"/>
        <v/>
      </c>
      <c r="V332" s="14" t="s">
        <v>761</v>
      </c>
    </row>
    <row r="333" spans="2:22" x14ac:dyDescent="0.25">
      <c r="B333" s="20" t="s">
        <v>25</v>
      </c>
      <c r="C333" s="17"/>
      <c r="D333" s="86" t="str">
        <f>INDEX(Cad_Natureza!$B$3:$C$52,MATCH('2025'!F333,Cad_Natureza!$C$3:$C$52,0),MATCH('2025'!D$2,Cad_Natureza!$B$3:$C$3,0))</f>
        <v>OPF1</v>
      </c>
      <c r="E333" s="84" t="s">
        <v>372</v>
      </c>
      <c r="F333" s="85" t="s">
        <v>744</v>
      </c>
      <c r="G333" s="86" t="s">
        <v>25</v>
      </c>
      <c r="H333" s="87">
        <v>45791</v>
      </c>
      <c r="I333" s="87"/>
      <c r="J333" s="79" t="s">
        <v>459</v>
      </c>
      <c r="K333" s="62">
        <v>-4.8</v>
      </c>
      <c r="L333" s="68">
        <v>1355.3500000000001</v>
      </c>
      <c r="M333" s="17"/>
      <c r="N333" s="21" t="str">
        <f t="shared" si="35"/>
        <v>MCSOPF1CPF - Desp. Alimentação / Refeição</v>
      </c>
      <c r="O333" s="21" t="str">
        <f t="shared" si="36"/>
        <v>OPF1CPF - Desp. Alimentação / Refeição</v>
      </c>
      <c r="P333" s="21" t="str">
        <f t="shared" si="37"/>
        <v>MCSOPF1CPF - Desp. Alimentação / Refeição</v>
      </c>
      <c r="Q333" s="21" t="str">
        <f t="shared" si="38"/>
        <v>MCSOPF1</v>
      </c>
      <c r="R333" s="21" t="str">
        <f t="shared" si="39"/>
        <v>MCSOPF1</v>
      </c>
      <c r="S333" s="17"/>
      <c r="T333" s="24">
        <f t="shared" si="40"/>
        <v>45778</v>
      </c>
      <c r="U333" s="24" t="str">
        <f t="shared" si="41"/>
        <v/>
      </c>
      <c r="V333" s="14" t="s">
        <v>761</v>
      </c>
    </row>
    <row r="334" spans="2:22" x14ac:dyDescent="0.25">
      <c r="B334" s="20" t="s">
        <v>25</v>
      </c>
      <c r="C334" s="17"/>
      <c r="D334" s="86" t="str">
        <f>INDEX(Cad_Natureza!$B$3:$C$52,MATCH('2025'!F334,Cad_Natureza!$C$3:$C$52,0),MATCH('2025'!D$2,Cad_Natureza!$B$3:$C$3,0))</f>
        <v>OPF1</v>
      </c>
      <c r="E334" s="84" t="s">
        <v>373</v>
      </c>
      <c r="F334" s="85" t="s">
        <v>744</v>
      </c>
      <c r="G334" s="86" t="s">
        <v>25</v>
      </c>
      <c r="H334" s="87">
        <v>45791</v>
      </c>
      <c r="I334" s="87"/>
      <c r="J334" s="79" t="s">
        <v>182</v>
      </c>
      <c r="K334" s="62">
        <v>-23</v>
      </c>
      <c r="L334" s="68">
        <v>1332.3500000000001</v>
      </c>
      <c r="M334" s="17"/>
      <c r="N334" s="21" t="str">
        <f t="shared" si="35"/>
        <v>MCSOPF1CPF - Desp. Alimentação / Refeição</v>
      </c>
      <c r="O334" s="21" t="str">
        <f t="shared" si="36"/>
        <v>OPF1CPF - Desp. Alimentação / Refeição</v>
      </c>
      <c r="P334" s="21" t="str">
        <f t="shared" si="37"/>
        <v>MCSOPF1CPF - Desp. Alimentação / Refeição</v>
      </c>
      <c r="Q334" s="21" t="str">
        <f t="shared" si="38"/>
        <v>MCSOPF1</v>
      </c>
      <c r="R334" s="21" t="str">
        <f t="shared" si="39"/>
        <v>MCSOPF1</v>
      </c>
      <c r="S334" s="17"/>
      <c r="T334" s="24">
        <f t="shared" si="40"/>
        <v>45778</v>
      </c>
      <c r="U334" s="24" t="str">
        <f t="shared" si="41"/>
        <v/>
      </c>
      <c r="V334" s="14" t="s">
        <v>761</v>
      </c>
    </row>
    <row r="335" spans="2:22" x14ac:dyDescent="0.25">
      <c r="B335" s="20" t="s">
        <v>25</v>
      </c>
      <c r="C335" s="17"/>
      <c r="D335" s="86" t="str">
        <f>INDEX(Cad_Natureza!$B$3:$C$52,MATCH('2025'!F335,Cad_Natureza!$C$3:$C$52,0),MATCH('2025'!D$2,Cad_Natureza!$B$3:$C$3,0))</f>
        <v>GAST1</v>
      </c>
      <c r="E335" s="84" t="s">
        <v>374</v>
      </c>
      <c r="F335" s="85" t="s">
        <v>742</v>
      </c>
      <c r="G335" s="86" t="s">
        <v>25</v>
      </c>
      <c r="H335" s="87">
        <v>45791</v>
      </c>
      <c r="I335" s="87"/>
      <c r="J335" s="79" t="s">
        <v>185</v>
      </c>
      <c r="K335" s="62">
        <v>-9</v>
      </c>
      <c r="L335" s="68">
        <v>1323.3500000000001</v>
      </c>
      <c r="M335" s="17"/>
      <c r="N335" s="21" t="str">
        <f t="shared" si="35"/>
        <v>MCSGAST1CPF - Desp. Lazer e Entretenimento - Bares</v>
      </c>
      <c r="O335" s="21" t="str">
        <f t="shared" si="36"/>
        <v>GAST1CPF - Desp. Lazer e Entretenimento - Bares</v>
      </c>
      <c r="P335" s="21" t="str">
        <f t="shared" si="37"/>
        <v>MCSGAST1CPF - Desp. Lazer e Entretenimento - Bares</v>
      </c>
      <c r="Q335" s="21" t="str">
        <f t="shared" si="38"/>
        <v>MCSGAST1</v>
      </c>
      <c r="R335" s="21" t="str">
        <f t="shared" si="39"/>
        <v>MCSGAST1</v>
      </c>
      <c r="S335" s="17"/>
      <c r="T335" s="24">
        <f t="shared" si="40"/>
        <v>45778</v>
      </c>
      <c r="U335" s="24" t="str">
        <f t="shared" si="41"/>
        <v/>
      </c>
      <c r="V335" s="14" t="s">
        <v>761</v>
      </c>
    </row>
    <row r="336" spans="2:22" x14ac:dyDescent="0.25">
      <c r="B336" s="20" t="s">
        <v>25</v>
      </c>
      <c r="C336" s="17"/>
      <c r="D336" s="86" t="str">
        <f>INDEX(Cad_Natureza!$B$3:$C$52,MATCH('2025'!F336,Cad_Natureza!$C$3:$C$52,0),MATCH('2025'!D$2,Cad_Natureza!$B$3:$C$3,0))</f>
        <v>GAST1</v>
      </c>
      <c r="E336" s="84" t="s">
        <v>375</v>
      </c>
      <c r="F336" s="85" t="s">
        <v>742</v>
      </c>
      <c r="G336" s="86" t="s">
        <v>25</v>
      </c>
      <c r="H336" s="87">
        <v>45791</v>
      </c>
      <c r="I336" s="87"/>
      <c r="J336" s="79" t="s">
        <v>185</v>
      </c>
      <c r="K336" s="62">
        <v>-29.5</v>
      </c>
      <c r="L336" s="68">
        <v>1293.8500000000001</v>
      </c>
      <c r="M336" s="17"/>
      <c r="N336" s="21" t="str">
        <f t="shared" si="35"/>
        <v>MCSGAST1CPF - Desp. Lazer e Entretenimento - Bares</v>
      </c>
      <c r="O336" s="21" t="str">
        <f t="shared" si="36"/>
        <v>GAST1CPF - Desp. Lazer e Entretenimento - Bares</v>
      </c>
      <c r="P336" s="21" t="str">
        <f t="shared" si="37"/>
        <v>MCSGAST1CPF - Desp. Lazer e Entretenimento - Bares</v>
      </c>
      <c r="Q336" s="21" t="str">
        <f t="shared" si="38"/>
        <v>MCSGAST1</v>
      </c>
      <c r="R336" s="21" t="str">
        <f t="shared" si="39"/>
        <v>MCSGAST1</v>
      </c>
      <c r="S336" s="17"/>
      <c r="T336" s="24">
        <f t="shared" si="40"/>
        <v>45778</v>
      </c>
      <c r="U336" s="24" t="str">
        <f t="shared" si="41"/>
        <v/>
      </c>
      <c r="V336" s="14" t="s">
        <v>761</v>
      </c>
    </row>
    <row r="337" spans="2:22" x14ac:dyDescent="0.25">
      <c r="B337" s="20" t="s">
        <v>25</v>
      </c>
      <c r="C337" s="17"/>
      <c r="D337" s="86" t="str">
        <f>INDEX(Cad_Natureza!$B$3:$C$52,MATCH('2025'!F337,Cad_Natureza!$C$3:$C$52,0),MATCH('2025'!D$2,Cad_Natureza!$B$3:$C$3,0))</f>
        <v>PENS1</v>
      </c>
      <c r="E337" s="84" t="s">
        <v>376</v>
      </c>
      <c r="F337" s="85" t="s">
        <v>717</v>
      </c>
      <c r="G337" s="86" t="s">
        <v>25</v>
      </c>
      <c r="H337" s="87">
        <v>45791</v>
      </c>
      <c r="I337" s="87"/>
      <c r="J337" s="78" t="s">
        <v>583</v>
      </c>
      <c r="K337" s="80">
        <v>-600</v>
      </c>
      <c r="L337" s="68">
        <v>693.85000000000014</v>
      </c>
      <c r="M337" s="17"/>
      <c r="N337" s="21" t="str">
        <f t="shared" si="35"/>
        <v>MCSPENS1CPF - Pensão - Aluguel</v>
      </c>
      <c r="O337" s="21" t="str">
        <f t="shared" si="36"/>
        <v>PENS1CPF - Pensão - Aluguel</v>
      </c>
      <c r="P337" s="21" t="str">
        <f t="shared" si="37"/>
        <v>MCSPENS1CPF - Pensão - Aluguel</v>
      </c>
      <c r="Q337" s="21" t="str">
        <f t="shared" si="38"/>
        <v>MCSPENS1</v>
      </c>
      <c r="R337" s="21" t="str">
        <f t="shared" si="39"/>
        <v>MCSPENS1</v>
      </c>
      <c r="S337" s="17"/>
      <c r="T337" s="24">
        <f t="shared" si="40"/>
        <v>45778</v>
      </c>
      <c r="U337" s="24" t="str">
        <f t="shared" si="41"/>
        <v/>
      </c>
      <c r="V337" s="14" t="s">
        <v>731</v>
      </c>
    </row>
    <row r="338" spans="2:22" x14ac:dyDescent="0.25">
      <c r="B338" s="20" t="s">
        <v>25</v>
      </c>
      <c r="C338" s="17"/>
      <c r="D338" s="86" t="str">
        <f>INDEX(Cad_Natureza!$B$3:$C$52,MATCH('2025'!F338,Cad_Natureza!$C$3:$C$52,0),MATCH('2025'!D$2,Cad_Natureza!$B$3:$C$3,0))</f>
        <v>OPF1</v>
      </c>
      <c r="E338" s="84" t="s">
        <v>377</v>
      </c>
      <c r="F338" s="85" t="s">
        <v>744</v>
      </c>
      <c r="G338" s="86" t="s">
        <v>25</v>
      </c>
      <c r="H338" s="87">
        <v>45792</v>
      </c>
      <c r="I338" s="87"/>
      <c r="J338" s="79" t="s">
        <v>182</v>
      </c>
      <c r="K338" s="62">
        <v>-23</v>
      </c>
      <c r="L338" s="68">
        <v>670.85000000000014</v>
      </c>
      <c r="M338" s="17"/>
      <c r="N338" s="21" t="str">
        <f t="shared" si="35"/>
        <v>MCSOPF1CPF - Desp. Alimentação / Refeição</v>
      </c>
      <c r="O338" s="21" t="str">
        <f t="shared" si="36"/>
        <v>OPF1CPF - Desp. Alimentação / Refeição</v>
      </c>
      <c r="P338" s="21" t="str">
        <f t="shared" si="37"/>
        <v>MCSOPF1CPF - Desp. Alimentação / Refeição</v>
      </c>
      <c r="Q338" s="21" t="str">
        <f t="shared" si="38"/>
        <v>MCSOPF1</v>
      </c>
      <c r="R338" s="21" t="str">
        <f t="shared" si="39"/>
        <v>MCSOPF1</v>
      </c>
      <c r="S338" s="17"/>
      <c r="T338" s="24">
        <f t="shared" si="40"/>
        <v>45778</v>
      </c>
      <c r="U338" s="24" t="str">
        <f t="shared" si="41"/>
        <v/>
      </c>
      <c r="V338" s="14" t="s">
        <v>761</v>
      </c>
    </row>
    <row r="339" spans="2:22" x14ac:dyDescent="0.25">
      <c r="B339" s="20" t="s">
        <v>25</v>
      </c>
      <c r="C339" s="17"/>
      <c r="D339" s="86" t="str">
        <f>INDEX(Cad_Natureza!$B$3:$C$52,MATCH('2025'!F339,Cad_Natureza!$C$3:$C$52,0),MATCH('2025'!D$2,Cad_Natureza!$B$3:$C$3,0))</f>
        <v>OPF1</v>
      </c>
      <c r="E339" s="84" t="s">
        <v>378</v>
      </c>
      <c r="F339" s="85" t="s">
        <v>744</v>
      </c>
      <c r="G339" s="86" t="s">
        <v>25</v>
      </c>
      <c r="H339" s="87">
        <v>45792</v>
      </c>
      <c r="I339" s="87"/>
      <c r="J339" s="79" t="s">
        <v>459</v>
      </c>
      <c r="K339" s="62">
        <v>-4.67</v>
      </c>
      <c r="L339" s="68">
        <v>666.18000000000018</v>
      </c>
      <c r="M339" s="17"/>
      <c r="N339" s="21" t="str">
        <f t="shared" si="35"/>
        <v>MCSOPF1CPF - Desp. Alimentação / Refeição</v>
      </c>
      <c r="O339" s="21" t="str">
        <f t="shared" si="36"/>
        <v>OPF1CPF - Desp. Alimentação / Refeição</v>
      </c>
      <c r="P339" s="21" t="str">
        <f t="shared" si="37"/>
        <v>MCSOPF1CPF - Desp. Alimentação / Refeição</v>
      </c>
      <c r="Q339" s="21" t="str">
        <f t="shared" si="38"/>
        <v>MCSOPF1</v>
      </c>
      <c r="R339" s="21" t="str">
        <f t="shared" si="39"/>
        <v>MCSOPF1</v>
      </c>
      <c r="S339" s="17"/>
      <c r="T339" s="24">
        <f t="shared" si="40"/>
        <v>45778</v>
      </c>
      <c r="U339" s="24" t="str">
        <f t="shared" si="41"/>
        <v/>
      </c>
      <c r="V339" s="14" t="s">
        <v>761</v>
      </c>
    </row>
    <row r="340" spans="2:22" x14ac:dyDescent="0.25">
      <c r="B340" s="20" t="s">
        <v>25</v>
      </c>
      <c r="C340" s="17"/>
      <c r="D340" s="86" t="str">
        <f>INDEX(Cad_Natureza!$B$3:$C$52,MATCH('2025'!F340,Cad_Natureza!$C$3:$C$52,0),MATCH('2025'!D$2,Cad_Natureza!$B$3:$C$3,0))</f>
        <v>GAST2</v>
      </c>
      <c r="E340" s="84" t="s">
        <v>379</v>
      </c>
      <c r="F340" s="85" t="s">
        <v>743</v>
      </c>
      <c r="G340" s="86" t="s">
        <v>25</v>
      </c>
      <c r="H340" s="87">
        <v>45792</v>
      </c>
      <c r="I340" s="87"/>
      <c r="J340" s="79" t="s">
        <v>185</v>
      </c>
      <c r="K340" s="62">
        <v>-35</v>
      </c>
      <c r="L340" s="68">
        <v>631.18000000000018</v>
      </c>
      <c r="M340" s="17"/>
      <c r="N340" s="21" t="str">
        <f t="shared" si="35"/>
        <v>MCSGAST2CPF - Desp. Lazer e Entretenimento - Cigarro</v>
      </c>
      <c r="O340" s="21" t="str">
        <f t="shared" si="36"/>
        <v>GAST2CPF - Desp. Lazer e Entretenimento - Cigarro</v>
      </c>
      <c r="P340" s="21" t="str">
        <f t="shared" si="37"/>
        <v>MCSGAST2CPF - Desp. Lazer e Entretenimento - Cigarro</v>
      </c>
      <c r="Q340" s="21" t="str">
        <f t="shared" si="38"/>
        <v>MCSGAST2</v>
      </c>
      <c r="R340" s="21" t="str">
        <f t="shared" si="39"/>
        <v>MCSGAST2</v>
      </c>
      <c r="S340" s="17"/>
      <c r="T340" s="24">
        <f t="shared" si="40"/>
        <v>45778</v>
      </c>
      <c r="U340" s="24" t="str">
        <f t="shared" si="41"/>
        <v/>
      </c>
      <c r="V340" s="14" t="s">
        <v>761</v>
      </c>
    </row>
    <row r="341" spans="2:22" x14ac:dyDescent="0.25">
      <c r="B341" s="20" t="s">
        <v>25</v>
      </c>
      <c r="C341" s="17"/>
      <c r="D341" s="86" t="str">
        <f>INDEX(Cad_Natureza!$B$3:$C$52,MATCH('2025'!F341,Cad_Natureza!$C$3:$C$52,0),MATCH('2025'!D$2,Cad_Natureza!$B$3:$C$3,0))</f>
        <v>GAST1</v>
      </c>
      <c r="E341" s="84" t="s">
        <v>380</v>
      </c>
      <c r="F341" s="85" t="s">
        <v>742</v>
      </c>
      <c r="G341" s="86" t="s">
        <v>25</v>
      </c>
      <c r="H341" s="87">
        <v>45792</v>
      </c>
      <c r="I341" s="87"/>
      <c r="J341" s="79" t="s">
        <v>185</v>
      </c>
      <c r="K341" s="62">
        <v>-42.5</v>
      </c>
      <c r="L341" s="68">
        <v>588.68000000000018</v>
      </c>
      <c r="M341" s="17"/>
      <c r="N341" s="21" t="str">
        <f t="shared" si="35"/>
        <v>MCSGAST1CPF - Desp. Lazer e Entretenimento - Bares</v>
      </c>
      <c r="O341" s="21" t="str">
        <f t="shared" si="36"/>
        <v>GAST1CPF - Desp. Lazer e Entretenimento - Bares</v>
      </c>
      <c r="P341" s="21" t="str">
        <f t="shared" si="37"/>
        <v>MCSGAST1CPF - Desp. Lazer e Entretenimento - Bares</v>
      </c>
      <c r="Q341" s="21" t="str">
        <f t="shared" si="38"/>
        <v>MCSGAST1</v>
      </c>
      <c r="R341" s="21" t="str">
        <f t="shared" si="39"/>
        <v>MCSGAST1</v>
      </c>
      <c r="S341" s="17"/>
      <c r="T341" s="24">
        <f t="shared" si="40"/>
        <v>45778</v>
      </c>
      <c r="U341" s="24" t="str">
        <f t="shared" si="41"/>
        <v/>
      </c>
      <c r="V341" s="14" t="s">
        <v>761</v>
      </c>
    </row>
    <row r="342" spans="2:22" x14ac:dyDescent="0.25">
      <c r="B342" s="20" t="s">
        <v>25</v>
      </c>
      <c r="C342" s="17"/>
      <c r="D342" s="86" t="str">
        <f>INDEX(Cad_Natureza!$B$3:$C$52,MATCH('2025'!F342,Cad_Natureza!$C$3:$C$52,0),MATCH('2025'!D$2,Cad_Natureza!$B$3:$C$3,0))</f>
        <v>DESP2</v>
      </c>
      <c r="E342" s="84" t="s">
        <v>222</v>
      </c>
      <c r="F342" s="85" t="s">
        <v>739</v>
      </c>
      <c r="G342" s="86" t="s">
        <v>25</v>
      </c>
      <c r="H342" s="87">
        <v>45792</v>
      </c>
      <c r="I342" s="87"/>
      <c r="J342" s="79" t="s">
        <v>355</v>
      </c>
      <c r="K342" s="62">
        <v>-95.9</v>
      </c>
      <c r="L342" s="68">
        <v>492.7800000000002</v>
      </c>
      <c r="M342" s="17"/>
      <c r="N342" s="21" t="str">
        <f t="shared" si="35"/>
        <v>MCSDESP2CPF - Desp. Telefone / Internet</v>
      </c>
      <c r="O342" s="21" t="str">
        <f t="shared" si="36"/>
        <v>DESP2CPF - Desp. Telefone / Internet</v>
      </c>
      <c r="P342" s="21" t="str">
        <f t="shared" si="37"/>
        <v>MCSDESP2CPF - Desp. Telefone / Internet</v>
      </c>
      <c r="Q342" s="21" t="str">
        <f t="shared" si="38"/>
        <v>MCSDESP2</v>
      </c>
      <c r="R342" s="21" t="str">
        <f t="shared" si="39"/>
        <v>MCSDESP2</v>
      </c>
      <c r="S342" s="17"/>
      <c r="T342" s="24">
        <f t="shared" si="40"/>
        <v>45778</v>
      </c>
      <c r="U342" s="24" t="str">
        <f t="shared" si="41"/>
        <v/>
      </c>
      <c r="V342" s="14" t="s">
        <v>761</v>
      </c>
    </row>
    <row r="343" spans="2:22" x14ac:dyDescent="0.25">
      <c r="B343" s="20" t="s">
        <v>25</v>
      </c>
      <c r="C343" s="17"/>
      <c r="D343" s="86" t="str">
        <f>INDEX(Cad_Natureza!$B$3:$C$52,MATCH('2025'!F343,Cad_Natureza!$C$3:$C$52,0),MATCH('2025'!D$2,Cad_Natureza!$B$3:$C$3,0))</f>
        <v>OPF1</v>
      </c>
      <c r="E343" s="84" t="s">
        <v>381</v>
      </c>
      <c r="F343" s="85" t="s">
        <v>744</v>
      </c>
      <c r="G343" s="86" t="s">
        <v>25</v>
      </c>
      <c r="H343" s="87">
        <v>45793</v>
      </c>
      <c r="I343" s="87"/>
      <c r="J343" s="79" t="s">
        <v>182</v>
      </c>
      <c r="K343" s="62">
        <v>-23</v>
      </c>
      <c r="L343" s="68">
        <v>469.7800000000002</v>
      </c>
      <c r="M343" s="17"/>
      <c r="N343" s="21" t="str">
        <f t="shared" si="35"/>
        <v>MCSOPF1CPF - Desp. Alimentação / Refeição</v>
      </c>
      <c r="O343" s="21" t="str">
        <f t="shared" si="36"/>
        <v>OPF1CPF - Desp. Alimentação / Refeição</v>
      </c>
      <c r="P343" s="21" t="str">
        <f t="shared" si="37"/>
        <v>MCSOPF1CPF - Desp. Alimentação / Refeição</v>
      </c>
      <c r="Q343" s="21" t="str">
        <f t="shared" si="38"/>
        <v>MCSOPF1</v>
      </c>
      <c r="R343" s="21" t="str">
        <f t="shared" si="39"/>
        <v>MCSOPF1</v>
      </c>
      <c r="S343" s="17"/>
      <c r="T343" s="24">
        <f t="shared" si="40"/>
        <v>45778</v>
      </c>
      <c r="U343" s="24" t="str">
        <f t="shared" si="41"/>
        <v/>
      </c>
      <c r="V343" s="14" t="s">
        <v>761</v>
      </c>
    </row>
    <row r="344" spans="2:22" x14ac:dyDescent="0.25">
      <c r="B344" s="20" t="s">
        <v>25</v>
      </c>
      <c r="C344" s="17"/>
      <c r="D344" s="86" t="str">
        <f>INDEX(Cad_Natureza!$B$3:$C$52,MATCH('2025'!F344,Cad_Natureza!$C$3:$C$52,0),MATCH('2025'!D$2,Cad_Natureza!$B$3:$C$3,0))</f>
        <v>GAST1</v>
      </c>
      <c r="E344" s="84" t="s">
        <v>382</v>
      </c>
      <c r="F344" s="85" t="s">
        <v>742</v>
      </c>
      <c r="G344" s="86" t="s">
        <v>25</v>
      </c>
      <c r="H344" s="87">
        <v>45793</v>
      </c>
      <c r="I344" s="87"/>
      <c r="J344" s="79" t="s">
        <v>185</v>
      </c>
      <c r="K344" s="62">
        <v>-10.5</v>
      </c>
      <c r="L344" s="68">
        <v>459.2800000000002</v>
      </c>
      <c r="M344" s="17"/>
      <c r="N344" s="21" t="str">
        <f t="shared" si="35"/>
        <v>MCSGAST1CPF - Desp. Lazer e Entretenimento - Bares</v>
      </c>
      <c r="O344" s="21" t="str">
        <f t="shared" si="36"/>
        <v>GAST1CPF - Desp. Lazer e Entretenimento - Bares</v>
      </c>
      <c r="P344" s="21" t="str">
        <f t="shared" si="37"/>
        <v>MCSGAST1CPF - Desp. Lazer e Entretenimento - Bares</v>
      </c>
      <c r="Q344" s="21" t="str">
        <f t="shared" si="38"/>
        <v>MCSGAST1</v>
      </c>
      <c r="R344" s="21" t="str">
        <f t="shared" si="39"/>
        <v>MCSGAST1</v>
      </c>
      <c r="S344" s="17"/>
      <c r="T344" s="24">
        <f t="shared" si="40"/>
        <v>45778</v>
      </c>
      <c r="U344" s="24" t="str">
        <f t="shared" si="41"/>
        <v/>
      </c>
      <c r="V344" s="14" t="s">
        <v>761</v>
      </c>
    </row>
    <row r="345" spans="2:22" x14ac:dyDescent="0.25">
      <c r="B345" s="20" t="s">
        <v>25</v>
      </c>
      <c r="C345" s="17"/>
      <c r="D345" s="86" t="str">
        <f>INDEX(Cad_Natureza!$B$3:$C$52,MATCH('2025'!F345,Cad_Natureza!$C$3:$C$52,0),MATCH('2025'!D$2,Cad_Natureza!$B$3:$C$3,0))</f>
        <v>GAST1</v>
      </c>
      <c r="E345" s="84" t="s">
        <v>383</v>
      </c>
      <c r="F345" s="85" t="s">
        <v>742</v>
      </c>
      <c r="G345" s="86" t="s">
        <v>25</v>
      </c>
      <c r="H345" s="87">
        <v>45793</v>
      </c>
      <c r="I345" s="87"/>
      <c r="J345" s="79" t="s">
        <v>185</v>
      </c>
      <c r="K345" s="62">
        <v>-13.98</v>
      </c>
      <c r="L345" s="68">
        <v>445.30000000000018</v>
      </c>
      <c r="M345" s="17"/>
      <c r="N345" s="21" t="str">
        <f t="shared" si="35"/>
        <v>MCSGAST1CPF - Desp. Lazer e Entretenimento - Bares</v>
      </c>
      <c r="O345" s="21" t="str">
        <f t="shared" si="36"/>
        <v>GAST1CPF - Desp. Lazer e Entretenimento - Bares</v>
      </c>
      <c r="P345" s="21" t="str">
        <f t="shared" si="37"/>
        <v>MCSGAST1CPF - Desp. Lazer e Entretenimento - Bares</v>
      </c>
      <c r="Q345" s="21" t="str">
        <f t="shared" si="38"/>
        <v>MCSGAST1</v>
      </c>
      <c r="R345" s="21" t="str">
        <f t="shared" si="39"/>
        <v>MCSGAST1</v>
      </c>
      <c r="S345" s="17"/>
      <c r="T345" s="24">
        <f t="shared" si="40"/>
        <v>45778</v>
      </c>
      <c r="U345" s="24" t="str">
        <f t="shared" si="41"/>
        <v/>
      </c>
      <c r="V345" s="14" t="s">
        <v>761</v>
      </c>
    </row>
    <row r="346" spans="2:22" x14ac:dyDescent="0.25">
      <c r="B346" s="20" t="s">
        <v>25</v>
      </c>
      <c r="C346" s="17"/>
      <c r="D346" s="86" t="str">
        <f>INDEX(Cad_Natureza!$B$3:$C$52,MATCH('2025'!F346,Cad_Natureza!$C$3:$C$52,0),MATCH('2025'!D$2,Cad_Natureza!$B$3:$C$3,0))</f>
        <v>PENS6</v>
      </c>
      <c r="E346" s="84" t="s">
        <v>384</v>
      </c>
      <c r="F346" s="85" t="s">
        <v>37</v>
      </c>
      <c r="G346" s="86" t="s">
        <v>25</v>
      </c>
      <c r="H346" s="87">
        <v>45796</v>
      </c>
      <c r="I346" s="87"/>
      <c r="J346" s="78" t="s">
        <v>196</v>
      </c>
      <c r="K346" s="80">
        <v>-13.99</v>
      </c>
      <c r="L346" s="68">
        <v>431.31000000000017</v>
      </c>
      <c r="M346" s="17"/>
      <c r="N346" s="21" t="str">
        <f t="shared" si="35"/>
        <v>MCSPENS6CPF - Pensão - Farmácia e Saúde</v>
      </c>
      <c r="O346" s="21" t="str">
        <f t="shared" si="36"/>
        <v>PENS6CPF - Pensão - Farmácia e Saúde</v>
      </c>
      <c r="P346" s="21" t="str">
        <f t="shared" si="37"/>
        <v>MCSPENS6CPF - Pensão - Farmácia e Saúde</v>
      </c>
      <c r="Q346" s="21" t="str">
        <f t="shared" si="38"/>
        <v>MCSPENS6</v>
      </c>
      <c r="R346" s="21" t="str">
        <f t="shared" si="39"/>
        <v>MCSPENS6</v>
      </c>
      <c r="S346" s="17"/>
      <c r="T346" s="24">
        <f t="shared" si="40"/>
        <v>45778</v>
      </c>
      <c r="U346" s="24" t="str">
        <f t="shared" si="41"/>
        <v/>
      </c>
      <c r="V346" s="14" t="s">
        <v>731</v>
      </c>
    </row>
    <row r="347" spans="2:22" x14ac:dyDescent="0.25">
      <c r="B347" s="20" t="s">
        <v>25</v>
      </c>
      <c r="C347" s="17"/>
      <c r="D347" s="86" t="str">
        <f>INDEX(Cad_Natureza!$B$3:$C$52,MATCH('2025'!F347,Cad_Natureza!$C$3:$C$52,0),MATCH('2025'!D$2,Cad_Natureza!$B$3:$C$3,0))</f>
        <v>OPF2</v>
      </c>
      <c r="E347" s="84" t="s">
        <v>385</v>
      </c>
      <c r="F347" s="85" t="s">
        <v>741</v>
      </c>
      <c r="G347" s="86" t="s">
        <v>25</v>
      </c>
      <c r="H347" s="87">
        <v>45796</v>
      </c>
      <c r="I347" s="87"/>
      <c r="J347" s="79" t="s">
        <v>184</v>
      </c>
      <c r="K347" s="62">
        <v>-50</v>
      </c>
      <c r="L347" s="68">
        <v>381.31000000000017</v>
      </c>
      <c r="M347" s="17"/>
      <c r="N347" s="21" t="str">
        <f t="shared" si="35"/>
        <v>MCSOPF2CPF - Desp. Transporte / Combustível</v>
      </c>
      <c r="O347" s="21" t="str">
        <f t="shared" si="36"/>
        <v>OPF2CPF - Desp. Transporte / Combustível</v>
      </c>
      <c r="P347" s="21" t="str">
        <f t="shared" si="37"/>
        <v>MCSOPF2CPF - Desp. Transporte / Combustível</v>
      </c>
      <c r="Q347" s="21" t="str">
        <f t="shared" si="38"/>
        <v>MCSOPF2</v>
      </c>
      <c r="R347" s="21" t="str">
        <f t="shared" si="39"/>
        <v>MCSOPF2</v>
      </c>
      <c r="S347" s="17"/>
      <c r="T347" s="24">
        <f t="shared" si="40"/>
        <v>45778</v>
      </c>
      <c r="U347" s="24" t="str">
        <f t="shared" si="41"/>
        <v/>
      </c>
      <c r="V347" s="14" t="s">
        <v>761</v>
      </c>
    </row>
    <row r="348" spans="2:22" x14ac:dyDescent="0.25">
      <c r="B348" s="20" t="s">
        <v>25</v>
      </c>
      <c r="C348" s="17"/>
      <c r="D348" s="86" t="str">
        <f>INDEX(Cad_Natureza!$B$3:$C$52,MATCH('2025'!F348,Cad_Natureza!$C$3:$C$52,0),MATCH('2025'!D$2,Cad_Natureza!$B$3:$C$3,0))</f>
        <v>OPF1</v>
      </c>
      <c r="E348" s="84" t="s">
        <v>386</v>
      </c>
      <c r="F348" s="85" t="s">
        <v>744</v>
      </c>
      <c r="G348" s="86" t="s">
        <v>25</v>
      </c>
      <c r="H348" s="87">
        <v>45796</v>
      </c>
      <c r="I348" s="87"/>
      <c r="J348" s="79" t="s">
        <v>182</v>
      </c>
      <c r="K348" s="62">
        <v>-23</v>
      </c>
      <c r="L348" s="68">
        <v>358.31000000000017</v>
      </c>
      <c r="M348" s="17"/>
      <c r="N348" s="21" t="str">
        <f t="shared" si="35"/>
        <v>MCSOPF1CPF - Desp. Alimentação / Refeição</v>
      </c>
      <c r="O348" s="21" t="str">
        <f t="shared" si="36"/>
        <v>OPF1CPF - Desp. Alimentação / Refeição</v>
      </c>
      <c r="P348" s="21" t="str">
        <f t="shared" si="37"/>
        <v>MCSOPF1CPF - Desp. Alimentação / Refeição</v>
      </c>
      <c r="Q348" s="21" t="str">
        <f t="shared" si="38"/>
        <v>MCSOPF1</v>
      </c>
      <c r="R348" s="21" t="str">
        <f t="shared" si="39"/>
        <v>MCSOPF1</v>
      </c>
      <c r="S348" s="17"/>
      <c r="T348" s="24">
        <f t="shared" si="40"/>
        <v>45778</v>
      </c>
      <c r="U348" s="24" t="str">
        <f t="shared" si="41"/>
        <v/>
      </c>
      <c r="V348" s="14" t="s">
        <v>761</v>
      </c>
    </row>
    <row r="349" spans="2:22" x14ac:dyDescent="0.25">
      <c r="B349" s="20" t="s">
        <v>25</v>
      </c>
      <c r="C349" s="17"/>
      <c r="D349" s="86" t="str">
        <f>INDEX(Cad_Natureza!$B$3:$C$52,MATCH('2025'!F349,Cad_Natureza!$C$3:$C$52,0),MATCH('2025'!D$2,Cad_Natureza!$B$3:$C$3,0))</f>
        <v>OPF1</v>
      </c>
      <c r="E349" s="84" t="s">
        <v>387</v>
      </c>
      <c r="F349" s="85" t="s">
        <v>744</v>
      </c>
      <c r="G349" s="86" t="s">
        <v>25</v>
      </c>
      <c r="H349" s="87">
        <v>45797</v>
      </c>
      <c r="I349" s="87"/>
      <c r="J349" s="79" t="s">
        <v>459</v>
      </c>
      <c r="K349" s="62">
        <v>-12.5</v>
      </c>
      <c r="L349" s="68">
        <v>345.81000000000017</v>
      </c>
      <c r="M349" s="17"/>
      <c r="N349" s="21" t="str">
        <f t="shared" si="35"/>
        <v>MCSOPF1CPF - Desp. Alimentação / Refeição</v>
      </c>
      <c r="O349" s="21" t="str">
        <f t="shared" si="36"/>
        <v>OPF1CPF - Desp. Alimentação / Refeição</v>
      </c>
      <c r="P349" s="21" t="str">
        <f t="shared" si="37"/>
        <v>MCSOPF1CPF - Desp. Alimentação / Refeição</v>
      </c>
      <c r="Q349" s="21" t="str">
        <f t="shared" si="38"/>
        <v>MCSOPF1</v>
      </c>
      <c r="R349" s="21" t="str">
        <f t="shared" si="39"/>
        <v>MCSOPF1</v>
      </c>
      <c r="S349" s="17"/>
      <c r="T349" s="24">
        <f t="shared" si="40"/>
        <v>45778</v>
      </c>
      <c r="U349" s="24" t="str">
        <f t="shared" si="41"/>
        <v/>
      </c>
      <c r="V349" s="14" t="s">
        <v>761</v>
      </c>
    </row>
    <row r="350" spans="2:22" x14ac:dyDescent="0.25">
      <c r="B350" s="20" t="s">
        <v>25</v>
      </c>
      <c r="C350" s="17"/>
      <c r="D350" s="86" t="str">
        <f>INDEX(Cad_Natureza!$B$3:$C$52,MATCH('2025'!F350,Cad_Natureza!$C$3:$C$52,0),MATCH('2025'!D$2,Cad_Natureza!$B$3:$C$3,0))</f>
        <v>OPF1</v>
      </c>
      <c r="E350" s="84" t="s">
        <v>387</v>
      </c>
      <c r="F350" s="85" t="s">
        <v>744</v>
      </c>
      <c r="G350" s="86" t="s">
        <v>25</v>
      </c>
      <c r="H350" s="87">
        <v>45797</v>
      </c>
      <c r="I350" s="87"/>
      <c r="J350" s="79" t="s">
        <v>459</v>
      </c>
      <c r="K350" s="62">
        <v>-2.99</v>
      </c>
      <c r="L350" s="68">
        <v>342.82000000000016</v>
      </c>
      <c r="M350" s="17"/>
      <c r="N350" s="21" t="str">
        <f t="shared" si="35"/>
        <v>MCSOPF1CPF - Desp. Alimentação / Refeição</v>
      </c>
      <c r="O350" s="21" t="str">
        <f t="shared" si="36"/>
        <v>OPF1CPF - Desp. Alimentação / Refeição</v>
      </c>
      <c r="P350" s="21" t="str">
        <f t="shared" si="37"/>
        <v>MCSOPF1CPF - Desp. Alimentação / Refeição</v>
      </c>
      <c r="Q350" s="21" t="str">
        <f t="shared" si="38"/>
        <v>MCSOPF1</v>
      </c>
      <c r="R350" s="21" t="str">
        <f t="shared" si="39"/>
        <v>MCSOPF1</v>
      </c>
      <c r="S350" s="17"/>
      <c r="T350" s="24">
        <f t="shared" si="40"/>
        <v>45778</v>
      </c>
      <c r="U350" s="24" t="str">
        <f t="shared" si="41"/>
        <v/>
      </c>
      <c r="V350" s="14" t="s">
        <v>761</v>
      </c>
    </row>
    <row r="351" spans="2:22" x14ac:dyDescent="0.25">
      <c r="B351" s="20" t="s">
        <v>25</v>
      </c>
      <c r="C351" s="17"/>
      <c r="D351" s="86" t="str">
        <f>INDEX(Cad_Natureza!$B$3:$C$52,MATCH('2025'!F351,Cad_Natureza!$C$3:$C$52,0),MATCH('2025'!D$2,Cad_Natureza!$B$3:$C$3,0))</f>
        <v>GAST1</v>
      </c>
      <c r="E351" s="84" t="s">
        <v>388</v>
      </c>
      <c r="F351" s="85" t="s">
        <v>742</v>
      </c>
      <c r="G351" s="86" t="s">
        <v>25</v>
      </c>
      <c r="H351" s="87">
        <v>45797</v>
      </c>
      <c r="I351" s="87"/>
      <c r="J351" s="79" t="s">
        <v>185</v>
      </c>
      <c r="K351" s="62">
        <v>-12.9</v>
      </c>
      <c r="L351" s="68">
        <v>329.92000000000019</v>
      </c>
      <c r="M351" s="17"/>
      <c r="N351" s="21" t="str">
        <f t="shared" si="35"/>
        <v>MCSGAST1CPF - Desp. Lazer e Entretenimento - Bares</v>
      </c>
      <c r="O351" s="21" t="str">
        <f t="shared" si="36"/>
        <v>GAST1CPF - Desp. Lazer e Entretenimento - Bares</v>
      </c>
      <c r="P351" s="21" t="str">
        <f t="shared" si="37"/>
        <v>MCSGAST1CPF - Desp. Lazer e Entretenimento - Bares</v>
      </c>
      <c r="Q351" s="21" t="str">
        <f t="shared" si="38"/>
        <v>MCSGAST1</v>
      </c>
      <c r="R351" s="21" t="str">
        <f t="shared" si="39"/>
        <v>MCSGAST1</v>
      </c>
      <c r="S351" s="17"/>
      <c r="T351" s="24">
        <f t="shared" si="40"/>
        <v>45778</v>
      </c>
      <c r="U351" s="24" t="str">
        <f t="shared" si="41"/>
        <v/>
      </c>
      <c r="V351" s="14" t="s">
        <v>761</v>
      </c>
    </row>
    <row r="352" spans="2:22" x14ac:dyDescent="0.25">
      <c r="B352" s="20" t="s">
        <v>25</v>
      </c>
      <c r="C352" s="17"/>
      <c r="D352" s="86" t="str">
        <f>INDEX(Cad_Natureza!$B$3:$C$52,MATCH('2025'!F352,Cad_Natureza!$C$3:$C$52,0),MATCH('2025'!D$2,Cad_Natureza!$B$3:$C$3,0))</f>
        <v>OPF1</v>
      </c>
      <c r="E352" s="84" t="s">
        <v>389</v>
      </c>
      <c r="F352" s="85" t="s">
        <v>744</v>
      </c>
      <c r="G352" s="86" t="s">
        <v>25</v>
      </c>
      <c r="H352" s="87">
        <v>45797</v>
      </c>
      <c r="I352" s="87"/>
      <c r="J352" s="79" t="s">
        <v>182</v>
      </c>
      <c r="K352" s="62">
        <v>-23</v>
      </c>
      <c r="L352" s="68">
        <v>306.92000000000019</v>
      </c>
      <c r="M352" s="17"/>
      <c r="N352" s="21" t="str">
        <f t="shared" si="35"/>
        <v>MCSOPF1CPF - Desp. Alimentação / Refeição</v>
      </c>
      <c r="O352" s="21" t="str">
        <f t="shared" si="36"/>
        <v>OPF1CPF - Desp. Alimentação / Refeição</v>
      </c>
      <c r="P352" s="21" t="str">
        <f t="shared" si="37"/>
        <v>MCSOPF1CPF - Desp. Alimentação / Refeição</v>
      </c>
      <c r="Q352" s="21" t="str">
        <f t="shared" si="38"/>
        <v>MCSOPF1</v>
      </c>
      <c r="R352" s="21" t="str">
        <f t="shared" si="39"/>
        <v>MCSOPF1</v>
      </c>
      <c r="S352" s="17"/>
      <c r="T352" s="24">
        <f t="shared" si="40"/>
        <v>45778</v>
      </c>
      <c r="U352" s="24" t="str">
        <f t="shared" si="41"/>
        <v/>
      </c>
      <c r="V352" s="14" t="s">
        <v>761</v>
      </c>
    </row>
    <row r="353" spans="2:22" x14ac:dyDescent="0.25">
      <c r="B353" s="20" t="s">
        <v>25</v>
      </c>
      <c r="C353" s="17"/>
      <c r="D353" s="86" t="str">
        <f>INDEX(Cad_Natureza!$B$3:$C$52,MATCH('2025'!F353,Cad_Natureza!$C$3:$C$52,0),MATCH('2025'!D$2,Cad_Natureza!$B$3:$C$3,0))</f>
        <v>GAST1</v>
      </c>
      <c r="E353" s="84" t="s">
        <v>390</v>
      </c>
      <c r="F353" s="85" t="s">
        <v>742</v>
      </c>
      <c r="G353" s="86" t="s">
        <v>25</v>
      </c>
      <c r="H353" s="87">
        <v>45797</v>
      </c>
      <c r="I353" s="87"/>
      <c r="J353" s="79" t="s">
        <v>185</v>
      </c>
      <c r="K353" s="62">
        <v>-32.5</v>
      </c>
      <c r="L353" s="68">
        <v>274.42000000000019</v>
      </c>
      <c r="M353" s="17"/>
      <c r="N353" s="21" t="str">
        <f t="shared" si="35"/>
        <v>MCSGAST1CPF - Desp. Lazer e Entretenimento - Bares</v>
      </c>
      <c r="O353" s="21" t="str">
        <f t="shared" si="36"/>
        <v>GAST1CPF - Desp. Lazer e Entretenimento - Bares</v>
      </c>
      <c r="P353" s="21" t="str">
        <f t="shared" si="37"/>
        <v>MCSGAST1CPF - Desp. Lazer e Entretenimento - Bares</v>
      </c>
      <c r="Q353" s="21" t="str">
        <f t="shared" si="38"/>
        <v>MCSGAST1</v>
      </c>
      <c r="R353" s="21" t="str">
        <f t="shared" si="39"/>
        <v>MCSGAST1</v>
      </c>
      <c r="S353" s="17"/>
      <c r="T353" s="24">
        <f t="shared" si="40"/>
        <v>45778</v>
      </c>
      <c r="U353" s="24" t="str">
        <f t="shared" si="41"/>
        <v/>
      </c>
      <c r="V353" s="14" t="s">
        <v>761</v>
      </c>
    </row>
    <row r="354" spans="2:22" x14ac:dyDescent="0.25">
      <c r="B354" s="20" t="s">
        <v>25</v>
      </c>
      <c r="C354" s="17"/>
      <c r="D354" s="86" t="str">
        <f>INDEX(Cad_Natureza!$B$3:$C$52,MATCH('2025'!F354,Cad_Natureza!$C$3:$C$52,0),MATCH('2025'!D$2,Cad_Natureza!$B$3:$C$3,0))</f>
        <v>OPF1</v>
      </c>
      <c r="E354" s="84" t="s">
        <v>391</v>
      </c>
      <c r="F354" s="85" t="s">
        <v>744</v>
      </c>
      <c r="G354" s="86" t="s">
        <v>25</v>
      </c>
      <c r="H354" s="87">
        <v>45798</v>
      </c>
      <c r="I354" s="87"/>
      <c r="J354" s="79" t="s">
        <v>459</v>
      </c>
      <c r="K354" s="62">
        <v>-5.49</v>
      </c>
      <c r="L354" s="68">
        <v>268.93000000000018</v>
      </c>
      <c r="M354" s="17"/>
      <c r="N354" s="21" t="str">
        <f t="shared" si="35"/>
        <v>MCSOPF1CPF - Desp. Alimentação / Refeição</v>
      </c>
      <c r="O354" s="21" t="str">
        <f t="shared" si="36"/>
        <v>OPF1CPF - Desp. Alimentação / Refeição</v>
      </c>
      <c r="P354" s="21" t="str">
        <f t="shared" si="37"/>
        <v>MCSOPF1CPF - Desp. Alimentação / Refeição</v>
      </c>
      <c r="Q354" s="21" t="str">
        <f t="shared" si="38"/>
        <v>MCSOPF1</v>
      </c>
      <c r="R354" s="21" t="str">
        <f t="shared" si="39"/>
        <v>MCSOPF1</v>
      </c>
      <c r="S354" s="17"/>
      <c r="T354" s="24">
        <f t="shared" si="40"/>
        <v>45778</v>
      </c>
      <c r="U354" s="24" t="str">
        <f t="shared" si="41"/>
        <v/>
      </c>
      <c r="V354" s="14" t="s">
        <v>761</v>
      </c>
    </row>
    <row r="355" spans="2:22" x14ac:dyDescent="0.25">
      <c r="B355" s="20" t="s">
        <v>25</v>
      </c>
      <c r="C355" s="17"/>
      <c r="D355" s="86" t="str">
        <f>INDEX(Cad_Natureza!$B$3:$C$52,MATCH('2025'!F355,Cad_Natureza!$C$3:$C$52,0),MATCH('2025'!D$2,Cad_Natureza!$B$3:$C$3,0))</f>
        <v>OPF1</v>
      </c>
      <c r="E355" s="84" t="s">
        <v>392</v>
      </c>
      <c r="F355" s="85" t="s">
        <v>744</v>
      </c>
      <c r="G355" s="86" t="s">
        <v>25</v>
      </c>
      <c r="H355" s="87">
        <v>45798</v>
      </c>
      <c r="I355" s="87"/>
      <c r="J355" s="79" t="s">
        <v>182</v>
      </c>
      <c r="K355" s="62">
        <v>-23</v>
      </c>
      <c r="L355" s="68">
        <v>245.93000000000018</v>
      </c>
      <c r="M355" s="17"/>
      <c r="N355" s="21" t="str">
        <f t="shared" si="35"/>
        <v>MCSOPF1CPF - Desp. Alimentação / Refeição</v>
      </c>
      <c r="O355" s="21" t="str">
        <f t="shared" si="36"/>
        <v>OPF1CPF - Desp. Alimentação / Refeição</v>
      </c>
      <c r="P355" s="21" t="str">
        <f t="shared" si="37"/>
        <v>MCSOPF1CPF - Desp. Alimentação / Refeição</v>
      </c>
      <c r="Q355" s="21" t="str">
        <f t="shared" si="38"/>
        <v>MCSOPF1</v>
      </c>
      <c r="R355" s="21" t="str">
        <f t="shared" si="39"/>
        <v>MCSOPF1</v>
      </c>
      <c r="S355" s="17"/>
      <c r="T355" s="24">
        <f t="shared" si="40"/>
        <v>45778</v>
      </c>
      <c r="U355" s="24" t="str">
        <f t="shared" si="41"/>
        <v/>
      </c>
      <c r="V355" s="14" t="s">
        <v>761</v>
      </c>
    </row>
    <row r="356" spans="2:22" x14ac:dyDescent="0.25">
      <c r="B356" s="20" t="s">
        <v>25</v>
      </c>
      <c r="C356" s="17"/>
      <c r="D356" s="63" t="str">
        <f>INDEX(Cad_Natureza!$B$3:$C$52,MATCH('2025'!F356,Cad_Natureza!$C$3:$C$52,0),MATCH('2025'!D$2,Cad_Natureza!$B$3:$C$3,0))</f>
        <v>REC3</v>
      </c>
      <c r="E356" s="64" t="s">
        <v>393</v>
      </c>
      <c r="F356" s="65" t="s">
        <v>776</v>
      </c>
      <c r="G356" s="63" t="s">
        <v>25</v>
      </c>
      <c r="H356" s="66">
        <v>45798</v>
      </c>
      <c r="I356" s="66"/>
      <c r="J356" s="67" t="s">
        <v>612</v>
      </c>
      <c r="K356" s="68">
        <v>345</v>
      </c>
      <c r="L356" s="68">
        <v>590.93000000000018</v>
      </c>
      <c r="M356" s="17"/>
      <c r="N356" s="21" t="str">
        <f t="shared" si="35"/>
        <v>MCSREC3CPF - Ajuda de custo - Refeição</v>
      </c>
      <c r="O356" s="21" t="str">
        <f t="shared" si="36"/>
        <v>REC3CPF - Ajuda de custo - Refeição</v>
      </c>
      <c r="P356" s="21" t="str">
        <f t="shared" si="37"/>
        <v>MCSREC3CPF - Ajuda de custo - Refeição</v>
      </c>
      <c r="Q356" s="21" t="str">
        <f t="shared" si="38"/>
        <v>MCSREC3</v>
      </c>
      <c r="R356" s="21" t="str">
        <f t="shared" si="39"/>
        <v>MCSREC3</v>
      </c>
      <c r="S356" s="17"/>
      <c r="T356" s="24">
        <f t="shared" si="40"/>
        <v>45778</v>
      </c>
      <c r="U356" s="24" t="str">
        <f t="shared" si="41"/>
        <v/>
      </c>
      <c r="V356" s="14" t="s">
        <v>761</v>
      </c>
    </row>
    <row r="357" spans="2:22" x14ac:dyDescent="0.25">
      <c r="B357" s="20" t="s">
        <v>25</v>
      </c>
      <c r="C357" s="17"/>
      <c r="D357" s="86" t="str">
        <f>INDEX(Cad_Natureza!$B$3:$C$52,MATCH('2025'!F357,Cad_Natureza!$C$3:$C$52,0),MATCH('2025'!D$2,Cad_Natureza!$B$3:$C$3,0))</f>
        <v>OPF2</v>
      </c>
      <c r="E357" s="84" t="s">
        <v>394</v>
      </c>
      <c r="F357" s="85" t="s">
        <v>741</v>
      </c>
      <c r="G357" s="86" t="s">
        <v>25</v>
      </c>
      <c r="H357" s="87">
        <v>45798</v>
      </c>
      <c r="I357" s="87"/>
      <c r="J357" s="79" t="s">
        <v>184</v>
      </c>
      <c r="K357" s="62">
        <v>-50</v>
      </c>
      <c r="L357" s="68">
        <v>540.93000000000018</v>
      </c>
      <c r="M357" s="17"/>
      <c r="N357" s="21" t="str">
        <f t="shared" si="35"/>
        <v>MCSOPF2CPF - Desp. Transporte / Combustível</v>
      </c>
      <c r="O357" s="21" t="str">
        <f t="shared" si="36"/>
        <v>OPF2CPF - Desp. Transporte / Combustível</v>
      </c>
      <c r="P357" s="21" t="str">
        <f t="shared" si="37"/>
        <v>MCSOPF2CPF - Desp. Transporte / Combustível</v>
      </c>
      <c r="Q357" s="21" t="str">
        <f t="shared" si="38"/>
        <v>MCSOPF2</v>
      </c>
      <c r="R357" s="21" t="str">
        <f t="shared" si="39"/>
        <v>MCSOPF2</v>
      </c>
      <c r="S357" s="17"/>
      <c r="T357" s="24">
        <f t="shared" si="40"/>
        <v>45778</v>
      </c>
      <c r="U357" s="24" t="str">
        <f t="shared" si="41"/>
        <v/>
      </c>
      <c r="V357" s="14" t="s">
        <v>761</v>
      </c>
    </row>
    <row r="358" spans="2:22" x14ac:dyDescent="0.25">
      <c r="B358" s="20" t="s">
        <v>25</v>
      </c>
      <c r="C358" s="17"/>
      <c r="D358" s="63" t="str">
        <f>INDEX(Cad_Natureza!$B$3:$C$52,MATCH('2025'!F358,Cad_Natureza!$C$3:$C$52,0),MATCH('2025'!D$2,Cad_Natureza!$B$3:$C$3,0))</f>
        <v>REC2</v>
      </c>
      <c r="E358" s="64" t="s">
        <v>393</v>
      </c>
      <c r="F358" s="65" t="s">
        <v>775</v>
      </c>
      <c r="G358" s="63" t="s">
        <v>25</v>
      </c>
      <c r="H358" s="66">
        <v>45798</v>
      </c>
      <c r="I358" s="66"/>
      <c r="J358" s="67" t="s">
        <v>357</v>
      </c>
      <c r="K358" s="68">
        <v>230</v>
      </c>
      <c r="L358" s="68">
        <v>770.93000000000018</v>
      </c>
      <c r="M358" s="17"/>
      <c r="N358" s="21" t="str">
        <f t="shared" si="35"/>
        <v>MCSREC2CPF - Ajuda de custo - Combustível</v>
      </c>
      <c r="O358" s="21" t="str">
        <f t="shared" si="36"/>
        <v>REC2CPF - Ajuda de custo - Combustível</v>
      </c>
      <c r="P358" s="21" t="str">
        <f t="shared" si="37"/>
        <v>MCSREC2CPF - Ajuda de custo - Combustível</v>
      </c>
      <c r="Q358" s="21" t="str">
        <f t="shared" si="38"/>
        <v>MCSREC2</v>
      </c>
      <c r="R358" s="21" t="str">
        <f t="shared" si="39"/>
        <v>MCSREC2</v>
      </c>
      <c r="S358" s="17"/>
      <c r="T358" s="24">
        <f t="shared" si="40"/>
        <v>45778</v>
      </c>
      <c r="U358" s="24" t="str">
        <f t="shared" si="41"/>
        <v/>
      </c>
      <c r="V358" s="14" t="s">
        <v>761</v>
      </c>
    </row>
    <row r="359" spans="2:22" x14ac:dyDescent="0.25">
      <c r="B359" s="20" t="s">
        <v>25</v>
      </c>
      <c r="C359" s="17"/>
      <c r="D359" s="86" t="str">
        <f>INDEX(Cad_Natureza!$B$3:$C$52,MATCH('2025'!F359,Cad_Natureza!$C$3:$C$52,0),MATCH('2025'!D$2,Cad_Natureza!$B$3:$C$3,0))</f>
        <v>GAST1</v>
      </c>
      <c r="E359" s="84" t="s">
        <v>395</v>
      </c>
      <c r="F359" s="85" t="s">
        <v>742</v>
      </c>
      <c r="G359" s="86" t="s">
        <v>25</v>
      </c>
      <c r="H359" s="87">
        <v>45798</v>
      </c>
      <c r="I359" s="87"/>
      <c r="J359" s="79" t="s">
        <v>185</v>
      </c>
      <c r="K359" s="62">
        <v>-15</v>
      </c>
      <c r="L359" s="68">
        <v>755.93000000000018</v>
      </c>
      <c r="M359" s="17"/>
      <c r="N359" s="21" t="str">
        <f t="shared" si="35"/>
        <v>MCSGAST1CPF - Desp. Lazer e Entretenimento - Bares</v>
      </c>
      <c r="O359" s="21" t="str">
        <f t="shared" si="36"/>
        <v>GAST1CPF - Desp. Lazer e Entretenimento - Bares</v>
      </c>
      <c r="P359" s="21" t="str">
        <f t="shared" si="37"/>
        <v>MCSGAST1CPF - Desp. Lazer e Entretenimento - Bares</v>
      </c>
      <c r="Q359" s="21" t="str">
        <f t="shared" si="38"/>
        <v>MCSGAST1</v>
      </c>
      <c r="R359" s="21" t="str">
        <f t="shared" si="39"/>
        <v>MCSGAST1</v>
      </c>
      <c r="S359" s="17"/>
      <c r="T359" s="24">
        <f t="shared" si="40"/>
        <v>45778</v>
      </c>
      <c r="U359" s="24" t="str">
        <f t="shared" si="41"/>
        <v/>
      </c>
      <c r="V359" s="14" t="s">
        <v>761</v>
      </c>
    </row>
    <row r="360" spans="2:22" x14ac:dyDescent="0.25">
      <c r="B360" s="20" t="s">
        <v>25</v>
      </c>
      <c r="C360" s="17"/>
      <c r="D360" s="86" t="str">
        <f>INDEX(Cad_Natureza!$B$3:$C$52,MATCH('2025'!F360,Cad_Natureza!$C$3:$C$52,0),MATCH('2025'!D$2,Cad_Natureza!$B$3:$C$3,0))</f>
        <v>OPF1</v>
      </c>
      <c r="E360" s="84" t="s">
        <v>396</v>
      </c>
      <c r="F360" s="85" t="s">
        <v>744</v>
      </c>
      <c r="G360" s="86" t="s">
        <v>25</v>
      </c>
      <c r="H360" s="87">
        <v>45799</v>
      </c>
      <c r="I360" s="87"/>
      <c r="J360" s="79" t="s">
        <v>459</v>
      </c>
      <c r="K360" s="62">
        <v>-5.49</v>
      </c>
      <c r="L360" s="68">
        <v>750.44000000000017</v>
      </c>
      <c r="M360" s="17"/>
      <c r="N360" s="21" t="str">
        <f t="shared" si="35"/>
        <v>MCSOPF1CPF - Desp. Alimentação / Refeição</v>
      </c>
      <c r="O360" s="21" t="str">
        <f t="shared" si="36"/>
        <v>OPF1CPF - Desp. Alimentação / Refeição</v>
      </c>
      <c r="P360" s="21" t="str">
        <f t="shared" si="37"/>
        <v>MCSOPF1CPF - Desp. Alimentação / Refeição</v>
      </c>
      <c r="Q360" s="21" t="str">
        <f t="shared" si="38"/>
        <v>MCSOPF1</v>
      </c>
      <c r="R360" s="21" t="str">
        <f t="shared" si="39"/>
        <v>MCSOPF1</v>
      </c>
      <c r="S360" s="17"/>
      <c r="T360" s="24">
        <f t="shared" si="40"/>
        <v>45778</v>
      </c>
      <c r="U360" s="24" t="str">
        <f t="shared" si="41"/>
        <v/>
      </c>
      <c r="V360" s="14" t="s">
        <v>761</v>
      </c>
    </row>
    <row r="361" spans="2:22" x14ac:dyDescent="0.25">
      <c r="B361" s="20" t="s">
        <v>25</v>
      </c>
      <c r="C361" s="17"/>
      <c r="D361" s="86" t="str">
        <f>INDEX(Cad_Natureza!$B$3:$C$52,MATCH('2025'!F361,Cad_Natureza!$C$3:$C$52,0),MATCH('2025'!D$2,Cad_Natureza!$B$3:$C$3,0))</f>
        <v>OPF1</v>
      </c>
      <c r="E361" s="84" t="s">
        <v>397</v>
      </c>
      <c r="F361" s="85" t="s">
        <v>744</v>
      </c>
      <c r="G361" s="86" t="s">
        <v>25</v>
      </c>
      <c r="H361" s="87">
        <v>45799</v>
      </c>
      <c r="I361" s="87"/>
      <c r="J361" s="79" t="s">
        <v>182</v>
      </c>
      <c r="K361" s="62">
        <v>-23</v>
      </c>
      <c r="L361" s="68">
        <v>727.44000000000017</v>
      </c>
      <c r="M361" s="17"/>
      <c r="N361" s="21" t="str">
        <f t="shared" si="35"/>
        <v>MCSOPF1CPF - Desp. Alimentação / Refeição</v>
      </c>
      <c r="O361" s="21" t="str">
        <f t="shared" si="36"/>
        <v>OPF1CPF - Desp. Alimentação / Refeição</v>
      </c>
      <c r="P361" s="21" t="str">
        <f t="shared" si="37"/>
        <v>MCSOPF1CPF - Desp. Alimentação / Refeição</v>
      </c>
      <c r="Q361" s="21" t="str">
        <f t="shared" si="38"/>
        <v>MCSOPF1</v>
      </c>
      <c r="R361" s="21" t="str">
        <f t="shared" si="39"/>
        <v>MCSOPF1</v>
      </c>
      <c r="S361" s="17"/>
      <c r="T361" s="24">
        <f t="shared" si="40"/>
        <v>45778</v>
      </c>
      <c r="U361" s="24" t="str">
        <f t="shared" si="41"/>
        <v/>
      </c>
      <c r="V361" s="14" t="s">
        <v>761</v>
      </c>
    </row>
    <row r="362" spans="2:22" x14ac:dyDescent="0.25">
      <c r="B362" s="20" t="s">
        <v>25</v>
      </c>
      <c r="C362" s="17"/>
      <c r="D362" s="86" t="str">
        <f>INDEX(Cad_Natureza!$B$3:$C$52,MATCH('2025'!F362,Cad_Natureza!$C$3:$C$52,0),MATCH('2025'!D$2,Cad_Natureza!$B$3:$C$3,0))</f>
        <v>OPF1</v>
      </c>
      <c r="E362" s="84" t="s">
        <v>396</v>
      </c>
      <c r="F362" s="85" t="s">
        <v>744</v>
      </c>
      <c r="G362" s="86" t="s">
        <v>25</v>
      </c>
      <c r="H362" s="87">
        <v>45799</v>
      </c>
      <c r="I362" s="87"/>
      <c r="J362" s="79" t="s">
        <v>459</v>
      </c>
      <c r="K362" s="62">
        <v>-2.5</v>
      </c>
      <c r="L362" s="68">
        <v>724.94000000000017</v>
      </c>
      <c r="M362" s="17"/>
      <c r="N362" s="21" t="str">
        <f t="shared" si="35"/>
        <v>MCSOPF1CPF - Desp. Alimentação / Refeição</v>
      </c>
      <c r="O362" s="21" t="str">
        <f t="shared" si="36"/>
        <v>OPF1CPF - Desp. Alimentação / Refeição</v>
      </c>
      <c r="P362" s="21" t="str">
        <f t="shared" si="37"/>
        <v>MCSOPF1CPF - Desp. Alimentação / Refeição</v>
      </c>
      <c r="Q362" s="21" t="str">
        <f t="shared" si="38"/>
        <v>MCSOPF1</v>
      </c>
      <c r="R362" s="21" t="str">
        <f t="shared" si="39"/>
        <v>MCSOPF1</v>
      </c>
      <c r="S362" s="17"/>
      <c r="T362" s="24">
        <f t="shared" si="40"/>
        <v>45778</v>
      </c>
      <c r="U362" s="24" t="str">
        <f t="shared" si="41"/>
        <v/>
      </c>
      <c r="V362" s="14" t="s">
        <v>761</v>
      </c>
    </row>
    <row r="363" spans="2:22" x14ac:dyDescent="0.25">
      <c r="B363" s="20" t="s">
        <v>25</v>
      </c>
      <c r="C363" s="17"/>
      <c r="D363" s="86" t="str">
        <f>INDEX(Cad_Natureza!$B$3:$C$52,MATCH('2025'!F363,Cad_Natureza!$C$3:$C$52,0),MATCH('2025'!D$2,Cad_Natureza!$B$3:$C$3,0))</f>
        <v>GAST2</v>
      </c>
      <c r="E363" s="84" t="s">
        <v>398</v>
      </c>
      <c r="F363" s="85" t="s">
        <v>743</v>
      </c>
      <c r="G363" s="86" t="s">
        <v>25</v>
      </c>
      <c r="H363" s="87">
        <v>45799</v>
      </c>
      <c r="I363" s="87"/>
      <c r="J363" s="79" t="s">
        <v>185</v>
      </c>
      <c r="K363" s="62">
        <v>-35</v>
      </c>
      <c r="L363" s="68">
        <v>689.94000000000017</v>
      </c>
      <c r="M363" s="17"/>
      <c r="N363" s="21" t="str">
        <f t="shared" si="35"/>
        <v>MCSGAST2CPF - Desp. Lazer e Entretenimento - Cigarro</v>
      </c>
      <c r="O363" s="21" t="str">
        <f t="shared" si="36"/>
        <v>GAST2CPF - Desp. Lazer e Entretenimento - Cigarro</v>
      </c>
      <c r="P363" s="21" t="str">
        <f t="shared" si="37"/>
        <v>MCSGAST2CPF - Desp. Lazer e Entretenimento - Cigarro</v>
      </c>
      <c r="Q363" s="21" t="str">
        <f t="shared" si="38"/>
        <v>MCSGAST2</v>
      </c>
      <c r="R363" s="21" t="str">
        <f t="shared" si="39"/>
        <v>MCSGAST2</v>
      </c>
      <c r="S363" s="17"/>
      <c r="T363" s="24">
        <f t="shared" si="40"/>
        <v>45778</v>
      </c>
      <c r="U363" s="24" t="str">
        <f t="shared" si="41"/>
        <v/>
      </c>
      <c r="V363" s="14" t="s">
        <v>761</v>
      </c>
    </row>
    <row r="364" spans="2:22" x14ac:dyDescent="0.25">
      <c r="B364" s="20" t="s">
        <v>25</v>
      </c>
      <c r="C364" s="17"/>
      <c r="D364" s="86" t="str">
        <f>INDEX(Cad_Natureza!$B$3:$C$52,MATCH('2025'!F364,Cad_Natureza!$C$3:$C$52,0),MATCH('2025'!D$2,Cad_Natureza!$B$3:$C$3,0))</f>
        <v>PENS9</v>
      </c>
      <c r="E364" s="84" t="s">
        <v>399</v>
      </c>
      <c r="F364" s="85" t="s">
        <v>735</v>
      </c>
      <c r="G364" s="86" t="s">
        <v>25</v>
      </c>
      <c r="H364" s="87">
        <v>45799</v>
      </c>
      <c r="I364" s="87"/>
      <c r="J364" s="78" t="s">
        <v>199</v>
      </c>
      <c r="K364" s="80">
        <v>-27.5</v>
      </c>
      <c r="L364" s="68">
        <v>662.44000000000017</v>
      </c>
      <c r="M364" s="17"/>
      <c r="N364" s="21" t="str">
        <f t="shared" si="35"/>
        <v>MCSPENS9CPF - Pensão - Outros Gastos</v>
      </c>
      <c r="O364" s="21" t="str">
        <f t="shared" si="36"/>
        <v>PENS9CPF - Pensão - Outros Gastos</v>
      </c>
      <c r="P364" s="21" t="str">
        <f t="shared" si="37"/>
        <v>MCSPENS9CPF - Pensão - Outros Gastos</v>
      </c>
      <c r="Q364" s="21" t="str">
        <f t="shared" si="38"/>
        <v>MCSPENS9</v>
      </c>
      <c r="R364" s="21" t="str">
        <f t="shared" si="39"/>
        <v>MCSPENS9</v>
      </c>
      <c r="S364" s="17"/>
      <c r="T364" s="24">
        <f t="shared" si="40"/>
        <v>45778</v>
      </c>
      <c r="U364" s="24" t="str">
        <f t="shared" si="41"/>
        <v/>
      </c>
      <c r="V364" s="14" t="s">
        <v>731</v>
      </c>
    </row>
    <row r="365" spans="2:22" x14ac:dyDescent="0.25">
      <c r="B365" s="20" t="s">
        <v>25</v>
      </c>
      <c r="C365" s="17"/>
      <c r="D365" s="86" t="str">
        <f>INDEX(Cad_Natureza!$B$3:$C$52,MATCH('2025'!F365,Cad_Natureza!$C$3:$C$52,0),MATCH('2025'!D$2,Cad_Natureza!$B$3:$C$3,0))</f>
        <v>OPF1</v>
      </c>
      <c r="E365" s="84" t="s">
        <v>400</v>
      </c>
      <c r="F365" s="85" t="s">
        <v>744</v>
      </c>
      <c r="G365" s="86" t="s">
        <v>25</v>
      </c>
      <c r="H365" s="87">
        <v>45799</v>
      </c>
      <c r="I365" s="87"/>
      <c r="J365" s="79" t="s">
        <v>182</v>
      </c>
      <c r="K365" s="62">
        <v>-35</v>
      </c>
      <c r="L365" s="68">
        <v>627.44000000000017</v>
      </c>
      <c r="M365" s="17"/>
      <c r="N365" s="21" t="str">
        <f t="shared" si="35"/>
        <v>MCSOPF1CPF - Desp. Alimentação / Refeição</v>
      </c>
      <c r="O365" s="21" t="str">
        <f t="shared" si="36"/>
        <v>OPF1CPF - Desp. Alimentação / Refeição</v>
      </c>
      <c r="P365" s="21" t="str">
        <f t="shared" si="37"/>
        <v>MCSOPF1CPF - Desp. Alimentação / Refeição</v>
      </c>
      <c r="Q365" s="21" t="str">
        <f t="shared" si="38"/>
        <v>MCSOPF1</v>
      </c>
      <c r="R365" s="21" t="str">
        <f t="shared" si="39"/>
        <v>MCSOPF1</v>
      </c>
      <c r="S365" s="17"/>
      <c r="T365" s="24">
        <f t="shared" si="40"/>
        <v>45778</v>
      </c>
      <c r="U365" s="24" t="str">
        <f t="shared" si="41"/>
        <v/>
      </c>
      <c r="V365" s="14" t="s">
        <v>761</v>
      </c>
    </row>
    <row r="366" spans="2:22" x14ac:dyDescent="0.25">
      <c r="B366" s="20" t="s">
        <v>25</v>
      </c>
      <c r="C366" s="17"/>
      <c r="D366" s="86" t="str">
        <f>INDEX(Cad_Natureza!$B$3:$C$52,MATCH('2025'!F366,Cad_Natureza!$C$3:$C$52,0),MATCH('2025'!D$2,Cad_Natureza!$B$3:$C$3,0))</f>
        <v>OPF1</v>
      </c>
      <c r="E366" s="84" t="s">
        <v>401</v>
      </c>
      <c r="F366" s="85" t="s">
        <v>744</v>
      </c>
      <c r="G366" s="86" t="s">
        <v>25</v>
      </c>
      <c r="H366" s="87">
        <v>45800</v>
      </c>
      <c r="I366" s="87"/>
      <c r="J366" s="79" t="s">
        <v>182</v>
      </c>
      <c r="K366" s="62">
        <v>-23</v>
      </c>
      <c r="L366" s="68">
        <v>604.44000000000017</v>
      </c>
      <c r="M366" s="17"/>
      <c r="N366" s="21" t="str">
        <f t="shared" si="35"/>
        <v>MCSOPF1CPF - Desp. Alimentação / Refeição</v>
      </c>
      <c r="O366" s="21" t="str">
        <f t="shared" si="36"/>
        <v>OPF1CPF - Desp. Alimentação / Refeição</v>
      </c>
      <c r="P366" s="21" t="str">
        <f t="shared" si="37"/>
        <v>MCSOPF1CPF - Desp. Alimentação / Refeição</v>
      </c>
      <c r="Q366" s="21" t="str">
        <f t="shared" si="38"/>
        <v>MCSOPF1</v>
      </c>
      <c r="R366" s="21" t="str">
        <f t="shared" si="39"/>
        <v>MCSOPF1</v>
      </c>
      <c r="S366" s="17"/>
      <c r="T366" s="24">
        <f t="shared" si="40"/>
        <v>45778</v>
      </c>
      <c r="U366" s="24" t="str">
        <f t="shared" si="41"/>
        <v/>
      </c>
      <c r="V366" s="14" t="s">
        <v>761</v>
      </c>
    </row>
    <row r="367" spans="2:22" x14ac:dyDescent="0.25">
      <c r="B367" s="20" t="s">
        <v>25</v>
      </c>
      <c r="C367" s="17"/>
      <c r="D367" s="86" t="str">
        <f>INDEX(Cad_Natureza!$B$3:$C$52,MATCH('2025'!F367,Cad_Natureza!$C$3:$C$52,0),MATCH('2025'!D$2,Cad_Natureza!$B$3:$C$3,0))</f>
        <v>OPF1</v>
      </c>
      <c r="E367" s="84" t="s">
        <v>402</v>
      </c>
      <c r="F367" s="85" t="s">
        <v>744</v>
      </c>
      <c r="G367" s="86" t="s">
        <v>25</v>
      </c>
      <c r="H367" s="87">
        <v>45800</v>
      </c>
      <c r="I367" s="87"/>
      <c r="J367" s="79" t="s">
        <v>182</v>
      </c>
      <c r="K367" s="62">
        <v>-22</v>
      </c>
      <c r="L367" s="68">
        <v>582.44000000000017</v>
      </c>
      <c r="M367" s="17"/>
      <c r="N367" s="21" t="str">
        <f t="shared" si="35"/>
        <v>MCSOPF1CPF - Desp. Alimentação / Refeição</v>
      </c>
      <c r="O367" s="21" t="str">
        <f t="shared" si="36"/>
        <v>OPF1CPF - Desp. Alimentação / Refeição</v>
      </c>
      <c r="P367" s="21" t="str">
        <f t="shared" si="37"/>
        <v>MCSOPF1CPF - Desp. Alimentação / Refeição</v>
      </c>
      <c r="Q367" s="21" t="str">
        <f t="shared" si="38"/>
        <v>MCSOPF1</v>
      </c>
      <c r="R367" s="21" t="str">
        <f t="shared" si="39"/>
        <v>MCSOPF1</v>
      </c>
      <c r="S367" s="17"/>
      <c r="T367" s="24">
        <f t="shared" si="40"/>
        <v>45778</v>
      </c>
      <c r="U367" s="24" t="str">
        <f t="shared" si="41"/>
        <v/>
      </c>
      <c r="V367" s="14" t="s">
        <v>761</v>
      </c>
    </row>
    <row r="368" spans="2:22" x14ac:dyDescent="0.25">
      <c r="B368" s="20" t="s">
        <v>25</v>
      </c>
      <c r="C368" s="17"/>
      <c r="D368" s="86" t="str">
        <f>INDEX(Cad_Natureza!$B$3:$C$52,MATCH('2025'!F368,Cad_Natureza!$C$3:$C$52,0),MATCH('2025'!D$2,Cad_Natureza!$B$3:$C$3,0))</f>
        <v>OPF2</v>
      </c>
      <c r="E368" s="84" t="s">
        <v>403</v>
      </c>
      <c r="F368" s="85" t="s">
        <v>741</v>
      </c>
      <c r="G368" s="86" t="s">
        <v>25</v>
      </c>
      <c r="H368" s="87">
        <v>45800</v>
      </c>
      <c r="I368" s="87"/>
      <c r="J368" s="79" t="s">
        <v>184</v>
      </c>
      <c r="K368" s="62">
        <v>-50</v>
      </c>
      <c r="L368" s="68">
        <v>532.44000000000017</v>
      </c>
      <c r="M368" s="17"/>
      <c r="N368" s="21" t="str">
        <f t="shared" si="35"/>
        <v>MCSOPF2CPF - Desp. Transporte / Combustível</v>
      </c>
      <c r="O368" s="21" t="str">
        <f t="shared" si="36"/>
        <v>OPF2CPF - Desp. Transporte / Combustível</v>
      </c>
      <c r="P368" s="21" t="str">
        <f t="shared" si="37"/>
        <v>MCSOPF2CPF - Desp. Transporte / Combustível</v>
      </c>
      <c r="Q368" s="21" t="str">
        <f t="shared" si="38"/>
        <v>MCSOPF2</v>
      </c>
      <c r="R368" s="21" t="str">
        <f t="shared" si="39"/>
        <v>MCSOPF2</v>
      </c>
      <c r="S368" s="17"/>
      <c r="T368" s="24">
        <f t="shared" si="40"/>
        <v>45778</v>
      </c>
      <c r="U368" s="24" t="str">
        <f t="shared" si="41"/>
        <v/>
      </c>
      <c r="V368" s="14" t="s">
        <v>761</v>
      </c>
    </row>
    <row r="369" spans="2:22" x14ac:dyDescent="0.25">
      <c r="B369" s="20" t="s">
        <v>25</v>
      </c>
      <c r="C369" s="17"/>
      <c r="D369" s="86" t="str">
        <f>INDEX(Cad_Natureza!$B$3:$C$52,MATCH('2025'!F369,Cad_Natureza!$C$3:$C$52,0),MATCH('2025'!D$2,Cad_Natureza!$B$3:$C$3,0))</f>
        <v>GAST1</v>
      </c>
      <c r="E369" s="84" t="s">
        <v>404</v>
      </c>
      <c r="F369" s="85" t="s">
        <v>742</v>
      </c>
      <c r="G369" s="86" t="s">
        <v>25</v>
      </c>
      <c r="H369" s="87">
        <v>45800</v>
      </c>
      <c r="I369" s="87"/>
      <c r="J369" s="79" t="s">
        <v>185</v>
      </c>
      <c r="K369" s="62">
        <v>-7</v>
      </c>
      <c r="L369" s="68">
        <v>525.44000000000017</v>
      </c>
      <c r="M369" s="17"/>
      <c r="N369" s="21" t="str">
        <f t="shared" si="35"/>
        <v>MCSGAST1CPF - Desp. Lazer e Entretenimento - Bares</v>
      </c>
      <c r="O369" s="21" t="str">
        <f t="shared" si="36"/>
        <v>GAST1CPF - Desp. Lazer e Entretenimento - Bares</v>
      </c>
      <c r="P369" s="21" t="str">
        <f t="shared" si="37"/>
        <v>MCSGAST1CPF - Desp. Lazer e Entretenimento - Bares</v>
      </c>
      <c r="Q369" s="21" t="str">
        <f t="shared" si="38"/>
        <v>MCSGAST1</v>
      </c>
      <c r="R369" s="21" t="str">
        <f t="shared" si="39"/>
        <v>MCSGAST1</v>
      </c>
      <c r="S369" s="17"/>
      <c r="T369" s="24">
        <f t="shared" si="40"/>
        <v>45778</v>
      </c>
      <c r="U369" s="24" t="str">
        <f t="shared" si="41"/>
        <v/>
      </c>
      <c r="V369" s="14" t="s">
        <v>761</v>
      </c>
    </row>
    <row r="370" spans="2:22" x14ac:dyDescent="0.25">
      <c r="B370" s="20" t="s">
        <v>25</v>
      </c>
      <c r="C370" s="17"/>
      <c r="D370" s="86" t="str">
        <f>INDEX(Cad_Natureza!$B$3:$C$52,MATCH('2025'!F370,Cad_Natureza!$C$3:$C$52,0),MATCH('2025'!D$2,Cad_Natureza!$B$3:$C$3,0))</f>
        <v>GAST1</v>
      </c>
      <c r="E370" s="84" t="s">
        <v>405</v>
      </c>
      <c r="F370" s="85" t="s">
        <v>742</v>
      </c>
      <c r="G370" s="86" t="s">
        <v>25</v>
      </c>
      <c r="H370" s="87">
        <v>45800</v>
      </c>
      <c r="I370" s="87"/>
      <c r="J370" s="79" t="s">
        <v>185</v>
      </c>
      <c r="K370" s="62">
        <v>-5</v>
      </c>
      <c r="L370" s="68">
        <v>520.44000000000017</v>
      </c>
      <c r="M370" s="17"/>
      <c r="N370" s="21" t="str">
        <f t="shared" si="35"/>
        <v>MCSGAST1CPF - Desp. Lazer e Entretenimento - Bares</v>
      </c>
      <c r="O370" s="21" t="str">
        <f t="shared" si="36"/>
        <v>GAST1CPF - Desp. Lazer e Entretenimento - Bares</v>
      </c>
      <c r="P370" s="21" t="str">
        <f t="shared" si="37"/>
        <v>MCSGAST1CPF - Desp. Lazer e Entretenimento - Bares</v>
      </c>
      <c r="Q370" s="21" t="str">
        <f t="shared" si="38"/>
        <v>MCSGAST1</v>
      </c>
      <c r="R370" s="21" t="str">
        <f t="shared" si="39"/>
        <v>MCSGAST1</v>
      </c>
      <c r="S370" s="17"/>
      <c r="T370" s="24">
        <f t="shared" si="40"/>
        <v>45778</v>
      </c>
      <c r="U370" s="24" t="str">
        <f t="shared" si="41"/>
        <v/>
      </c>
      <c r="V370" s="14" t="s">
        <v>761</v>
      </c>
    </row>
    <row r="371" spans="2:22" x14ac:dyDescent="0.25">
      <c r="B371" s="20" t="s">
        <v>25</v>
      </c>
      <c r="C371" s="17"/>
      <c r="D371" s="86" t="str">
        <f>INDEX(Cad_Natureza!$B$3:$C$52,MATCH('2025'!F371,Cad_Natureza!$C$3:$C$52,0),MATCH('2025'!D$2,Cad_Natureza!$B$3:$C$3,0))</f>
        <v>GAST1</v>
      </c>
      <c r="E371" s="84" t="s">
        <v>405</v>
      </c>
      <c r="F371" s="85" t="s">
        <v>742</v>
      </c>
      <c r="G371" s="86" t="s">
        <v>25</v>
      </c>
      <c r="H371" s="87">
        <v>45800</v>
      </c>
      <c r="I371" s="87"/>
      <c r="J371" s="79" t="s">
        <v>185</v>
      </c>
      <c r="K371" s="62">
        <v>-5</v>
      </c>
      <c r="L371" s="68">
        <v>515.44000000000017</v>
      </c>
      <c r="M371" s="17"/>
      <c r="N371" s="21" t="str">
        <f t="shared" si="35"/>
        <v>MCSGAST1CPF - Desp. Lazer e Entretenimento - Bares</v>
      </c>
      <c r="O371" s="21" t="str">
        <f t="shared" si="36"/>
        <v>GAST1CPF - Desp. Lazer e Entretenimento - Bares</v>
      </c>
      <c r="P371" s="21" t="str">
        <f t="shared" si="37"/>
        <v>MCSGAST1CPF - Desp. Lazer e Entretenimento - Bares</v>
      </c>
      <c r="Q371" s="21" t="str">
        <f t="shared" si="38"/>
        <v>MCSGAST1</v>
      </c>
      <c r="R371" s="21" t="str">
        <f t="shared" si="39"/>
        <v>MCSGAST1</v>
      </c>
      <c r="S371" s="17"/>
      <c r="T371" s="24">
        <f t="shared" si="40"/>
        <v>45778</v>
      </c>
      <c r="U371" s="24" t="str">
        <f t="shared" si="41"/>
        <v/>
      </c>
      <c r="V371" s="14" t="s">
        <v>761</v>
      </c>
    </row>
    <row r="372" spans="2:22" x14ac:dyDescent="0.25">
      <c r="B372" s="20" t="s">
        <v>25</v>
      </c>
      <c r="C372" s="17"/>
      <c r="D372" s="86" t="str">
        <f>INDEX(Cad_Natureza!$B$3:$C$52,MATCH('2025'!F372,Cad_Natureza!$C$3:$C$52,0),MATCH('2025'!D$2,Cad_Natureza!$B$3:$C$3,0))</f>
        <v>GAST1</v>
      </c>
      <c r="E372" s="84" t="s">
        <v>405</v>
      </c>
      <c r="F372" s="85" t="s">
        <v>742</v>
      </c>
      <c r="G372" s="86" t="s">
        <v>25</v>
      </c>
      <c r="H372" s="87">
        <v>45800</v>
      </c>
      <c r="I372" s="87"/>
      <c r="J372" s="79" t="s">
        <v>185</v>
      </c>
      <c r="K372" s="62">
        <v>-5</v>
      </c>
      <c r="L372" s="68">
        <v>510.44000000000017</v>
      </c>
      <c r="M372" s="17"/>
      <c r="N372" s="21" t="str">
        <f t="shared" si="35"/>
        <v>MCSGAST1CPF - Desp. Lazer e Entretenimento - Bares</v>
      </c>
      <c r="O372" s="21" t="str">
        <f t="shared" si="36"/>
        <v>GAST1CPF - Desp. Lazer e Entretenimento - Bares</v>
      </c>
      <c r="P372" s="21" t="str">
        <f t="shared" si="37"/>
        <v>MCSGAST1CPF - Desp. Lazer e Entretenimento - Bares</v>
      </c>
      <c r="Q372" s="21" t="str">
        <f t="shared" si="38"/>
        <v>MCSGAST1</v>
      </c>
      <c r="R372" s="21" t="str">
        <f t="shared" si="39"/>
        <v>MCSGAST1</v>
      </c>
      <c r="S372" s="17"/>
      <c r="T372" s="24">
        <f t="shared" si="40"/>
        <v>45778</v>
      </c>
      <c r="U372" s="24" t="str">
        <f t="shared" si="41"/>
        <v/>
      </c>
      <c r="V372" s="14" t="s">
        <v>761</v>
      </c>
    </row>
    <row r="373" spans="2:22" x14ac:dyDescent="0.25">
      <c r="B373" s="20" t="s">
        <v>25</v>
      </c>
      <c r="C373" s="17"/>
      <c r="D373" s="86" t="str">
        <f>INDEX(Cad_Natureza!$B$3:$C$52,MATCH('2025'!F373,Cad_Natureza!$C$3:$C$52,0),MATCH('2025'!D$2,Cad_Natureza!$B$3:$C$3,0))</f>
        <v>GAST1</v>
      </c>
      <c r="E373" s="84" t="s">
        <v>406</v>
      </c>
      <c r="F373" s="85" t="s">
        <v>742</v>
      </c>
      <c r="G373" s="86" t="s">
        <v>25</v>
      </c>
      <c r="H373" s="87">
        <v>45803</v>
      </c>
      <c r="I373" s="87"/>
      <c r="J373" s="79" t="s">
        <v>185</v>
      </c>
      <c r="K373" s="62">
        <v>-17.5</v>
      </c>
      <c r="L373" s="68">
        <v>492.94000000000017</v>
      </c>
      <c r="M373" s="17"/>
      <c r="N373" s="21" t="str">
        <f t="shared" si="35"/>
        <v>MCSGAST1CPF - Desp. Lazer e Entretenimento - Bares</v>
      </c>
      <c r="O373" s="21" t="str">
        <f t="shared" si="36"/>
        <v>GAST1CPF - Desp. Lazer e Entretenimento - Bares</v>
      </c>
      <c r="P373" s="21" t="str">
        <f t="shared" si="37"/>
        <v>MCSGAST1CPF - Desp. Lazer e Entretenimento - Bares</v>
      </c>
      <c r="Q373" s="21" t="str">
        <f t="shared" si="38"/>
        <v>MCSGAST1</v>
      </c>
      <c r="R373" s="21" t="str">
        <f t="shared" si="39"/>
        <v>MCSGAST1</v>
      </c>
      <c r="S373" s="17"/>
      <c r="T373" s="24">
        <f t="shared" si="40"/>
        <v>45778</v>
      </c>
      <c r="U373" s="24" t="str">
        <f t="shared" si="41"/>
        <v/>
      </c>
      <c r="V373" s="14" t="s">
        <v>761</v>
      </c>
    </row>
    <row r="374" spans="2:22" x14ac:dyDescent="0.25">
      <c r="B374" s="20" t="s">
        <v>25</v>
      </c>
      <c r="C374" s="17"/>
      <c r="D374" s="86" t="str">
        <f>INDEX(Cad_Natureza!$B$3:$C$52,MATCH('2025'!F374,Cad_Natureza!$C$3:$C$52,0),MATCH('2025'!D$2,Cad_Natureza!$B$3:$C$3,0))</f>
        <v>GAST1</v>
      </c>
      <c r="E374" s="84" t="s">
        <v>406</v>
      </c>
      <c r="F374" s="85" t="s">
        <v>742</v>
      </c>
      <c r="G374" s="86" t="s">
        <v>25</v>
      </c>
      <c r="H374" s="87">
        <v>45803</v>
      </c>
      <c r="I374" s="87"/>
      <c r="J374" s="79" t="s">
        <v>185</v>
      </c>
      <c r="K374" s="62">
        <v>-3</v>
      </c>
      <c r="L374" s="68">
        <v>489.94000000000017</v>
      </c>
      <c r="M374" s="17"/>
      <c r="N374" s="21" t="str">
        <f t="shared" si="35"/>
        <v>MCSGAST1CPF - Desp. Lazer e Entretenimento - Bares</v>
      </c>
      <c r="O374" s="21" t="str">
        <f t="shared" si="36"/>
        <v>GAST1CPF - Desp. Lazer e Entretenimento - Bares</v>
      </c>
      <c r="P374" s="21" t="str">
        <f t="shared" si="37"/>
        <v>MCSGAST1CPF - Desp. Lazer e Entretenimento - Bares</v>
      </c>
      <c r="Q374" s="21" t="str">
        <f t="shared" si="38"/>
        <v>MCSGAST1</v>
      </c>
      <c r="R374" s="21" t="str">
        <f t="shared" si="39"/>
        <v>MCSGAST1</v>
      </c>
      <c r="S374" s="17"/>
      <c r="T374" s="24">
        <f t="shared" si="40"/>
        <v>45778</v>
      </c>
      <c r="U374" s="24" t="str">
        <f t="shared" si="41"/>
        <v/>
      </c>
      <c r="V374" s="14" t="s">
        <v>761</v>
      </c>
    </row>
    <row r="375" spans="2:22" x14ac:dyDescent="0.25">
      <c r="B375" s="20" t="s">
        <v>25</v>
      </c>
      <c r="C375" s="17"/>
      <c r="D375" s="86" t="str">
        <f>INDEX(Cad_Natureza!$B$3:$C$52,MATCH('2025'!F375,Cad_Natureza!$C$3:$C$52,0),MATCH('2025'!D$2,Cad_Natureza!$B$3:$C$3,0))</f>
        <v>GAST1</v>
      </c>
      <c r="E375" s="84" t="s">
        <v>407</v>
      </c>
      <c r="F375" s="85" t="s">
        <v>742</v>
      </c>
      <c r="G375" s="86" t="s">
        <v>25</v>
      </c>
      <c r="H375" s="87">
        <v>45803</v>
      </c>
      <c r="I375" s="87"/>
      <c r="J375" s="79" t="s">
        <v>185</v>
      </c>
      <c r="K375" s="62">
        <v>-5</v>
      </c>
      <c r="L375" s="68">
        <v>484.94000000000017</v>
      </c>
      <c r="M375" s="17"/>
      <c r="N375" s="21" t="str">
        <f t="shared" si="35"/>
        <v>MCSGAST1CPF - Desp. Lazer e Entretenimento - Bares</v>
      </c>
      <c r="O375" s="21" t="str">
        <f t="shared" si="36"/>
        <v>GAST1CPF - Desp. Lazer e Entretenimento - Bares</v>
      </c>
      <c r="P375" s="21" t="str">
        <f t="shared" si="37"/>
        <v>MCSGAST1CPF - Desp. Lazer e Entretenimento - Bares</v>
      </c>
      <c r="Q375" s="21" t="str">
        <f t="shared" si="38"/>
        <v>MCSGAST1</v>
      </c>
      <c r="R375" s="21" t="str">
        <f t="shared" si="39"/>
        <v>MCSGAST1</v>
      </c>
      <c r="S375" s="17"/>
      <c r="T375" s="24">
        <f t="shared" si="40"/>
        <v>45778</v>
      </c>
      <c r="U375" s="24" t="str">
        <f t="shared" si="41"/>
        <v/>
      </c>
      <c r="V375" s="14" t="s">
        <v>761</v>
      </c>
    </row>
    <row r="376" spans="2:22" x14ac:dyDescent="0.25">
      <c r="B376" s="20" t="s">
        <v>25</v>
      </c>
      <c r="C376" s="17"/>
      <c r="D376" s="86" t="str">
        <f>INDEX(Cad_Natureza!$B$3:$C$52,MATCH('2025'!F376,Cad_Natureza!$C$3:$C$52,0),MATCH('2025'!D$2,Cad_Natureza!$B$3:$C$3,0))</f>
        <v>GAST1</v>
      </c>
      <c r="E376" s="84" t="s">
        <v>407</v>
      </c>
      <c r="F376" s="85" t="s">
        <v>742</v>
      </c>
      <c r="G376" s="86" t="s">
        <v>25</v>
      </c>
      <c r="H376" s="87">
        <v>45803</v>
      </c>
      <c r="I376" s="87"/>
      <c r="J376" s="79" t="s">
        <v>185</v>
      </c>
      <c r="K376" s="62">
        <v>-5</v>
      </c>
      <c r="L376" s="68">
        <v>479.94000000000017</v>
      </c>
      <c r="M376" s="17"/>
      <c r="N376" s="21" t="str">
        <f t="shared" si="35"/>
        <v>MCSGAST1CPF - Desp. Lazer e Entretenimento - Bares</v>
      </c>
      <c r="O376" s="21" t="str">
        <f t="shared" si="36"/>
        <v>GAST1CPF - Desp. Lazer e Entretenimento - Bares</v>
      </c>
      <c r="P376" s="21" t="str">
        <f t="shared" si="37"/>
        <v>MCSGAST1CPF - Desp. Lazer e Entretenimento - Bares</v>
      </c>
      <c r="Q376" s="21" t="str">
        <f t="shared" si="38"/>
        <v>MCSGAST1</v>
      </c>
      <c r="R376" s="21" t="str">
        <f t="shared" si="39"/>
        <v>MCSGAST1</v>
      </c>
      <c r="S376" s="17"/>
      <c r="T376" s="24">
        <f t="shared" si="40"/>
        <v>45778</v>
      </c>
      <c r="U376" s="24" t="str">
        <f t="shared" si="41"/>
        <v/>
      </c>
      <c r="V376" s="14" t="s">
        <v>761</v>
      </c>
    </row>
    <row r="377" spans="2:22" x14ac:dyDescent="0.25">
      <c r="B377" s="20" t="s">
        <v>25</v>
      </c>
      <c r="C377" s="17"/>
      <c r="D377" s="86" t="str">
        <f>INDEX(Cad_Natureza!$B$3:$C$52,MATCH('2025'!F377,Cad_Natureza!$C$3:$C$52,0),MATCH('2025'!D$2,Cad_Natureza!$B$3:$C$3,0))</f>
        <v>GAST1</v>
      </c>
      <c r="E377" s="84" t="s">
        <v>408</v>
      </c>
      <c r="F377" s="85" t="s">
        <v>742</v>
      </c>
      <c r="G377" s="86" t="s">
        <v>25</v>
      </c>
      <c r="H377" s="87">
        <v>45803</v>
      </c>
      <c r="I377" s="87"/>
      <c r="J377" s="79" t="s">
        <v>185</v>
      </c>
      <c r="K377" s="62">
        <v>-15</v>
      </c>
      <c r="L377" s="68">
        <v>464.94000000000017</v>
      </c>
      <c r="M377" s="17"/>
      <c r="N377" s="21" t="str">
        <f t="shared" si="35"/>
        <v>MCSGAST1CPF - Desp. Lazer e Entretenimento - Bares</v>
      </c>
      <c r="O377" s="21" t="str">
        <f t="shared" si="36"/>
        <v>GAST1CPF - Desp. Lazer e Entretenimento - Bares</v>
      </c>
      <c r="P377" s="21" t="str">
        <f t="shared" si="37"/>
        <v>MCSGAST1CPF - Desp. Lazer e Entretenimento - Bares</v>
      </c>
      <c r="Q377" s="21" t="str">
        <f t="shared" si="38"/>
        <v>MCSGAST1</v>
      </c>
      <c r="R377" s="21" t="str">
        <f t="shared" si="39"/>
        <v>MCSGAST1</v>
      </c>
      <c r="S377" s="17"/>
      <c r="T377" s="24">
        <f t="shared" si="40"/>
        <v>45778</v>
      </c>
      <c r="U377" s="24" t="str">
        <f t="shared" si="41"/>
        <v/>
      </c>
      <c r="V377" s="14" t="s">
        <v>761</v>
      </c>
    </row>
    <row r="378" spans="2:22" x14ac:dyDescent="0.25">
      <c r="B378" s="20" t="s">
        <v>25</v>
      </c>
      <c r="C378" s="17"/>
      <c r="D378" s="86" t="str">
        <f>INDEX(Cad_Natureza!$B$3:$C$52,MATCH('2025'!F378,Cad_Natureza!$C$3:$C$52,0),MATCH('2025'!D$2,Cad_Natureza!$B$3:$C$3,0))</f>
        <v>GAST1</v>
      </c>
      <c r="E378" s="84" t="s">
        <v>408</v>
      </c>
      <c r="F378" s="85" t="s">
        <v>742</v>
      </c>
      <c r="G378" s="86" t="s">
        <v>25</v>
      </c>
      <c r="H378" s="87">
        <v>45803</v>
      </c>
      <c r="I378" s="87"/>
      <c r="J378" s="79" t="s">
        <v>185</v>
      </c>
      <c r="K378" s="62">
        <v>-5.5</v>
      </c>
      <c r="L378" s="68">
        <v>459.44000000000017</v>
      </c>
      <c r="M378" s="17"/>
      <c r="N378" s="21" t="str">
        <f t="shared" si="35"/>
        <v>MCSGAST1CPF - Desp. Lazer e Entretenimento - Bares</v>
      </c>
      <c r="O378" s="21" t="str">
        <f t="shared" si="36"/>
        <v>GAST1CPF - Desp. Lazer e Entretenimento - Bares</v>
      </c>
      <c r="P378" s="21" t="str">
        <f t="shared" si="37"/>
        <v>MCSGAST1CPF - Desp. Lazer e Entretenimento - Bares</v>
      </c>
      <c r="Q378" s="21" t="str">
        <f t="shared" si="38"/>
        <v>MCSGAST1</v>
      </c>
      <c r="R378" s="21" t="str">
        <f t="shared" si="39"/>
        <v>MCSGAST1</v>
      </c>
      <c r="S378" s="17"/>
      <c r="T378" s="24">
        <f t="shared" si="40"/>
        <v>45778</v>
      </c>
      <c r="U378" s="24" t="str">
        <f t="shared" si="41"/>
        <v/>
      </c>
      <c r="V378" s="14" t="s">
        <v>761</v>
      </c>
    </row>
    <row r="379" spans="2:22" x14ac:dyDescent="0.25">
      <c r="B379" s="20" t="s">
        <v>25</v>
      </c>
      <c r="C379" s="17"/>
      <c r="D379" s="86" t="str">
        <f>INDEX(Cad_Natureza!$B$3:$C$52,MATCH('2025'!F379,Cad_Natureza!$C$3:$C$52,0),MATCH('2025'!D$2,Cad_Natureza!$B$3:$C$3,0))</f>
        <v>GAST1</v>
      </c>
      <c r="E379" s="84" t="s">
        <v>408</v>
      </c>
      <c r="F379" s="85" t="s">
        <v>742</v>
      </c>
      <c r="G379" s="86" t="s">
        <v>25</v>
      </c>
      <c r="H379" s="87">
        <v>45803</v>
      </c>
      <c r="I379" s="87"/>
      <c r="J379" s="79" t="s">
        <v>185</v>
      </c>
      <c r="K379" s="62">
        <v>-5.5</v>
      </c>
      <c r="L379" s="68">
        <v>453.94000000000017</v>
      </c>
      <c r="M379" s="17"/>
      <c r="N379" s="21" t="str">
        <f t="shared" si="35"/>
        <v>MCSGAST1CPF - Desp. Lazer e Entretenimento - Bares</v>
      </c>
      <c r="O379" s="21" t="str">
        <f t="shared" si="36"/>
        <v>GAST1CPF - Desp. Lazer e Entretenimento - Bares</v>
      </c>
      <c r="P379" s="21" t="str">
        <f t="shared" si="37"/>
        <v>MCSGAST1CPF - Desp. Lazer e Entretenimento - Bares</v>
      </c>
      <c r="Q379" s="21" t="str">
        <f t="shared" si="38"/>
        <v>MCSGAST1</v>
      </c>
      <c r="R379" s="21" t="str">
        <f t="shared" si="39"/>
        <v>MCSGAST1</v>
      </c>
      <c r="S379" s="17"/>
      <c r="T379" s="24">
        <f t="shared" si="40"/>
        <v>45778</v>
      </c>
      <c r="U379" s="24" t="str">
        <f t="shared" si="41"/>
        <v/>
      </c>
      <c r="V379" s="14" t="s">
        <v>761</v>
      </c>
    </row>
    <row r="380" spans="2:22" x14ac:dyDescent="0.25">
      <c r="B380" s="20" t="s">
        <v>25</v>
      </c>
      <c r="C380" s="17"/>
      <c r="D380" s="86" t="str">
        <f>INDEX(Cad_Natureza!$B$3:$C$52,MATCH('2025'!F380,Cad_Natureza!$C$3:$C$52,0),MATCH('2025'!D$2,Cad_Natureza!$B$3:$C$3,0))</f>
        <v>GAST1</v>
      </c>
      <c r="E380" s="84" t="s">
        <v>408</v>
      </c>
      <c r="F380" s="85" t="s">
        <v>742</v>
      </c>
      <c r="G380" s="86" t="s">
        <v>25</v>
      </c>
      <c r="H380" s="87">
        <v>45803</v>
      </c>
      <c r="I380" s="87"/>
      <c r="J380" s="79" t="s">
        <v>185</v>
      </c>
      <c r="K380" s="62">
        <v>-5</v>
      </c>
      <c r="L380" s="68">
        <v>448.94000000000017</v>
      </c>
      <c r="M380" s="17"/>
      <c r="N380" s="21" t="str">
        <f t="shared" si="35"/>
        <v>MCSGAST1CPF - Desp. Lazer e Entretenimento - Bares</v>
      </c>
      <c r="O380" s="21" t="str">
        <f t="shared" si="36"/>
        <v>GAST1CPF - Desp. Lazer e Entretenimento - Bares</v>
      </c>
      <c r="P380" s="21" t="str">
        <f t="shared" si="37"/>
        <v>MCSGAST1CPF - Desp. Lazer e Entretenimento - Bares</v>
      </c>
      <c r="Q380" s="21" t="str">
        <f t="shared" si="38"/>
        <v>MCSGAST1</v>
      </c>
      <c r="R380" s="21" t="str">
        <f t="shared" si="39"/>
        <v>MCSGAST1</v>
      </c>
      <c r="S380" s="17"/>
      <c r="T380" s="24">
        <f t="shared" si="40"/>
        <v>45778</v>
      </c>
      <c r="U380" s="24" t="str">
        <f t="shared" si="41"/>
        <v/>
      </c>
      <c r="V380" s="14" t="s">
        <v>761</v>
      </c>
    </row>
    <row r="381" spans="2:22" x14ac:dyDescent="0.25">
      <c r="B381" s="20" t="s">
        <v>25</v>
      </c>
      <c r="C381" s="17"/>
      <c r="D381" s="86" t="str">
        <f>INDEX(Cad_Natureza!$B$3:$C$52,MATCH('2025'!F381,Cad_Natureza!$C$3:$C$52,0),MATCH('2025'!D$2,Cad_Natureza!$B$3:$C$3,0))</f>
        <v>GAST1</v>
      </c>
      <c r="E381" s="84" t="s">
        <v>408</v>
      </c>
      <c r="F381" s="85" t="s">
        <v>742</v>
      </c>
      <c r="G381" s="86" t="s">
        <v>25</v>
      </c>
      <c r="H381" s="87">
        <v>45803</v>
      </c>
      <c r="I381" s="87"/>
      <c r="J381" s="79" t="s">
        <v>185</v>
      </c>
      <c r="K381" s="62">
        <v>-5.5</v>
      </c>
      <c r="L381" s="68">
        <v>443.44000000000017</v>
      </c>
      <c r="M381" s="17"/>
      <c r="N381" s="21" t="str">
        <f t="shared" si="35"/>
        <v>MCSGAST1CPF - Desp. Lazer e Entretenimento - Bares</v>
      </c>
      <c r="O381" s="21" t="str">
        <f t="shared" si="36"/>
        <v>GAST1CPF - Desp. Lazer e Entretenimento - Bares</v>
      </c>
      <c r="P381" s="21" t="str">
        <f t="shared" si="37"/>
        <v>MCSGAST1CPF - Desp. Lazer e Entretenimento - Bares</v>
      </c>
      <c r="Q381" s="21" t="str">
        <f t="shared" si="38"/>
        <v>MCSGAST1</v>
      </c>
      <c r="R381" s="21" t="str">
        <f t="shared" si="39"/>
        <v>MCSGAST1</v>
      </c>
      <c r="S381" s="17"/>
      <c r="T381" s="24">
        <f t="shared" si="40"/>
        <v>45778</v>
      </c>
      <c r="U381" s="24" t="str">
        <f t="shared" si="41"/>
        <v/>
      </c>
      <c r="V381" s="14" t="s">
        <v>761</v>
      </c>
    </row>
    <row r="382" spans="2:22" x14ac:dyDescent="0.25">
      <c r="B382" s="20" t="s">
        <v>25</v>
      </c>
      <c r="C382" s="17"/>
      <c r="D382" s="86" t="str">
        <f>INDEX(Cad_Natureza!$B$3:$C$52,MATCH('2025'!F382,Cad_Natureza!$C$3:$C$52,0),MATCH('2025'!D$2,Cad_Natureza!$B$3:$C$3,0))</f>
        <v>GAST1</v>
      </c>
      <c r="E382" s="84" t="s">
        <v>408</v>
      </c>
      <c r="F382" s="85" t="s">
        <v>742</v>
      </c>
      <c r="G382" s="86" t="s">
        <v>25</v>
      </c>
      <c r="H382" s="87">
        <v>45803</v>
      </c>
      <c r="I382" s="87"/>
      <c r="J382" s="79" t="s">
        <v>185</v>
      </c>
      <c r="K382" s="62">
        <v>-5.5</v>
      </c>
      <c r="L382" s="68">
        <v>437.94000000000017</v>
      </c>
      <c r="M382" s="17"/>
      <c r="N382" s="21" t="str">
        <f t="shared" si="35"/>
        <v>MCSGAST1CPF - Desp. Lazer e Entretenimento - Bares</v>
      </c>
      <c r="O382" s="21" t="str">
        <f t="shared" si="36"/>
        <v>GAST1CPF - Desp. Lazer e Entretenimento - Bares</v>
      </c>
      <c r="P382" s="21" t="str">
        <f t="shared" si="37"/>
        <v>MCSGAST1CPF - Desp. Lazer e Entretenimento - Bares</v>
      </c>
      <c r="Q382" s="21" t="str">
        <f t="shared" si="38"/>
        <v>MCSGAST1</v>
      </c>
      <c r="R382" s="21" t="str">
        <f t="shared" si="39"/>
        <v>MCSGAST1</v>
      </c>
      <c r="S382" s="17"/>
      <c r="T382" s="24">
        <f t="shared" si="40"/>
        <v>45778</v>
      </c>
      <c r="U382" s="24" t="str">
        <f t="shared" si="41"/>
        <v/>
      </c>
      <c r="V382" s="14" t="s">
        <v>761</v>
      </c>
    </row>
    <row r="383" spans="2:22" x14ac:dyDescent="0.25">
      <c r="B383" s="20" t="s">
        <v>25</v>
      </c>
      <c r="C383" s="17"/>
      <c r="D383" s="86" t="str">
        <f>INDEX(Cad_Natureza!$B$3:$C$52,MATCH('2025'!F383,Cad_Natureza!$C$3:$C$52,0),MATCH('2025'!D$2,Cad_Natureza!$B$3:$C$3,0))</f>
        <v>GAST1</v>
      </c>
      <c r="E383" s="84" t="s">
        <v>408</v>
      </c>
      <c r="F383" s="85" t="s">
        <v>742</v>
      </c>
      <c r="G383" s="86" t="s">
        <v>25</v>
      </c>
      <c r="H383" s="87">
        <v>45803</v>
      </c>
      <c r="I383" s="87"/>
      <c r="J383" s="79" t="s">
        <v>185</v>
      </c>
      <c r="K383" s="62">
        <v>-11</v>
      </c>
      <c r="L383" s="68">
        <v>426.94000000000017</v>
      </c>
      <c r="M383" s="17"/>
      <c r="N383" s="21" t="str">
        <f t="shared" si="35"/>
        <v>MCSGAST1CPF - Desp. Lazer e Entretenimento - Bares</v>
      </c>
      <c r="O383" s="21" t="str">
        <f t="shared" si="36"/>
        <v>GAST1CPF - Desp. Lazer e Entretenimento - Bares</v>
      </c>
      <c r="P383" s="21" t="str">
        <f t="shared" si="37"/>
        <v>MCSGAST1CPF - Desp. Lazer e Entretenimento - Bares</v>
      </c>
      <c r="Q383" s="21" t="str">
        <f t="shared" si="38"/>
        <v>MCSGAST1</v>
      </c>
      <c r="R383" s="21" t="str">
        <f t="shared" si="39"/>
        <v>MCSGAST1</v>
      </c>
      <c r="S383" s="17"/>
      <c r="T383" s="24">
        <f t="shared" si="40"/>
        <v>45778</v>
      </c>
      <c r="U383" s="24" t="str">
        <f t="shared" si="41"/>
        <v/>
      </c>
      <c r="V383" s="14" t="s">
        <v>761</v>
      </c>
    </row>
    <row r="384" spans="2:22" x14ac:dyDescent="0.25">
      <c r="B384" s="20" t="s">
        <v>25</v>
      </c>
      <c r="C384" s="17"/>
      <c r="D384" s="86" t="str">
        <f>INDEX(Cad_Natureza!$B$3:$C$52,MATCH('2025'!F384,Cad_Natureza!$C$3:$C$52,0),MATCH('2025'!D$2,Cad_Natureza!$B$3:$C$3,0))</f>
        <v>GAST1</v>
      </c>
      <c r="E384" s="84" t="s">
        <v>409</v>
      </c>
      <c r="F384" s="85" t="s">
        <v>742</v>
      </c>
      <c r="G384" s="86" t="s">
        <v>25</v>
      </c>
      <c r="H384" s="87">
        <v>45803</v>
      </c>
      <c r="I384" s="87"/>
      <c r="J384" s="79" t="s">
        <v>185</v>
      </c>
      <c r="K384" s="62">
        <v>-21.5</v>
      </c>
      <c r="L384" s="68">
        <v>405.44000000000017</v>
      </c>
      <c r="M384" s="17"/>
      <c r="N384" s="21" t="str">
        <f t="shared" si="35"/>
        <v>MCSGAST1CPF - Desp. Lazer e Entretenimento - Bares</v>
      </c>
      <c r="O384" s="21" t="str">
        <f t="shared" si="36"/>
        <v>GAST1CPF - Desp. Lazer e Entretenimento - Bares</v>
      </c>
      <c r="P384" s="21" t="str">
        <f t="shared" si="37"/>
        <v>MCSGAST1CPF - Desp. Lazer e Entretenimento - Bares</v>
      </c>
      <c r="Q384" s="21" t="str">
        <f t="shared" si="38"/>
        <v>MCSGAST1</v>
      </c>
      <c r="R384" s="21" t="str">
        <f t="shared" si="39"/>
        <v>MCSGAST1</v>
      </c>
      <c r="S384" s="17"/>
      <c r="T384" s="24">
        <f t="shared" si="40"/>
        <v>45778</v>
      </c>
      <c r="U384" s="24" t="str">
        <f t="shared" si="41"/>
        <v/>
      </c>
      <c r="V384" s="14" t="s">
        <v>761</v>
      </c>
    </row>
    <row r="385" spans="2:22" x14ac:dyDescent="0.25">
      <c r="B385" s="20" t="s">
        <v>25</v>
      </c>
      <c r="C385" s="17"/>
      <c r="D385" s="86" t="str">
        <f>INDEX(Cad_Natureza!$B$3:$C$52,MATCH('2025'!F385,Cad_Natureza!$C$3:$C$52,0),MATCH('2025'!D$2,Cad_Natureza!$B$3:$C$3,0))</f>
        <v>OPF1</v>
      </c>
      <c r="E385" s="84" t="s">
        <v>410</v>
      </c>
      <c r="F385" s="85" t="s">
        <v>744</v>
      </c>
      <c r="G385" s="86" t="s">
        <v>25</v>
      </c>
      <c r="H385" s="87">
        <v>45803</v>
      </c>
      <c r="I385" s="87"/>
      <c r="J385" s="79" t="s">
        <v>459</v>
      </c>
      <c r="K385" s="62">
        <v>-9.99</v>
      </c>
      <c r="L385" s="68">
        <v>395.45000000000016</v>
      </c>
      <c r="M385" s="17"/>
      <c r="N385" s="21" t="str">
        <f t="shared" si="35"/>
        <v>MCSOPF1CPF - Desp. Alimentação / Refeição</v>
      </c>
      <c r="O385" s="21" t="str">
        <f t="shared" si="36"/>
        <v>OPF1CPF - Desp. Alimentação / Refeição</v>
      </c>
      <c r="P385" s="21" t="str">
        <f t="shared" si="37"/>
        <v>MCSOPF1CPF - Desp. Alimentação / Refeição</v>
      </c>
      <c r="Q385" s="21" t="str">
        <f t="shared" si="38"/>
        <v>MCSOPF1</v>
      </c>
      <c r="R385" s="21" t="str">
        <f t="shared" si="39"/>
        <v>MCSOPF1</v>
      </c>
      <c r="S385" s="17"/>
      <c r="T385" s="24">
        <f t="shared" si="40"/>
        <v>45778</v>
      </c>
      <c r="U385" s="24" t="str">
        <f t="shared" si="41"/>
        <v/>
      </c>
      <c r="V385" s="14" t="s">
        <v>761</v>
      </c>
    </row>
    <row r="386" spans="2:22" x14ac:dyDescent="0.25">
      <c r="B386" s="20" t="s">
        <v>25</v>
      </c>
      <c r="C386" s="17"/>
      <c r="D386" s="86" t="str">
        <f>INDEX(Cad_Natureza!$B$3:$C$52,MATCH('2025'!F386,Cad_Natureza!$C$3:$C$52,0),MATCH('2025'!D$2,Cad_Natureza!$B$3:$C$3,0))</f>
        <v>GAST1</v>
      </c>
      <c r="E386" s="84" t="s">
        <v>411</v>
      </c>
      <c r="F386" s="85" t="s">
        <v>742</v>
      </c>
      <c r="G386" s="86" t="s">
        <v>25</v>
      </c>
      <c r="H386" s="87">
        <v>45803</v>
      </c>
      <c r="I386" s="87"/>
      <c r="J386" s="79" t="s">
        <v>185</v>
      </c>
      <c r="K386" s="62">
        <v>-2.5</v>
      </c>
      <c r="L386" s="68">
        <v>392.95000000000016</v>
      </c>
      <c r="M386" s="17"/>
      <c r="N386" s="21" t="str">
        <f t="shared" si="35"/>
        <v>MCSGAST1CPF - Desp. Lazer e Entretenimento - Bares</v>
      </c>
      <c r="O386" s="21" t="str">
        <f t="shared" si="36"/>
        <v>GAST1CPF - Desp. Lazer e Entretenimento - Bares</v>
      </c>
      <c r="P386" s="21" t="str">
        <f t="shared" si="37"/>
        <v>MCSGAST1CPF - Desp. Lazer e Entretenimento - Bares</v>
      </c>
      <c r="Q386" s="21" t="str">
        <f t="shared" si="38"/>
        <v>MCSGAST1</v>
      </c>
      <c r="R386" s="21" t="str">
        <f t="shared" si="39"/>
        <v>MCSGAST1</v>
      </c>
      <c r="S386" s="17"/>
      <c r="T386" s="24">
        <f t="shared" si="40"/>
        <v>45778</v>
      </c>
      <c r="U386" s="24" t="str">
        <f t="shared" si="41"/>
        <v/>
      </c>
      <c r="V386" s="14" t="s">
        <v>761</v>
      </c>
    </row>
    <row r="387" spans="2:22" x14ac:dyDescent="0.25">
      <c r="B387" s="20" t="s">
        <v>25</v>
      </c>
      <c r="C387" s="17"/>
      <c r="D387" s="86" t="str">
        <f>INDEX(Cad_Natureza!$B$3:$C$52,MATCH('2025'!F387,Cad_Natureza!$C$3:$C$52,0),MATCH('2025'!D$2,Cad_Natureza!$B$3:$C$3,0))</f>
        <v>OPF2</v>
      </c>
      <c r="E387" s="84" t="s">
        <v>412</v>
      </c>
      <c r="F387" s="85" t="s">
        <v>741</v>
      </c>
      <c r="G387" s="86" t="s">
        <v>25</v>
      </c>
      <c r="H387" s="87">
        <v>45803</v>
      </c>
      <c r="I387" s="87"/>
      <c r="J387" s="79" t="s">
        <v>184</v>
      </c>
      <c r="K387" s="62">
        <v>-50</v>
      </c>
      <c r="L387" s="68">
        <v>342.95000000000016</v>
      </c>
      <c r="M387" s="17"/>
      <c r="N387" s="21" t="str">
        <f t="shared" si="35"/>
        <v>MCSOPF2CPF - Desp. Transporte / Combustível</v>
      </c>
      <c r="O387" s="21" t="str">
        <f t="shared" si="36"/>
        <v>OPF2CPF - Desp. Transporte / Combustível</v>
      </c>
      <c r="P387" s="21" t="str">
        <f t="shared" si="37"/>
        <v>MCSOPF2CPF - Desp. Transporte / Combustível</v>
      </c>
      <c r="Q387" s="21" t="str">
        <f t="shared" si="38"/>
        <v>MCSOPF2</v>
      </c>
      <c r="R387" s="21" t="str">
        <f t="shared" si="39"/>
        <v>MCSOPF2</v>
      </c>
      <c r="S387" s="17"/>
      <c r="T387" s="24">
        <f t="shared" si="40"/>
        <v>45778</v>
      </c>
      <c r="U387" s="24" t="str">
        <f t="shared" ref="U387:U450" si="42">IF(I387="","",(1&amp;"/"&amp;MONTH(I387)&amp;"/"&amp;YEAR(I387))*1)</f>
        <v/>
      </c>
      <c r="V387" s="14" t="s">
        <v>761</v>
      </c>
    </row>
    <row r="388" spans="2:22" x14ac:dyDescent="0.25">
      <c r="B388" s="20" t="s">
        <v>25</v>
      </c>
      <c r="C388" s="17"/>
      <c r="D388" s="86" t="str">
        <f>INDEX(Cad_Natureza!$B$3:$C$52,MATCH('2025'!F388,Cad_Natureza!$C$3:$C$52,0),MATCH('2025'!D$2,Cad_Natureza!$B$3:$C$3,0))</f>
        <v>GAST1</v>
      </c>
      <c r="E388" s="84" t="s">
        <v>413</v>
      </c>
      <c r="F388" s="85" t="s">
        <v>742</v>
      </c>
      <c r="G388" s="86" t="s">
        <v>25</v>
      </c>
      <c r="H388" s="87">
        <v>45803</v>
      </c>
      <c r="I388" s="87"/>
      <c r="J388" s="79" t="s">
        <v>185</v>
      </c>
      <c r="K388" s="62">
        <v>-7.5</v>
      </c>
      <c r="L388" s="68">
        <v>335.45000000000016</v>
      </c>
      <c r="M388" s="17"/>
      <c r="N388" s="21" t="str">
        <f t="shared" si="35"/>
        <v>MCSGAST1CPF - Desp. Lazer e Entretenimento - Bares</v>
      </c>
      <c r="O388" s="21" t="str">
        <f t="shared" si="36"/>
        <v>GAST1CPF - Desp. Lazer e Entretenimento - Bares</v>
      </c>
      <c r="P388" s="21" t="str">
        <f t="shared" si="37"/>
        <v>MCSGAST1CPF - Desp. Lazer e Entretenimento - Bares</v>
      </c>
      <c r="Q388" s="21" t="str">
        <f t="shared" si="38"/>
        <v>MCSGAST1</v>
      </c>
      <c r="R388" s="21" t="str">
        <f t="shared" si="39"/>
        <v>MCSGAST1</v>
      </c>
      <c r="S388" s="17"/>
      <c r="T388" s="24">
        <f t="shared" si="40"/>
        <v>45778</v>
      </c>
      <c r="U388" s="24" t="str">
        <f t="shared" si="42"/>
        <v/>
      </c>
      <c r="V388" s="14" t="s">
        <v>761</v>
      </c>
    </row>
    <row r="389" spans="2:22" x14ac:dyDescent="0.25">
      <c r="B389" s="20" t="s">
        <v>25</v>
      </c>
      <c r="C389" s="17"/>
      <c r="D389" s="63" t="str">
        <f>INDEX(Cad_Natureza!$B$3:$C$52,MATCH('2025'!F389,Cad_Natureza!$C$3:$C$52,0),MATCH('2025'!D$2,Cad_Natureza!$B$3:$C$3,0))</f>
        <v>REC2</v>
      </c>
      <c r="E389" s="64" t="s">
        <v>613</v>
      </c>
      <c r="F389" s="65" t="s">
        <v>775</v>
      </c>
      <c r="G389" s="63" t="s">
        <v>25</v>
      </c>
      <c r="H389" s="66">
        <v>45804</v>
      </c>
      <c r="I389" s="66"/>
      <c r="J389" s="67" t="s">
        <v>357</v>
      </c>
      <c r="K389" s="68">
        <v>25</v>
      </c>
      <c r="L389" s="68">
        <v>360.45000000000016</v>
      </c>
      <c r="M389" s="83"/>
      <c r="N389" s="21" t="str">
        <f t="shared" si="35"/>
        <v>MCSREC2CPF - Ajuda de custo - Combustível</v>
      </c>
      <c r="O389" s="21" t="str">
        <f t="shared" si="36"/>
        <v>REC2CPF - Ajuda de custo - Combustível</v>
      </c>
      <c r="P389" s="21" t="str">
        <f t="shared" si="37"/>
        <v>MCSREC2CPF - Ajuda de custo - Combustível</v>
      </c>
      <c r="Q389" s="21" t="str">
        <f t="shared" si="38"/>
        <v>MCSREC2</v>
      </c>
      <c r="R389" s="21" t="str">
        <f t="shared" si="39"/>
        <v>MCSREC2</v>
      </c>
      <c r="S389" s="17"/>
      <c r="T389" s="24">
        <f t="shared" si="40"/>
        <v>45778</v>
      </c>
      <c r="U389" s="24" t="str">
        <f t="shared" si="42"/>
        <v/>
      </c>
      <c r="V389" s="14" t="s">
        <v>761</v>
      </c>
    </row>
    <row r="390" spans="2:22" x14ac:dyDescent="0.25">
      <c r="B390" s="20" t="s">
        <v>25</v>
      </c>
      <c r="C390" s="17"/>
      <c r="D390" s="86" t="str">
        <f>INDEX(Cad_Natureza!$B$3:$C$52,MATCH('2025'!F390,Cad_Natureza!$C$3:$C$52,0),MATCH('2025'!D$2,Cad_Natureza!$B$3:$C$3,0))</f>
        <v>OPF1</v>
      </c>
      <c r="E390" s="84" t="s">
        <v>414</v>
      </c>
      <c r="F390" s="85" t="s">
        <v>744</v>
      </c>
      <c r="G390" s="86" t="s">
        <v>25</v>
      </c>
      <c r="H390" s="87">
        <v>45804</v>
      </c>
      <c r="I390" s="87"/>
      <c r="J390" s="79" t="s">
        <v>182</v>
      </c>
      <c r="K390" s="62">
        <v>-23</v>
      </c>
      <c r="L390" s="68">
        <v>337.45000000000016</v>
      </c>
      <c r="M390" s="17"/>
      <c r="N390" s="21" t="str">
        <f t="shared" si="35"/>
        <v>MCSOPF1CPF - Desp. Alimentação / Refeição</v>
      </c>
      <c r="O390" s="21" t="str">
        <f t="shared" si="36"/>
        <v>OPF1CPF - Desp. Alimentação / Refeição</v>
      </c>
      <c r="P390" s="21" t="str">
        <f t="shared" si="37"/>
        <v>MCSOPF1CPF - Desp. Alimentação / Refeição</v>
      </c>
      <c r="Q390" s="21" t="str">
        <f t="shared" si="38"/>
        <v>MCSOPF1</v>
      </c>
      <c r="R390" s="21" t="str">
        <f t="shared" si="39"/>
        <v>MCSOPF1</v>
      </c>
      <c r="S390" s="17"/>
      <c r="T390" s="24">
        <f t="shared" si="40"/>
        <v>45778</v>
      </c>
      <c r="U390" s="24" t="str">
        <f t="shared" si="42"/>
        <v/>
      </c>
      <c r="V390" s="14" t="s">
        <v>761</v>
      </c>
    </row>
    <row r="391" spans="2:22" x14ac:dyDescent="0.25">
      <c r="B391" s="20" t="s">
        <v>25</v>
      </c>
      <c r="C391" s="17"/>
      <c r="D391" s="86" t="str">
        <f>INDEX(Cad_Natureza!$B$3:$C$52,MATCH('2025'!F391,Cad_Natureza!$C$3:$C$52,0),MATCH('2025'!D$2,Cad_Natureza!$B$3:$C$3,0))</f>
        <v>OPF1</v>
      </c>
      <c r="E391" s="84" t="s">
        <v>415</v>
      </c>
      <c r="F391" s="85" t="s">
        <v>744</v>
      </c>
      <c r="G391" s="86" t="s">
        <v>25</v>
      </c>
      <c r="H391" s="87">
        <v>45805</v>
      </c>
      <c r="I391" s="87"/>
      <c r="J391" s="79" t="s">
        <v>182</v>
      </c>
      <c r="K391" s="62">
        <v>-23</v>
      </c>
      <c r="L391" s="68">
        <v>314.45000000000016</v>
      </c>
      <c r="M391" s="17"/>
      <c r="N391" s="21" t="str">
        <f t="shared" si="35"/>
        <v>MCSOPF1CPF - Desp. Alimentação / Refeição</v>
      </c>
      <c r="O391" s="21" t="str">
        <f t="shared" si="36"/>
        <v>OPF1CPF - Desp. Alimentação / Refeição</v>
      </c>
      <c r="P391" s="21" t="str">
        <f t="shared" si="37"/>
        <v>MCSOPF1CPF - Desp. Alimentação / Refeição</v>
      </c>
      <c r="Q391" s="21" t="str">
        <f t="shared" si="38"/>
        <v>MCSOPF1</v>
      </c>
      <c r="R391" s="21" t="str">
        <f t="shared" si="39"/>
        <v>MCSOPF1</v>
      </c>
      <c r="S391" s="17"/>
      <c r="T391" s="24">
        <f t="shared" si="40"/>
        <v>45778</v>
      </c>
      <c r="U391" s="24" t="str">
        <f t="shared" si="42"/>
        <v/>
      </c>
      <c r="V391" s="14" t="s">
        <v>761</v>
      </c>
    </row>
    <row r="392" spans="2:22" x14ac:dyDescent="0.25">
      <c r="B392" s="20" t="s">
        <v>25</v>
      </c>
      <c r="C392" s="17"/>
      <c r="D392" s="86" t="str">
        <f>INDEX(Cad_Natureza!$B$3:$C$52,MATCH('2025'!F392,Cad_Natureza!$C$3:$C$52,0),MATCH('2025'!D$2,Cad_Natureza!$B$3:$C$3,0))</f>
        <v>GAST2</v>
      </c>
      <c r="E392" s="84" t="s">
        <v>416</v>
      </c>
      <c r="F392" s="85" t="s">
        <v>743</v>
      </c>
      <c r="G392" s="86" t="s">
        <v>25</v>
      </c>
      <c r="H392" s="87">
        <v>45805</v>
      </c>
      <c r="I392" s="87"/>
      <c r="J392" s="79" t="s">
        <v>185</v>
      </c>
      <c r="K392" s="62">
        <v>-35</v>
      </c>
      <c r="L392" s="68">
        <v>279.45000000000016</v>
      </c>
      <c r="M392" s="17"/>
      <c r="N392" s="21" t="str">
        <f t="shared" si="35"/>
        <v>MCSGAST2CPF - Desp. Lazer e Entretenimento - Cigarro</v>
      </c>
      <c r="O392" s="21" t="str">
        <f t="shared" si="36"/>
        <v>GAST2CPF - Desp. Lazer e Entretenimento - Cigarro</v>
      </c>
      <c r="P392" s="21" t="str">
        <f t="shared" si="37"/>
        <v>MCSGAST2CPF - Desp. Lazer e Entretenimento - Cigarro</v>
      </c>
      <c r="Q392" s="21" t="str">
        <f t="shared" si="38"/>
        <v>MCSGAST2</v>
      </c>
      <c r="R392" s="21" t="str">
        <f t="shared" si="39"/>
        <v>MCSGAST2</v>
      </c>
      <c r="S392" s="17"/>
      <c r="T392" s="24">
        <f t="shared" si="40"/>
        <v>45778</v>
      </c>
      <c r="U392" s="24" t="str">
        <f t="shared" si="42"/>
        <v/>
      </c>
      <c r="V392" s="14" t="s">
        <v>761</v>
      </c>
    </row>
    <row r="393" spans="2:22" x14ac:dyDescent="0.25">
      <c r="B393" s="20" t="s">
        <v>25</v>
      </c>
      <c r="C393" s="17"/>
      <c r="D393" s="86" t="str">
        <f>INDEX(Cad_Natureza!$B$3:$C$52,MATCH('2025'!F393,Cad_Natureza!$C$3:$C$52,0),MATCH('2025'!D$2,Cad_Natureza!$B$3:$C$3,0))</f>
        <v>GAST1</v>
      </c>
      <c r="E393" s="84" t="s">
        <v>417</v>
      </c>
      <c r="F393" s="85" t="s">
        <v>742</v>
      </c>
      <c r="G393" s="86" t="s">
        <v>25</v>
      </c>
      <c r="H393" s="87">
        <v>45805</v>
      </c>
      <c r="I393" s="87"/>
      <c r="J393" s="79" t="s">
        <v>185</v>
      </c>
      <c r="K393" s="62">
        <v>-23</v>
      </c>
      <c r="L393" s="68">
        <v>256.45000000000016</v>
      </c>
      <c r="M393" s="17"/>
      <c r="N393" s="21" t="str">
        <f t="shared" si="35"/>
        <v>MCSGAST1CPF - Desp. Lazer e Entretenimento - Bares</v>
      </c>
      <c r="O393" s="21" t="str">
        <f t="shared" si="36"/>
        <v>GAST1CPF - Desp. Lazer e Entretenimento - Bares</v>
      </c>
      <c r="P393" s="21" t="str">
        <f t="shared" si="37"/>
        <v>MCSGAST1CPF - Desp. Lazer e Entretenimento - Bares</v>
      </c>
      <c r="Q393" s="21" t="str">
        <f t="shared" si="38"/>
        <v>MCSGAST1</v>
      </c>
      <c r="R393" s="21" t="str">
        <f t="shared" si="39"/>
        <v>MCSGAST1</v>
      </c>
      <c r="S393" s="17"/>
      <c r="T393" s="24">
        <f t="shared" si="40"/>
        <v>45778</v>
      </c>
      <c r="U393" s="24" t="str">
        <f t="shared" si="42"/>
        <v/>
      </c>
      <c r="V393" s="14" t="s">
        <v>761</v>
      </c>
    </row>
    <row r="394" spans="2:22" x14ac:dyDescent="0.25">
      <c r="B394" s="20" t="s">
        <v>25</v>
      </c>
      <c r="C394" s="17"/>
      <c r="D394" s="86" t="str">
        <f>INDEX(Cad_Natureza!$B$3:$C$52,MATCH('2025'!F394,Cad_Natureza!$C$3:$C$52,0),MATCH('2025'!D$2,Cad_Natureza!$B$3:$C$3,0))</f>
        <v>OPF2</v>
      </c>
      <c r="E394" s="84" t="s">
        <v>418</v>
      </c>
      <c r="F394" s="85" t="s">
        <v>741</v>
      </c>
      <c r="G394" s="86" t="s">
        <v>25</v>
      </c>
      <c r="H394" s="87">
        <v>45805</v>
      </c>
      <c r="I394" s="87"/>
      <c r="J394" s="79" t="s">
        <v>184</v>
      </c>
      <c r="K394" s="62">
        <v>-50</v>
      </c>
      <c r="L394" s="68">
        <v>206.45000000000016</v>
      </c>
      <c r="M394" s="17"/>
      <c r="N394" s="21" t="str">
        <f t="shared" si="35"/>
        <v>MCSOPF2CPF - Desp. Transporte / Combustível</v>
      </c>
      <c r="O394" s="21" t="str">
        <f t="shared" si="36"/>
        <v>OPF2CPF - Desp. Transporte / Combustível</v>
      </c>
      <c r="P394" s="21" t="str">
        <f t="shared" si="37"/>
        <v>MCSOPF2CPF - Desp. Transporte / Combustível</v>
      </c>
      <c r="Q394" s="21" t="str">
        <f t="shared" si="38"/>
        <v>MCSOPF2</v>
      </c>
      <c r="R394" s="21" t="str">
        <f t="shared" si="39"/>
        <v>MCSOPF2</v>
      </c>
      <c r="S394" s="17"/>
      <c r="T394" s="24">
        <f t="shared" si="40"/>
        <v>45778</v>
      </c>
      <c r="U394" s="24" t="str">
        <f t="shared" si="42"/>
        <v/>
      </c>
      <c r="V394" s="14" t="s">
        <v>761</v>
      </c>
    </row>
    <row r="395" spans="2:22" x14ac:dyDescent="0.25">
      <c r="B395" s="20" t="s">
        <v>25</v>
      </c>
      <c r="C395" s="17"/>
      <c r="D395" s="86" t="str">
        <f>INDEX(Cad_Natureza!$B$3:$C$52,MATCH('2025'!F395,Cad_Natureza!$C$3:$C$52,0),MATCH('2025'!D$2,Cad_Natureza!$B$3:$C$3,0))</f>
        <v>OPF1</v>
      </c>
      <c r="E395" s="84" t="s">
        <v>419</v>
      </c>
      <c r="F395" s="85" t="s">
        <v>744</v>
      </c>
      <c r="G395" s="86" t="s">
        <v>25</v>
      </c>
      <c r="H395" s="87">
        <v>45806</v>
      </c>
      <c r="I395" s="87"/>
      <c r="J395" s="79" t="s">
        <v>182</v>
      </c>
      <c r="K395" s="62">
        <v>-23</v>
      </c>
      <c r="L395" s="68">
        <v>183.45000000000016</v>
      </c>
      <c r="M395" s="17"/>
      <c r="N395" s="21" t="str">
        <f t="shared" si="35"/>
        <v>MCSOPF1CPF - Desp. Alimentação / Refeição</v>
      </c>
      <c r="O395" s="21" t="str">
        <f t="shared" si="36"/>
        <v>OPF1CPF - Desp. Alimentação / Refeição</v>
      </c>
      <c r="P395" s="21" t="str">
        <f t="shared" si="37"/>
        <v>MCSOPF1CPF - Desp. Alimentação / Refeição</v>
      </c>
      <c r="Q395" s="21" t="str">
        <f t="shared" si="38"/>
        <v>MCSOPF1</v>
      </c>
      <c r="R395" s="21" t="str">
        <f t="shared" si="39"/>
        <v>MCSOPF1</v>
      </c>
      <c r="S395" s="17"/>
      <c r="T395" s="24">
        <f t="shared" si="40"/>
        <v>45778</v>
      </c>
      <c r="U395" s="24" t="str">
        <f t="shared" si="42"/>
        <v/>
      </c>
      <c r="V395" s="14" t="s">
        <v>761</v>
      </c>
    </row>
    <row r="396" spans="2:22" x14ac:dyDescent="0.25">
      <c r="B396" s="20" t="s">
        <v>25</v>
      </c>
      <c r="C396" s="17"/>
      <c r="D396" s="63" t="str">
        <f>INDEX(Cad_Natureza!$B$3:$C$52,MATCH('2025'!F396,Cad_Natureza!$C$3:$C$52,0),MATCH('2025'!D$2,Cad_Natureza!$B$3:$C$3,0))</f>
        <v>GAST1</v>
      </c>
      <c r="E396" s="64" t="s">
        <v>420</v>
      </c>
      <c r="F396" s="65" t="s">
        <v>742</v>
      </c>
      <c r="G396" s="63" t="s">
        <v>25</v>
      </c>
      <c r="H396" s="66">
        <v>45806</v>
      </c>
      <c r="I396" s="66"/>
      <c r="J396" s="67" t="s">
        <v>456</v>
      </c>
      <c r="K396" s="68">
        <v>7.5</v>
      </c>
      <c r="L396" s="68">
        <v>190.95000000000016</v>
      </c>
      <c r="M396" s="17"/>
      <c r="N396" s="21" t="str">
        <f t="shared" si="35"/>
        <v>MCSGAST1CPF - Desp. Lazer e Entretenimento - Bares</v>
      </c>
      <c r="O396" s="21" t="str">
        <f t="shared" si="36"/>
        <v>GAST1CPF - Desp. Lazer e Entretenimento - Bares</v>
      </c>
      <c r="P396" s="21" t="str">
        <f t="shared" si="37"/>
        <v>MCSGAST1CPF - Desp. Lazer e Entretenimento - Bares</v>
      </c>
      <c r="Q396" s="21" t="str">
        <f t="shared" si="38"/>
        <v>MCSGAST1</v>
      </c>
      <c r="R396" s="21" t="str">
        <f t="shared" si="39"/>
        <v>MCSGAST1</v>
      </c>
      <c r="S396" s="17"/>
      <c r="T396" s="24">
        <f t="shared" si="40"/>
        <v>45778</v>
      </c>
      <c r="U396" s="24" t="str">
        <f t="shared" si="42"/>
        <v/>
      </c>
      <c r="V396" s="14" t="s">
        <v>761</v>
      </c>
    </row>
    <row r="397" spans="2:22" x14ac:dyDescent="0.25">
      <c r="B397" s="20" t="s">
        <v>25</v>
      </c>
      <c r="C397" s="17"/>
      <c r="D397" s="86" t="str">
        <f>INDEX(Cad_Natureza!$B$3:$C$52,MATCH('2025'!F397,Cad_Natureza!$C$3:$C$52,0),MATCH('2025'!D$2,Cad_Natureza!$B$3:$C$3,0))</f>
        <v>GAST1</v>
      </c>
      <c r="E397" s="84" t="s">
        <v>421</v>
      </c>
      <c r="F397" s="85" t="s">
        <v>742</v>
      </c>
      <c r="G397" s="86" t="s">
        <v>25</v>
      </c>
      <c r="H397" s="87">
        <v>45806</v>
      </c>
      <c r="I397" s="87"/>
      <c r="J397" s="79" t="s">
        <v>185</v>
      </c>
      <c r="K397" s="62">
        <v>-5.5</v>
      </c>
      <c r="L397" s="68">
        <v>185.45000000000016</v>
      </c>
      <c r="M397" s="17"/>
      <c r="N397" s="21" t="str">
        <f t="shared" si="35"/>
        <v>MCSGAST1CPF - Desp. Lazer e Entretenimento - Bares</v>
      </c>
      <c r="O397" s="21" t="str">
        <f t="shared" si="36"/>
        <v>GAST1CPF - Desp. Lazer e Entretenimento - Bares</v>
      </c>
      <c r="P397" s="21" t="str">
        <f t="shared" si="37"/>
        <v>MCSGAST1CPF - Desp. Lazer e Entretenimento - Bares</v>
      </c>
      <c r="Q397" s="21" t="str">
        <f t="shared" si="38"/>
        <v>MCSGAST1</v>
      </c>
      <c r="R397" s="21" t="str">
        <f t="shared" si="39"/>
        <v>MCSGAST1</v>
      </c>
      <c r="S397" s="17"/>
      <c r="T397" s="24">
        <f t="shared" si="40"/>
        <v>45778</v>
      </c>
      <c r="U397" s="24" t="str">
        <f t="shared" si="42"/>
        <v/>
      </c>
      <c r="V397" s="14" t="s">
        <v>761</v>
      </c>
    </row>
    <row r="398" spans="2:22" x14ac:dyDescent="0.25">
      <c r="B398" s="20" t="s">
        <v>25</v>
      </c>
      <c r="C398" s="17"/>
      <c r="D398" s="86" t="str">
        <f>INDEX(Cad_Natureza!$B$3:$C$52,MATCH('2025'!F398,Cad_Natureza!$C$3:$C$52,0),MATCH('2025'!D$2,Cad_Natureza!$B$3:$C$3,0))</f>
        <v>OPF1</v>
      </c>
      <c r="E398" s="84" t="s">
        <v>422</v>
      </c>
      <c r="F398" s="85" t="s">
        <v>744</v>
      </c>
      <c r="G398" s="86" t="s">
        <v>25</v>
      </c>
      <c r="H398" s="87">
        <v>45807</v>
      </c>
      <c r="I398" s="87"/>
      <c r="J398" s="79" t="s">
        <v>182</v>
      </c>
      <c r="K398" s="62">
        <v>-23</v>
      </c>
      <c r="L398" s="68">
        <v>162.45000000000016</v>
      </c>
      <c r="M398" s="17"/>
      <c r="N398" s="21" t="str">
        <f t="shared" si="35"/>
        <v>MCSOPF1CPF - Desp. Alimentação / Refeição</v>
      </c>
      <c r="O398" s="21" t="str">
        <f t="shared" si="36"/>
        <v>OPF1CPF - Desp. Alimentação / Refeição</v>
      </c>
      <c r="P398" s="21" t="str">
        <f t="shared" si="37"/>
        <v>MCSOPF1CPF - Desp. Alimentação / Refeição</v>
      </c>
      <c r="Q398" s="21" t="str">
        <f t="shared" si="38"/>
        <v>MCSOPF1</v>
      </c>
      <c r="R398" s="21" t="str">
        <f t="shared" si="39"/>
        <v>MCSOPF1</v>
      </c>
      <c r="S398" s="17"/>
      <c r="T398" s="24">
        <f t="shared" si="40"/>
        <v>45778</v>
      </c>
      <c r="U398" s="24" t="str">
        <f t="shared" si="42"/>
        <v/>
      </c>
      <c r="V398" s="14" t="s">
        <v>761</v>
      </c>
    </row>
    <row r="399" spans="2:22" x14ac:dyDescent="0.25">
      <c r="B399" s="20" t="s">
        <v>25</v>
      </c>
      <c r="C399" s="17"/>
      <c r="D399" s="86" t="str">
        <f>INDEX(Cad_Natureza!$B$3:$C$52,MATCH('2025'!F399,Cad_Natureza!$C$3:$C$52,0),MATCH('2025'!D$2,Cad_Natureza!$B$3:$C$3,0))</f>
        <v>GAST2</v>
      </c>
      <c r="E399" s="84" t="s">
        <v>423</v>
      </c>
      <c r="F399" s="85" t="s">
        <v>743</v>
      </c>
      <c r="G399" s="86" t="s">
        <v>25</v>
      </c>
      <c r="H399" s="87">
        <v>45807</v>
      </c>
      <c r="I399" s="87"/>
      <c r="J399" s="79" t="s">
        <v>180</v>
      </c>
      <c r="K399" s="62">
        <v>-2.5</v>
      </c>
      <c r="L399" s="68">
        <v>159.95000000000016</v>
      </c>
      <c r="M399" s="17"/>
      <c r="N399" s="21" t="str">
        <f t="shared" si="35"/>
        <v>MCSGAST2CPF - Desp. Lazer e Entretenimento - Cigarro</v>
      </c>
      <c r="O399" s="21" t="str">
        <f t="shared" si="36"/>
        <v>GAST2CPF - Desp. Lazer e Entretenimento - Cigarro</v>
      </c>
      <c r="P399" s="21" t="str">
        <f t="shared" si="37"/>
        <v>MCSGAST2CPF - Desp. Lazer e Entretenimento - Cigarro</v>
      </c>
      <c r="Q399" s="21" t="str">
        <f t="shared" si="38"/>
        <v>MCSGAST2</v>
      </c>
      <c r="R399" s="21" t="str">
        <f t="shared" si="39"/>
        <v>MCSGAST2</v>
      </c>
      <c r="S399" s="17"/>
      <c r="T399" s="24">
        <f t="shared" si="40"/>
        <v>45778</v>
      </c>
      <c r="U399" s="24" t="str">
        <f t="shared" si="42"/>
        <v/>
      </c>
      <c r="V399" s="14" t="s">
        <v>761</v>
      </c>
    </row>
    <row r="400" spans="2:22" x14ac:dyDescent="0.25">
      <c r="B400" s="20" t="s">
        <v>25</v>
      </c>
      <c r="C400" s="17"/>
      <c r="D400" s="86" t="str">
        <f>INDEX(Cad_Natureza!$B$3:$C$52,MATCH('2025'!F400,Cad_Natureza!$C$3:$C$52,0),MATCH('2025'!D$2,Cad_Natureza!$B$3:$C$3,0))</f>
        <v>GAST1</v>
      </c>
      <c r="E400" s="84" t="s">
        <v>424</v>
      </c>
      <c r="F400" s="85" t="s">
        <v>742</v>
      </c>
      <c r="G400" s="86" t="s">
        <v>25</v>
      </c>
      <c r="H400" s="87">
        <v>45807</v>
      </c>
      <c r="I400" s="87"/>
      <c r="J400" s="79" t="s">
        <v>185</v>
      </c>
      <c r="K400" s="62">
        <v>-6</v>
      </c>
      <c r="L400" s="68">
        <v>153.95000000000016</v>
      </c>
      <c r="M400" s="17"/>
      <c r="N400" s="21" t="str">
        <f t="shared" si="35"/>
        <v>MCSGAST1CPF - Desp. Lazer e Entretenimento - Bares</v>
      </c>
      <c r="O400" s="21" t="str">
        <f t="shared" si="36"/>
        <v>GAST1CPF - Desp. Lazer e Entretenimento - Bares</v>
      </c>
      <c r="P400" s="21" t="str">
        <f t="shared" si="37"/>
        <v>MCSGAST1CPF - Desp. Lazer e Entretenimento - Bares</v>
      </c>
      <c r="Q400" s="21" t="str">
        <f t="shared" si="38"/>
        <v>MCSGAST1</v>
      </c>
      <c r="R400" s="21" t="str">
        <f t="shared" si="39"/>
        <v>MCSGAST1</v>
      </c>
      <c r="S400" s="17"/>
      <c r="T400" s="24">
        <f t="shared" si="40"/>
        <v>45778</v>
      </c>
      <c r="U400" s="24" t="str">
        <f t="shared" si="42"/>
        <v/>
      </c>
      <c r="V400" s="14" t="s">
        <v>761</v>
      </c>
    </row>
    <row r="401" spans="2:22" x14ac:dyDescent="0.25">
      <c r="B401" s="20" t="s">
        <v>25</v>
      </c>
      <c r="C401" s="17"/>
      <c r="D401" s="86" t="str">
        <f>INDEX(Cad_Natureza!$B$3:$C$52,MATCH('2025'!F401,Cad_Natureza!$C$3:$C$52,0),MATCH('2025'!D$2,Cad_Natureza!$B$3:$C$3,0))</f>
        <v>PENS6</v>
      </c>
      <c r="E401" s="84" t="s">
        <v>425</v>
      </c>
      <c r="F401" s="85" t="s">
        <v>37</v>
      </c>
      <c r="G401" s="86" t="s">
        <v>25</v>
      </c>
      <c r="H401" s="87">
        <v>45810</v>
      </c>
      <c r="I401" s="87"/>
      <c r="J401" s="78" t="s">
        <v>196</v>
      </c>
      <c r="K401" s="80">
        <v>-34.99</v>
      </c>
      <c r="L401" s="68">
        <v>118.96000000000015</v>
      </c>
      <c r="M401" s="17"/>
      <c r="N401" s="21" t="str">
        <f t="shared" si="35"/>
        <v>MCSPENS6CPF - Pensão - Farmácia e Saúde</v>
      </c>
      <c r="O401" s="21" t="str">
        <f t="shared" si="36"/>
        <v>PENS6CPF - Pensão - Farmácia e Saúde</v>
      </c>
      <c r="P401" s="21" t="str">
        <f t="shared" si="37"/>
        <v>MCSPENS6CPF - Pensão - Farmácia e Saúde</v>
      </c>
      <c r="Q401" s="21" t="str">
        <f t="shared" si="38"/>
        <v>MCSPENS6</v>
      </c>
      <c r="R401" s="21" t="str">
        <f t="shared" si="39"/>
        <v>MCSPENS6</v>
      </c>
      <c r="S401" s="17"/>
      <c r="T401" s="24">
        <f t="shared" si="40"/>
        <v>45809</v>
      </c>
      <c r="U401" s="24" t="str">
        <f t="shared" si="42"/>
        <v/>
      </c>
      <c r="V401" s="14" t="s">
        <v>731</v>
      </c>
    </row>
    <row r="402" spans="2:22" x14ac:dyDescent="0.25">
      <c r="B402" s="20" t="s">
        <v>25</v>
      </c>
      <c r="C402" s="17"/>
      <c r="D402" s="86" t="str">
        <f>INDEX(Cad_Natureza!$B$3:$C$52,MATCH('2025'!F402,Cad_Natureza!$C$3:$C$52,0),MATCH('2025'!D$2,Cad_Natureza!$B$3:$C$3,0))</f>
        <v>GAST1</v>
      </c>
      <c r="E402" s="84" t="s">
        <v>426</v>
      </c>
      <c r="F402" s="85" t="s">
        <v>742</v>
      </c>
      <c r="G402" s="86" t="s">
        <v>25</v>
      </c>
      <c r="H402" s="87">
        <v>45810</v>
      </c>
      <c r="I402" s="87"/>
      <c r="J402" s="79" t="s">
        <v>185</v>
      </c>
      <c r="K402" s="62">
        <v>-8</v>
      </c>
      <c r="L402" s="68">
        <v>110.96000000000015</v>
      </c>
      <c r="M402" s="17"/>
      <c r="N402" s="21" t="str">
        <f t="shared" si="35"/>
        <v>MCSGAST1CPF - Desp. Lazer e Entretenimento - Bares</v>
      </c>
      <c r="O402" s="21" t="str">
        <f t="shared" si="36"/>
        <v>GAST1CPF - Desp. Lazer e Entretenimento - Bares</v>
      </c>
      <c r="P402" s="21" t="str">
        <f t="shared" si="37"/>
        <v>MCSGAST1CPF - Desp. Lazer e Entretenimento - Bares</v>
      </c>
      <c r="Q402" s="21" t="str">
        <f t="shared" si="38"/>
        <v>MCSGAST1</v>
      </c>
      <c r="R402" s="21" t="str">
        <f t="shared" si="39"/>
        <v>MCSGAST1</v>
      </c>
      <c r="S402" s="17"/>
      <c r="T402" s="24">
        <f t="shared" si="40"/>
        <v>45809</v>
      </c>
      <c r="U402" s="24" t="str">
        <f t="shared" si="42"/>
        <v/>
      </c>
      <c r="V402" s="14" t="s">
        <v>761</v>
      </c>
    </row>
    <row r="403" spans="2:22" x14ac:dyDescent="0.25">
      <c r="B403" s="20" t="s">
        <v>25</v>
      </c>
      <c r="C403" s="17"/>
      <c r="D403" s="86" t="str">
        <f>INDEX(Cad_Natureza!$B$3:$C$52,MATCH('2025'!F403,Cad_Natureza!$C$3:$C$52,0),MATCH('2025'!D$2,Cad_Natureza!$B$3:$C$3,0))</f>
        <v>OPF2</v>
      </c>
      <c r="E403" s="84" t="s">
        <v>427</v>
      </c>
      <c r="F403" s="85" t="s">
        <v>741</v>
      </c>
      <c r="G403" s="86" t="s">
        <v>25</v>
      </c>
      <c r="H403" s="87">
        <v>45810</v>
      </c>
      <c r="I403" s="87"/>
      <c r="J403" s="79" t="s">
        <v>184</v>
      </c>
      <c r="K403" s="62">
        <v>-50</v>
      </c>
      <c r="L403" s="68">
        <v>60.96000000000015</v>
      </c>
      <c r="M403" s="17"/>
      <c r="N403" s="21" t="str">
        <f t="shared" si="35"/>
        <v>MCSOPF2CPF - Desp. Transporte / Combustível</v>
      </c>
      <c r="O403" s="21" t="str">
        <f t="shared" si="36"/>
        <v>OPF2CPF - Desp. Transporte / Combustível</v>
      </c>
      <c r="P403" s="21" t="str">
        <f t="shared" si="37"/>
        <v>MCSOPF2CPF - Desp. Transporte / Combustível</v>
      </c>
      <c r="Q403" s="21" t="str">
        <f t="shared" si="38"/>
        <v>MCSOPF2</v>
      </c>
      <c r="R403" s="21" t="str">
        <f t="shared" si="39"/>
        <v>MCSOPF2</v>
      </c>
      <c r="S403" s="17"/>
      <c r="T403" s="24">
        <f t="shared" si="40"/>
        <v>45809</v>
      </c>
      <c r="U403" s="24" t="str">
        <f t="shared" si="42"/>
        <v/>
      </c>
      <c r="V403" s="14" t="s">
        <v>761</v>
      </c>
    </row>
    <row r="404" spans="2:22" x14ac:dyDescent="0.25">
      <c r="B404" s="20" t="s">
        <v>25</v>
      </c>
      <c r="C404" s="17"/>
      <c r="D404" s="63" t="str">
        <f>INDEX(Cad_Natureza!$B$3:$C$52,MATCH('2025'!F404,Cad_Natureza!$C$3:$C$52,0),MATCH('2025'!D$2,Cad_Natureza!$B$3:$C$3,0))</f>
        <v>REC5</v>
      </c>
      <c r="E404" s="64" t="s">
        <v>428</v>
      </c>
      <c r="F404" s="65" t="s">
        <v>740</v>
      </c>
      <c r="G404" s="63" t="s">
        <v>25</v>
      </c>
      <c r="H404" s="66">
        <v>45810</v>
      </c>
      <c r="I404" s="66"/>
      <c r="J404" s="67" t="s">
        <v>609</v>
      </c>
      <c r="K404" s="68">
        <v>13.96</v>
      </c>
      <c r="L404" s="68">
        <v>74.920000000000158</v>
      </c>
      <c r="M404" s="17"/>
      <c r="N404" s="21" t="str">
        <f t="shared" si="35"/>
        <v>MCSREC5CPF - Outras receitas</v>
      </c>
      <c r="O404" s="21" t="str">
        <f t="shared" si="36"/>
        <v>REC5CPF - Outras receitas</v>
      </c>
      <c r="P404" s="21" t="str">
        <f t="shared" si="37"/>
        <v>MCSREC5CPF - Outras receitas</v>
      </c>
      <c r="Q404" s="21" t="str">
        <f t="shared" si="38"/>
        <v>MCSREC5</v>
      </c>
      <c r="R404" s="21" t="str">
        <f t="shared" si="39"/>
        <v>MCSREC5</v>
      </c>
      <c r="S404" s="17"/>
      <c r="T404" s="24">
        <f t="shared" si="40"/>
        <v>45809</v>
      </c>
      <c r="U404" s="24" t="str">
        <f t="shared" si="42"/>
        <v/>
      </c>
      <c r="V404" s="14" t="s">
        <v>761</v>
      </c>
    </row>
    <row r="405" spans="2:22" x14ac:dyDescent="0.25">
      <c r="B405" s="20" t="s">
        <v>25</v>
      </c>
      <c r="C405" s="17"/>
      <c r="D405" s="86" t="str">
        <f>INDEX(Cad_Natureza!$B$3:$C$52,MATCH('2025'!F405,Cad_Natureza!$C$3:$C$52,0),MATCH('2025'!D$2,Cad_Natureza!$B$3:$C$3,0))</f>
        <v>GAST1</v>
      </c>
      <c r="E405" s="84" t="s">
        <v>429</v>
      </c>
      <c r="F405" s="85" t="s">
        <v>742</v>
      </c>
      <c r="G405" s="86" t="s">
        <v>25</v>
      </c>
      <c r="H405" s="87">
        <v>45811</v>
      </c>
      <c r="I405" s="87"/>
      <c r="J405" s="79" t="s">
        <v>185</v>
      </c>
      <c r="K405" s="62">
        <v>-2</v>
      </c>
      <c r="L405" s="68">
        <v>72.920000000000158</v>
      </c>
      <c r="M405" s="17"/>
      <c r="N405" s="21" t="str">
        <f t="shared" si="35"/>
        <v>MCSGAST1CPF - Desp. Lazer e Entretenimento - Bares</v>
      </c>
      <c r="O405" s="21" t="str">
        <f t="shared" si="36"/>
        <v>GAST1CPF - Desp. Lazer e Entretenimento - Bares</v>
      </c>
      <c r="P405" s="21" t="str">
        <f t="shared" si="37"/>
        <v>MCSGAST1CPF - Desp. Lazer e Entretenimento - Bares</v>
      </c>
      <c r="Q405" s="21" t="str">
        <f t="shared" si="38"/>
        <v>MCSGAST1</v>
      </c>
      <c r="R405" s="21" t="str">
        <f t="shared" si="39"/>
        <v>MCSGAST1</v>
      </c>
      <c r="S405" s="17"/>
      <c r="T405" s="24">
        <f t="shared" si="40"/>
        <v>45809</v>
      </c>
      <c r="U405" s="24" t="str">
        <f t="shared" si="42"/>
        <v/>
      </c>
      <c r="V405" s="14" t="s">
        <v>761</v>
      </c>
    </row>
    <row r="406" spans="2:22" x14ac:dyDescent="0.25">
      <c r="B406" s="20" t="s">
        <v>25</v>
      </c>
      <c r="C406" s="17"/>
      <c r="D406" s="86" t="str">
        <f>INDEX(Cad_Natureza!$B$3:$C$52,MATCH('2025'!F406,Cad_Natureza!$C$3:$C$52,0),MATCH('2025'!D$2,Cad_Natureza!$B$3:$C$3,0))</f>
        <v>OPF2</v>
      </c>
      <c r="E406" s="84" t="s">
        <v>430</v>
      </c>
      <c r="F406" s="85" t="s">
        <v>741</v>
      </c>
      <c r="G406" s="86" t="s">
        <v>25</v>
      </c>
      <c r="H406" s="87">
        <v>45811</v>
      </c>
      <c r="I406" s="87"/>
      <c r="J406" s="79" t="s">
        <v>184</v>
      </c>
      <c r="K406" s="62">
        <v>-40</v>
      </c>
      <c r="L406" s="68">
        <v>32.920000000000158</v>
      </c>
      <c r="M406" s="17"/>
      <c r="N406" s="21" t="str">
        <f t="shared" si="35"/>
        <v>MCSOPF2CPF - Desp. Transporte / Combustível</v>
      </c>
      <c r="O406" s="21" t="str">
        <f t="shared" si="36"/>
        <v>OPF2CPF - Desp. Transporte / Combustível</v>
      </c>
      <c r="P406" s="21" t="str">
        <f t="shared" si="37"/>
        <v>MCSOPF2CPF - Desp. Transporte / Combustível</v>
      </c>
      <c r="Q406" s="21" t="str">
        <f t="shared" si="38"/>
        <v>MCSOPF2</v>
      </c>
      <c r="R406" s="21" t="str">
        <f t="shared" si="39"/>
        <v>MCSOPF2</v>
      </c>
      <c r="S406" s="17"/>
      <c r="T406" s="24">
        <f t="shared" si="40"/>
        <v>45809</v>
      </c>
      <c r="U406" s="24" t="str">
        <f t="shared" si="42"/>
        <v/>
      </c>
      <c r="V406" s="14" t="s">
        <v>761</v>
      </c>
    </row>
    <row r="407" spans="2:22" x14ac:dyDescent="0.25">
      <c r="B407" s="20" t="s">
        <v>25</v>
      </c>
      <c r="C407" s="17"/>
      <c r="D407" s="86" t="str">
        <f>INDEX(Cad_Natureza!$B$3:$C$52,MATCH('2025'!F407,Cad_Natureza!$C$3:$C$52,0),MATCH('2025'!D$2,Cad_Natureza!$B$3:$C$3,0))</f>
        <v>FIN2</v>
      </c>
      <c r="E407" s="84" t="s">
        <v>431</v>
      </c>
      <c r="F407" s="85" t="s">
        <v>751</v>
      </c>
      <c r="G407" s="86" t="s">
        <v>25</v>
      </c>
      <c r="H407" s="87">
        <v>45811</v>
      </c>
      <c r="I407" s="87"/>
      <c r="J407" s="79" t="s">
        <v>188</v>
      </c>
      <c r="K407" s="62">
        <v>-28</v>
      </c>
      <c r="L407" s="68">
        <v>4.920000000000158</v>
      </c>
      <c r="M407" s="17"/>
      <c r="N407" s="21" t="str">
        <f t="shared" si="35"/>
        <v>MCSFIN2CPF - Desp. Financeiras - Juros / Tarifas</v>
      </c>
      <c r="O407" s="21" t="str">
        <f t="shared" si="36"/>
        <v>FIN2CPF - Desp. Financeiras - Juros / Tarifas</v>
      </c>
      <c r="P407" s="21" t="str">
        <f t="shared" si="37"/>
        <v>MCSFIN2CPF - Desp. Financeiras - Juros / Tarifas</v>
      </c>
      <c r="Q407" s="21" t="str">
        <f t="shared" si="38"/>
        <v>MCSFIN2</v>
      </c>
      <c r="R407" s="21" t="str">
        <f t="shared" si="39"/>
        <v>MCSFIN2</v>
      </c>
      <c r="S407" s="17"/>
      <c r="T407" s="24">
        <f t="shared" si="40"/>
        <v>45809</v>
      </c>
      <c r="U407" s="24" t="str">
        <f t="shared" si="42"/>
        <v/>
      </c>
      <c r="V407" s="14" t="s">
        <v>761</v>
      </c>
    </row>
    <row r="408" spans="2:22" x14ac:dyDescent="0.25">
      <c r="B408" s="20" t="s">
        <v>25</v>
      </c>
      <c r="C408" s="17"/>
      <c r="D408" s="86" t="str">
        <f>INDEX(Cad_Natureza!$B$3:$C$52,MATCH('2025'!F408,Cad_Natureza!$C$3:$C$52,0),MATCH('2025'!D$2,Cad_Natureza!$B$3:$C$3,0))</f>
        <v>GAST1</v>
      </c>
      <c r="E408" s="84" t="s">
        <v>432</v>
      </c>
      <c r="F408" s="85" t="s">
        <v>742</v>
      </c>
      <c r="G408" s="86" t="s">
        <v>25</v>
      </c>
      <c r="H408" s="87">
        <v>45813</v>
      </c>
      <c r="I408" s="87"/>
      <c r="J408" s="79" t="s">
        <v>185</v>
      </c>
      <c r="K408" s="62">
        <v>-5</v>
      </c>
      <c r="L408" s="62">
        <v>-7.9999999999841975E-2</v>
      </c>
      <c r="M408" s="17"/>
      <c r="N408" s="21" t="str">
        <f t="shared" si="35"/>
        <v>MCSGAST1CPF - Desp. Lazer e Entretenimento - Bares</v>
      </c>
      <c r="O408" s="21" t="str">
        <f t="shared" si="36"/>
        <v>GAST1CPF - Desp. Lazer e Entretenimento - Bares</v>
      </c>
      <c r="P408" s="21" t="str">
        <f t="shared" si="37"/>
        <v>MCSGAST1CPF - Desp. Lazer e Entretenimento - Bares</v>
      </c>
      <c r="Q408" s="21" t="str">
        <f t="shared" si="38"/>
        <v>MCSGAST1</v>
      </c>
      <c r="R408" s="21" t="str">
        <f t="shared" si="39"/>
        <v>MCSGAST1</v>
      </c>
      <c r="S408" s="17"/>
      <c r="T408" s="24">
        <f t="shared" si="40"/>
        <v>45809</v>
      </c>
      <c r="U408" s="24" t="str">
        <f t="shared" si="42"/>
        <v/>
      </c>
      <c r="V408" s="14" t="s">
        <v>761</v>
      </c>
    </row>
    <row r="409" spans="2:22" x14ac:dyDescent="0.25">
      <c r="B409" s="20" t="s">
        <v>25</v>
      </c>
      <c r="C409" s="17"/>
      <c r="D409" s="63" t="str">
        <f>INDEX(Cad_Natureza!$B$3:$C$52,MATCH('2025'!F409,Cad_Natureza!$C$3:$C$52,0),MATCH('2025'!D$2,Cad_Natureza!$B$3:$C$3,0))</f>
        <v>REC5</v>
      </c>
      <c r="E409" s="64" t="s">
        <v>433</v>
      </c>
      <c r="F409" s="65" t="s">
        <v>740</v>
      </c>
      <c r="G409" s="63" t="s">
        <v>25</v>
      </c>
      <c r="H409" s="66">
        <v>45814</v>
      </c>
      <c r="I409" s="66"/>
      <c r="J409" s="67" t="s">
        <v>200</v>
      </c>
      <c r="K409" s="68">
        <v>15</v>
      </c>
      <c r="L409" s="68">
        <v>14.920000000000158</v>
      </c>
      <c r="M409" s="17"/>
      <c r="N409" s="21" t="str">
        <f t="shared" si="35"/>
        <v>MCSREC5CPF - Outras receitas</v>
      </c>
      <c r="O409" s="21" t="str">
        <f t="shared" si="36"/>
        <v>REC5CPF - Outras receitas</v>
      </c>
      <c r="P409" s="21" t="str">
        <f t="shared" si="37"/>
        <v>MCSREC5CPF - Outras receitas</v>
      </c>
      <c r="Q409" s="21" t="str">
        <f t="shared" si="38"/>
        <v>MCSREC5</v>
      </c>
      <c r="R409" s="21" t="str">
        <f t="shared" si="39"/>
        <v>MCSREC5</v>
      </c>
      <c r="S409" s="17"/>
      <c r="T409" s="24">
        <f t="shared" si="40"/>
        <v>45809</v>
      </c>
      <c r="U409" s="24" t="str">
        <f t="shared" si="42"/>
        <v/>
      </c>
      <c r="V409" s="14" t="s">
        <v>761</v>
      </c>
    </row>
    <row r="410" spans="2:22" x14ac:dyDescent="0.25">
      <c r="B410" s="20" t="s">
        <v>25</v>
      </c>
      <c r="C410" s="17"/>
      <c r="D410" s="63" t="str">
        <f>INDEX(Cad_Natureza!$B$3:$C$52,MATCH('2025'!F410,Cad_Natureza!$C$3:$C$52,0),MATCH('2025'!D$2,Cad_Natureza!$B$3:$C$3,0))</f>
        <v>REC1</v>
      </c>
      <c r="E410" s="64" t="s">
        <v>434</v>
      </c>
      <c r="F410" s="65" t="s">
        <v>745</v>
      </c>
      <c r="G410" s="63" t="s">
        <v>25</v>
      </c>
      <c r="H410" s="66">
        <v>45814</v>
      </c>
      <c r="I410" s="66"/>
      <c r="J410" s="81" t="s">
        <v>34</v>
      </c>
      <c r="K410" s="82">
        <v>3500</v>
      </c>
      <c r="L410" s="68">
        <v>3514.92</v>
      </c>
      <c r="M410" s="17"/>
      <c r="N410" s="21" t="str">
        <f t="shared" si="35"/>
        <v>MCSREC1CPF - Remun. Salário / Pró-Labore</v>
      </c>
      <c r="O410" s="21" t="str">
        <f t="shared" si="36"/>
        <v>REC1CPF - Remun. Salário / Pró-Labore</v>
      </c>
      <c r="P410" s="21" t="str">
        <f t="shared" si="37"/>
        <v>MCSREC1CPF - Remun. Salário / Pró-Labore</v>
      </c>
      <c r="Q410" s="21" t="str">
        <f t="shared" si="38"/>
        <v>MCSREC1</v>
      </c>
      <c r="R410" s="21" t="str">
        <f t="shared" si="39"/>
        <v>MCSREC1</v>
      </c>
      <c r="S410" s="17"/>
      <c r="T410" s="24">
        <f t="shared" si="40"/>
        <v>45809</v>
      </c>
      <c r="U410" s="24" t="str">
        <f t="shared" si="42"/>
        <v/>
      </c>
      <c r="V410" s="14" t="s">
        <v>761</v>
      </c>
    </row>
    <row r="411" spans="2:22" x14ac:dyDescent="0.25">
      <c r="B411" s="20" t="s">
        <v>25</v>
      </c>
      <c r="C411" s="17"/>
      <c r="D411" s="86" t="str">
        <f>INDEX(Cad_Natureza!$B$3:$C$52,MATCH('2025'!F411,Cad_Natureza!$C$3:$C$52,0),MATCH('2025'!D$2,Cad_Natureza!$B$3:$C$3,0))</f>
        <v>GAST1</v>
      </c>
      <c r="E411" s="84" t="s">
        <v>435</v>
      </c>
      <c r="F411" s="85" t="s">
        <v>742</v>
      </c>
      <c r="G411" s="86" t="s">
        <v>25</v>
      </c>
      <c r="H411" s="87">
        <v>45814</v>
      </c>
      <c r="I411" s="87"/>
      <c r="J411" s="79" t="s">
        <v>185</v>
      </c>
      <c r="K411" s="62">
        <v>-30.5</v>
      </c>
      <c r="L411" s="68">
        <v>3484.42</v>
      </c>
      <c r="M411" s="17"/>
      <c r="N411" s="21" t="str">
        <f t="shared" si="35"/>
        <v>MCSGAST1CPF - Desp. Lazer e Entretenimento - Bares</v>
      </c>
      <c r="O411" s="21" t="str">
        <f t="shared" si="36"/>
        <v>GAST1CPF - Desp. Lazer e Entretenimento - Bares</v>
      </c>
      <c r="P411" s="21" t="str">
        <f t="shared" si="37"/>
        <v>MCSGAST1CPF - Desp. Lazer e Entretenimento - Bares</v>
      </c>
      <c r="Q411" s="21" t="str">
        <f t="shared" si="38"/>
        <v>MCSGAST1</v>
      </c>
      <c r="R411" s="21" t="str">
        <f t="shared" si="39"/>
        <v>MCSGAST1</v>
      </c>
      <c r="S411" s="17"/>
      <c r="T411" s="24">
        <f t="shared" si="40"/>
        <v>45809</v>
      </c>
      <c r="U411" s="24" t="str">
        <f t="shared" si="42"/>
        <v/>
      </c>
      <c r="V411" s="14" t="s">
        <v>761</v>
      </c>
    </row>
    <row r="412" spans="2:22" x14ac:dyDescent="0.25">
      <c r="B412" s="20" t="s">
        <v>25</v>
      </c>
      <c r="C412" s="17"/>
      <c r="D412" s="86" t="str">
        <f>INDEX(Cad_Natureza!$B$3:$C$52,MATCH('2025'!F412,Cad_Natureza!$C$3:$C$52,0),MATCH('2025'!D$2,Cad_Natureza!$B$3:$C$3,0))</f>
        <v>GAST2</v>
      </c>
      <c r="E412" s="84" t="s">
        <v>436</v>
      </c>
      <c r="F412" s="85" t="s">
        <v>743</v>
      </c>
      <c r="G412" s="86" t="s">
        <v>25</v>
      </c>
      <c r="H412" s="87">
        <v>45814</v>
      </c>
      <c r="I412" s="87"/>
      <c r="J412" s="79" t="s">
        <v>185</v>
      </c>
      <c r="K412" s="62">
        <v>-35</v>
      </c>
      <c r="L412" s="68">
        <v>3449.42</v>
      </c>
      <c r="M412" s="17"/>
      <c r="N412" s="21" t="str">
        <f t="shared" si="35"/>
        <v>MCSGAST2CPF - Desp. Lazer e Entretenimento - Cigarro</v>
      </c>
      <c r="O412" s="21" t="str">
        <f t="shared" si="36"/>
        <v>GAST2CPF - Desp. Lazer e Entretenimento - Cigarro</v>
      </c>
      <c r="P412" s="21" t="str">
        <f t="shared" si="37"/>
        <v>MCSGAST2CPF - Desp. Lazer e Entretenimento - Cigarro</v>
      </c>
      <c r="Q412" s="21" t="str">
        <f t="shared" si="38"/>
        <v>MCSGAST2</v>
      </c>
      <c r="R412" s="21" t="str">
        <f t="shared" si="39"/>
        <v>MCSGAST2</v>
      </c>
      <c r="S412" s="17"/>
      <c r="T412" s="24">
        <f t="shared" si="40"/>
        <v>45809</v>
      </c>
      <c r="U412" s="24" t="str">
        <f t="shared" si="42"/>
        <v/>
      </c>
      <c r="V412" s="14" t="s">
        <v>761</v>
      </c>
    </row>
    <row r="413" spans="2:22" x14ac:dyDescent="0.25">
      <c r="B413" s="20" t="s">
        <v>25</v>
      </c>
      <c r="C413" s="17"/>
      <c r="D413" s="86" t="str">
        <f>INDEX(Cad_Natureza!$B$3:$C$52,MATCH('2025'!F413,Cad_Natureza!$C$3:$C$52,0),MATCH('2025'!D$2,Cad_Natureza!$B$3:$C$3,0))</f>
        <v>GAST1</v>
      </c>
      <c r="E413" s="84" t="s">
        <v>437</v>
      </c>
      <c r="F413" s="85" t="s">
        <v>742</v>
      </c>
      <c r="G413" s="86" t="s">
        <v>25</v>
      </c>
      <c r="H413" s="87">
        <v>45814</v>
      </c>
      <c r="I413" s="87"/>
      <c r="J413" s="79" t="s">
        <v>185</v>
      </c>
      <c r="K413" s="62">
        <v>-7</v>
      </c>
      <c r="L413" s="68">
        <v>3442.42</v>
      </c>
      <c r="M413" s="17"/>
      <c r="N413" s="21" t="str">
        <f t="shared" si="35"/>
        <v>MCSGAST1CPF - Desp. Lazer e Entretenimento - Bares</v>
      </c>
      <c r="O413" s="21" t="str">
        <f t="shared" si="36"/>
        <v>GAST1CPF - Desp. Lazer e Entretenimento - Bares</v>
      </c>
      <c r="P413" s="21" t="str">
        <f t="shared" si="37"/>
        <v>MCSGAST1CPF - Desp. Lazer e Entretenimento - Bares</v>
      </c>
      <c r="Q413" s="21" t="str">
        <f t="shared" si="38"/>
        <v>MCSGAST1</v>
      </c>
      <c r="R413" s="21" t="str">
        <f t="shared" si="39"/>
        <v>MCSGAST1</v>
      </c>
      <c r="S413" s="17"/>
      <c r="T413" s="24">
        <f t="shared" si="40"/>
        <v>45809</v>
      </c>
      <c r="U413" s="24" t="str">
        <f t="shared" si="42"/>
        <v/>
      </c>
      <c r="V413" s="14" t="s">
        <v>761</v>
      </c>
    </row>
    <row r="414" spans="2:22" x14ac:dyDescent="0.25">
      <c r="B414" s="20" t="s">
        <v>25</v>
      </c>
      <c r="C414" s="17"/>
      <c r="D414" s="86" t="str">
        <f>INDEX(Cad_Natureza!$B$3:$C$52,MATCH('2025'!F414,Cad_Natureza!$C$3:$C$52,0),MATCH('2025'!D$2,Cad_Natureza!$B$3:$C$3,0))</f>
        <v>GAST1</v>
      </c>
      <c r="E414" s="84" t="s">
        <v>438</v>
      </c>
      <c r="F414" s="85" t="s">
        <v>742</v>
      </c>
      <c r="G414" s="86" t="s">
        <v>25</v>
      </c>
      <c r="H414" s="87">
        <v>45814</v>
      </c>
      <c r="I414" s="87"/>
      <c r="J414" s="79" t="s">
        <v>185</v>
      </c>
      <c r="K414" s="62">
        <v>-10</v>
      </c>
      <c r="L414" s="68">
        <v>3432.42</v>
      </c>
      <c r="M414" s="17"/>
      <c r="N414" s="21" t="str">
        <f t="shared" si="35"/>
        <v>MCSGAST1CPF - Desp. Lazer e Entretenimento - Bares</v>
      </c>
      <c r="O414" s="21" t="str">
        <f t="shared" si="36"/>
        <v>GAST1CPF - Desp. Lazer e Entretenimento - Bares</v>
      </c>
      <c r="P414" s="21" t="str">
        <f t="shared" si="37"/>
        <v>MCSGAST1CPF - Desp. Lazer e Entretenimento - Bares</v>
      </c>
      <c r="Q414" s="21" t="str">
        <f t="shared" si="38"/>
        <v>MCSGAST1</v>
      </c>
      <c r="R414" s="21" t="str">
        <f t="shared" si="39"/>
        <v>MCSGAST1</v>
      </c>
      <c r="S414" s="17"/>
      <c r="T414" s="24">
        <f t="shared" si="40"/>
        <v>45809</v>
      </c>
      <c r="U414" s="24" t="str">
        <f t="shared" si="42"/>
        <v/>
      </c>
      <c r="V414" s="14" t="s">
        <v>761</v>
      </c>
    </row>
    <row r="415" spans="2:22" x14ac:dyDescent="0.25">
      <c r="B415" s="20" t="s">
        <v>25</v>
      </c>
      <c r="C415" s="17"/>
      <c r="D415" s="86" t="str">
        <f>INDEX(Cad_Natureza!$B$3:$C$52,MATCH('2025'!F415,Cad_Natureza!$C$3:$C$52,0),MATCH('2025'!D$2,Cad_Natureza!$B$3:$C$3,0))</f>
        <v>GAST1</v>
      </c>
      <c r="E415" s="84" t="s">
        <v>438</v>
      </c>
      <c r="F415" s="85" t="s">
        <v>742</v>
      </c>
      <c r="G415" s="86" t="s">
        <v>25</v>
      </c>
      <c r="H415" s="87">
        <v>45814</v>
      </c>
      <c r="I415" s="87"/>
      <c r="J415" s="79" t="s">
        <v>185</v>
      </c>
      <c r="K415" s="62">
        <v>-9</v>
      </c>
      <c r="L415" s="68">
        <v>3423.42</v>
      </c>
      <c r="M415" s="17"/>
      <c r="N415" s="21" t="str">
        <f t="shared" si="35"/>
        <v>MCSGAST1CPF - Desp. Lazer e Entretenimento - Bares</v>
      </c>
      <c r="O415" s="21" t="str">
        <f t="shared" si="36"/>
        <v>GAST1CPF - Desp. Lazer e Entretenimento - Bares</v>
      </c>
      <c r="P415" s="21" t="str">
        <f t="shared" si="37"/>
        <v>MCSGAST1CPF - Desp. Lazer e Entretenimento - Bares</v>
      </c>
      <c r="Q415" s="21" t="str">
        <f t="shared" si="38"/>
        <v>MCSGAST1</v>
      </c>
      <c r="R415" s="21" t="str">
        <f t="shared" si="39"/>
        <v>MCSGAST1</v>
      </c>
      <c r="S415" s="17"/>
      <c r="T415" s="24">
        <f t="shared" si="40"/>
        <v>45809</v>
      </c>
      <c r="U415" s="24" t="str">
        <f t="shared" si="42"/>
        <v/>
      </c>
      <c r="V415" s="14" t="s">
        <v>761</v>
      </c>
    </row>
    <row r="416" spans="2:22" x14ac:dyDescent="0.25">
      <c r="B416" s="20" t="s">
        <v>25</v>
      </c>
      <c r="C416" s="17"/>
      <c r="D416" s="86" t="str">
        <f>INDEX(Cad_Natureza!$B$3:$C$52,MATCH('2025'!F416,Cad_Natureza!$C$3:$C$52,0),MATCH('2025'!D$2,Cad_Natureza!$B$3:$C$3,0))</f>
        <v>GAST1</v>
      </c>
      <c r="E416" s="84" t="s">
        <v>438</v>
      </c>
      <c r="F416" s="85" t="s">
        <v>742</v>
      </c>
      <c r="G416" s="86" t="s">
        <v>25</v>
      </c>
      <c r="H416" s="87">
        <v>45814</v>
      </c>
      <c r="I416" s="87"/>
      <c r="J416" s="79" t="s">
        <v>185</v>
      </c>
      <c r="K416" s="62">
        <v>-13</v>
      </c>
      <c r="L416" s="68">
        <v>3410.42</v>
      </c>
      <c r="M416" s="17"/>
      <c r="N416" s="21" t="str">
        <f t="shared" si="35"/>
        <v>MCSGAST1CPF - Desp. Lazer e Entretenimento - Bares</v>
      </c>
      <c r="O416" s="21" t="str">
        <f t="shared" si="36"/>
        <v>GAST1CPF - Desp. Lazer e Entretenimento - Bares</v>
      </c>
      <c r="P416" s="21" t="str">
        <f t="shared" si="37"/>
        <v>MCSGAST1CPF - Desp. Lazer e Entretenimento - Bares</v>
      </c>
      <c r="Q416" s="21" t="str">
        <f t="shared" si="38"/>
        <v>MCSGAST1</v>
      </c>
      <c r="R416" s="21" t="str">
        <f t="shared" si="39"/>
        <v>MCSGAST1</v>
      </c>
      <c r="S416" s="17"/>
      <c r="T416" s="24">
        <f t="shared" si="40"/>
        <v>45809</v>
      </c>
      <c r="U416" s="24" t="str">
        <f t="shared" si="42"/>
        <v/>
      </c>
      <c r="V416" s="14" t="s">
        <v>761</v>
      </c>
    </row>
    <row r="417" spans="2:22" x14ac:dyDescent="0.25">
      <c r="B417" s="20" t="s">
        <v>25</v>
      </c>
      <c r="C417" s="17"/>
      <c r="D417" s="86" t="str">
        <f>INDEX(Cad_Natureza!$B$3:$C$52,MATCH('2025'!F417,Cad_Natureza!$C$3:$C$52,0),MATCH('2025'!D$2,Cad_Natureza!$B$3:$C$3,0))</f>
        <v>GAST1</v>
      </c>
      <c r="E417" s="84" t="s">
        <v>439</v>
      </c>
      <c r="F417" s="85" t="s">
        <v>742</v>
      </c>
      <c r="G417" s="86" t="s">
        <v>25</v>
      </c>
      <c r="H417" s="87">
        <v>45817</v>
      </c>
      <c r="I417" s="87"/>
      <c r="J417" s="79" t="s">
        <v>185</v>
      </c>
      <c r="K417" s="62">
        <v>-5</v>
      </c>
      <c r="L417" s="68">
        <v>3405.42</v>
      </c>
      <c r="M417" s="17"/>
      <c r="N417" s="21" t="str">
        <f t="shared" si="35"/>
        <v>MCSGAST1CPF - Desp. Lazer e Entretenimento - Bares</v>
      </c>
      <c r="O417" s="21" t="str">
        <f t="shared" si="36"/>
        <v>GAST1CPF - Desp. Lazer e Entretenimento - Bares</v>
      </c>
      <c r="P417" s="21" t="str">
        <f t="shared" si="37"/>
        <v>MCSGAST1CPF - Desp. Lazer e Entretenimento - Bares</v>
      </c>
      <c r="Q417" s="21" t="str">
        <f t="shared" si="38"/>
        <v>MCSGAST1</v>
      </c>
      <c r="R417" s="21" t="str">
        <f t="shared" si="39"/>
        <v>MCSGAST1</v>
      </c>
      <c r="S417" s="17"/>
      <c r="T417" s="24">
        <f t="shared" si="40"/>
        <v>45809</v>
      </c>
      <c r="U417" s="24" t="str">
        <f t="shared" si="42"/>
        <v/>
      </c>
      <c r="V417" s="14" t="s">
        <v>761</v>
      </c>
    </row>
    <row r="418" spans="2:22" x14ac:dyDescent="0.25">
      <c r="B418" s="20" t="s">
        <v>25</v>
      </c>
      <c r="C418" s="17"/>
      <c r="D418" s="86" t="str">
        <f>INDEX(Cad_Natureza!$B$3:$C$52,MATCH('2025'!F418,Cad_Natureza!$C$3:$C$52,0),MATCH('2025'!D$2,Cad_Natureza!$B$3:$C$3,0))</f>
        <v>GAST1</v>
      </c>
      <c r="E418" s="84" t="s">
        <v>439</v>
      </c>
      <c r="F418" s="85" t="s">
        <v>742</v>
      </c>
      <c r="G418" s="86" t="s">
        <v>25</v>
      </c>
      <c r="H418" s="87">
        <v>45817</v>
      </c>
      <c r="I418" s="87"/>
      <c r="J418" s="79" t="s">
        <v>185</v>
      </c>
      <c r="K418" s="62">
        <v>-5</v>
      </c>
      <c r="L418" s="68">
        <v>3400.42</v>
      </c>
      <c r="M418" s="17"/>
      <c r="N418" s="21" t="str">
        <f t="shared" si="35"/>
        <v>MCSGAST1CPF - Desp. Lazer e Entretenimento - Bares</v>
      </c>
      <c r="O418" s="21" t="str">
        <f t="shared" si="36"/>
        <v>GAST1CPF - Desp. Lazer e Entretenimento - Bares</v>
      </c>
      <c r="P418" s="21" t="str">
        <f t="shared" si="37"/>
        <v>MCSGAST1CPF - Desp. Lazer e Entretenimento - Bares</v>
      </c>
      <c r="Q418" s="21" t="str">
        <f t="shared" si="38"/>
        <v>MCSGAST1</v>
      </c>
      <c r="R418" s="21" t="str">
        <f t="shared" si="39"/>
        <v>MCSGAST1</v>
      </c>
      <c r="S418" s="17"/>
      <c r="T418" s="24">
        <f t="shared" si="40"/>
        <v>45809</v>
      </c>
      <c r="U418" s="24" t="str">
        <f t="shared" si="42"/>
        <v/>
      </c>
      <c r="V418" s="14" t="s">
        <v>761</v>
      </c>
    </row>
    <row r="419" spans="2:22" x14ac:dyDescent="0.25">
      <c r="B419" s="20" t="s">
        <v>25</v>
      </c>
      <c r="C419" s="17"/>
      <c r="D419" s="86" t="str">
        <f>INDEX(Cad_Natureza!$B$3:$C$52,MATCH('2025'!F419,Cad_Natureza!$C$3:$C$52,0),MATCH('2025'!D$2,Cad_Natureza!$B$3:$C$3,0))</f>
        <v>GAST1</v>
      </c>
      <c r="E419" s="84" t="s">
        <v>439</v>
      </c>
      <c r="F419" s="85" t="s">
        <v>742</v>
      </c>
      <c r="G419" s="86" t="s">
        <v>25</v>
      </c>
      <c r="H419" s="87">
        <v>45817</v>
      </c>
      <c r="I419" s="87"/>
      <c r="J419" s="79" t="s">
        <v>185</v>
      </c>
      <c r="K419" s="62">
        <v>-15</v>
      </c>
      <c r="L419" s="68">
        <v>3385.42</v>
      </c>
      <c r="M419" s="17"/>
      <c r="N419" s="21" t="str">
        <f t="shared" si="35"/>
        <v>MCSGAST1CPF - Desp. Lazer e Entretenimento - Bares</v>
      </c>
      <c r="O419" s="21" t="str">
        <f t="shared" si="36"/>
        <v>GAST1CPF - Desp. Lazer e Entretenimento - Bares</v>
      </c>
      <c r="P419" s="21" t="str">
        <f t="shared" si="37"/>
        <v>MCSGAST1CPF - Desp. Lazer e Entretenimento - Bares</v>
      </c>
      <c r="Q419" s="21" t="str">
        <f t="shared" si="38"/>
        <v>MCSGAST1</v>
      </c>
      <c r="R419" s="21" t="str">
        <f t="shared" si="39"/>
        <v>MCSGAST1</v>
      </c>
      <c r="S419" s="17"/>
      <c r="T419" s="24">
        <f t="shared" si="40"/>
        <v>45809</v>
      </c>
      <c r="U419" s="24" t="str">
        <f t="shared" si="42"/>
        <v/>
      </c>
      <c r="V419" s="14" t="s">
        <v>761</v>
      </c>
    </row>
    <row r="420" spans="2:22" x14ac:dyDescent="0.25">
      <c r="B420" s="20" t="s">
        <v>25</v>
      </c>
      <c r="C420" s="17"/>
      <c r="D420" s="86" t="str">
        <f>INDEX(Cad_Natureza!$B$3:$C$52,MATCH('2025'!F420,Cad_Natureza!$C$3:$C$52,0),MATCH('2025'!D$2,Cad_Natureza!$B$3:$C$3,0))</f>
        <v>GAST1</v>
      </c>
      <c r="E420" s="84" t="s">
        <v>439</v>
      </c>
      <c r="F420" s="85" t="s">
        <v>742</v>
      </c>
      <c r="G420" s="86" t="s">
        <v>25</v>
      </c>
      <c r="H420" s="87">
        <v>45817</v>
      </c>
      <c r="I420" s="87"/>
      <c r="J420" s="79" t="s">
        <v>185</v>
      </c>
      <c r="K420" s="62">
        <v>-26</v>
      </c>
      <c r="L420" s="68">
        <v>3359.42</v>
      </c>
      <c r="M420" s="17"/>
      <c r="N420" s="21" t="str">
        <f t="shared" si="35"/>
        <v>MCSGAST1CPF - Desp. Lazer e Entretenimento - Bares</v>
      </c>
      <c r="O420" s="21" t="str">
        <f t="shared" si="36"/>
        <v>GAST1CPF - Desp. Lazer e Entretenimento - Bares</v>
      </c>
      <c r="P420" s="21" t="str">
        <f t="shared" si="37"/>
        <v>MCSGAST1CPF - Desp. Lazer e Entretenimento - Bares</v>
      </c>
      <c r="Q420" s="21" t="str">
        <f t="shared" si="38"/>
        <v>MCSGAST1</v>
      </c>
      <c r="R420" s="21" t="str">
        <f t="shared" si="39"/>
        <v>MCSGAST1</v>
      </c>
      <c r="S420" s="17"/>
      <c r="T420" s="24">
        <f t="shared" si="40"/>
        <v>45809</v>
      </c>
      <c r="U420" s="24" t="str">
        <f t="shared" si="42"/>
        <v/>
      </c>
      <c r="V420" s="14" t="s">
        <v>761</v>
      </c>
    </row>
    <row r="421" spans="2:22" x14ac:dyDescent="0.25">
      <c r="B421" s="20" t="s">
        <v>25</v>
      </c>
      <c r="C421" s="17"/>
      <c r="D421" s="86" t="str">
        <f>INDEX(Cad_Natureza!$B$3:$C$52,MATCH('2025'!F421,Cad_Natureza!$C$3:$C$52,0),MATCH('2025'!D$2,Cad_Natureza!$B$3:$C$3,0))</f>
        <v>GAST1</v>
      </c>
      <c r="E421" s="84" t="s">
        <v>440</v>
      </c>
      <c r="F421" s="85" t="s">
        <v>742</v>
      </c>
      <c r="G421" s="86" t="s">
        <v>25</v>
      </c>
      <c r="H421" s="87">
        <v>45817</v>
      </c>
      <c r="I421" s="87"/>
      <c r="J421" s="79" t="s">
        <v>185</v>
      </c>
      <c r="K421" s="62">
        <v>-19</v>
      </c>
      <c r="L421" s="68">
        <v>3340.42</v>
      </c>
      <c r="M421" s="17"/>
      <c r="N421" s="21" t="str">
        <f t="shared" si="35"/>
        <v>MCSGAST1CPF - Desp. Lazer e Entretenimento - Bares</v>
      </c>
      <c r="O421" s="21" t="str">
        <f t="shared" si="36"/>
        <v>GAST1CPF - Desp. Lazer e Entretenimento - Bares</v>
      </c>
      <c r="P421" s="21" t="str">
        <f t="shared" si="37"/>
        <v>MCSGAST1CPF - Desp. Lazer e Entretenimento - Bares</v>
      </c>
      <c r="Q421" s="21" t="str">
        <f t="shared" si="38"/>
        <v>MCSGAST1</v>
      </c>
      <c r="R421" s="21" t="str">
        <f t="shared" si="39"/>
        <v>MCSGAST1</v>
      </c>
      <c r="S421" s="17"/>
      <c r="T421" s="24">
        <f t="shared" si="40"/>
        <v>45809</v>
      </c>
      <c r="U421" s="24" t="str">
        <f t="shared" si="42"/>
        <v/>
      </c>
      <c r="V421" s="14" t="s">
        <v>761</v>
      </c>
    </row>
    <row r="422" spans="2:22" x14ac:dyDescent="0.25">
      <c r="B422" s="20" t="s">
        <v>25</v>
      </c>
      <c r="C422" s="17"/>
      <c r="D422" s="86" t="str">
        <f>INDEX(Cad_Natureza!$B$3:$C$52,MATCH('2025'!F422,Cad_Natureza!$C$3:$C$52,0),MATCH('2025'!D$2,Cad_Natureza!$B$3:$C$3,0))</f>
        <v>DESP2</v>
      </c>
      <c r="E422" s="84" t="s">
        <v>441</v>
      </c>
      <c r="F422" s="85" t="s">
        <v>739</v>
      </c>
      <c r="G422" s="86" t="s">
        <v>25</v>
      </c>
      <c r="H422" s="87">
        <v>45817</v>
      </c>
      <c r="I422" s="87"/>
      <c r="J422" s="79" t="s">
        <v>455</v>
      </c>
      <c r="K422" s="62">
        <v>-118.26</v>
      </c>
      <c r="L422" s="68">
        <v>3222.16</v>
      </c>
      <c r="M422" s="17"/>
      <c r="N422" s="21" t="str">
        <f t="shared" si="35"/>
        <v>MCSDESP2CPF - Desp. Telefone / Internet</v>
      </c>
      <c r="O422" s="21" t="str">
        <f t="shared" si="36"/>
        <v>DESP2CPF - Desp. Telefone / Internet</v>
      </c>
      <c r="P422" s="21" t="str">
        <f t="shared" si="37"/>
        <v>MCSDESP2CPF - Desp. Telefone / Internet</v>
      </c>
      <c r="Q422" s="21" t="str">
        <f t="shared" si="38"/>
        <v>MCSDESP2</v>
      </c>
      <c r="R422" s="21" t="str">
        <f t="shared" si="39"/>
        <v>MCSDESP2</v>
      </c>
      <c r="S422" s="17"/>
      <c r="T422" s="24">
        <f t="shared" si="40"/>
        <v>45809</v>
      </c>
      <c r="U422" s="24" t="str">
        <f t="shared" si="42"/>
        <v/>
      </c>
      <c r="V422" s="14" t="s">
        <v>761</v>
      </c>
    </row>
    <row r="423" spans="2:22" x14ac:dyDescent="0.25">
      <c r="B423" s="20" t="s">
        <v>25</v>
      </c>
      <c r="C423" s="17"/>
      <c r="D423" s="86" t="str">
        <f>INDEX(Cad_Natureza!$B$3:$C$52,MATCH('2025'!F423,Cad_Natureza!$C$3:$C$52,0),MATCH('2025'!D$2,Cad_Natureza!$B$3:$C$3,0))</f>
        <v>GAST1</v>
      </c>
      <c r="E423" s="84" t="s">
        <v>439</v>
      </c>
      <c r="F423" s="85" t="s">
        <v>742</v>
      </c>
      <c r="G423" s="86" t="s">
        <v>25</v>
      </c>
      <c r="H423" s="87">
        <v>45817</v>
      </c>
      <c r="I423" s="87"/>
      <c r="J423" s="79" t="s">
        <v>185</v>
      </c>
      <c r="K423" s="62">
        <v>-6</v>
      </c>
      <c r="L423" s="68">
        <v>3216.16</v>
      </c>
      <c r="M423" s="17"/>
      <c r="N423" s="21" t="str">
        <f t="shared" si="35"/>
        <v>MCSGAST1CPF - Desp. Lazer e Entretenimento - Bares</v>
      </c>
      <c r="O423" s="21" t="str">
        <f t="shared" si="36"/>
        <v>GAST1CPF - Desp. Lazer e Entretenimento - Bares</v>
      </c>
      <c r="P423" s="21" t="str">
        <f t="shared" si="37"/>
        <v>MCSGAST1CPF - Desp. Lazer e Entretenimento - Bares</v>
      </c>
      <c r="Q423" s="21" t="str">
        <f t="shared" si="38"/>
        <v>MCSGAST1</v>
      </c>
      <c r="R423" s="21" t="str">
        <f t="shared" si="39"/>
        <v>MCSGAST1</v>
      </c>
      <c r="S423" s="17"/>
      <c r="T423" s="24">
        <f t="shared" si="40"/>
        <v>45809</v>
      </c>
      <c r="U423" s="24" t="str">
        <f t="shared" si="42"/>
        <v/>
      </c>
      <c r="V423" s="14" t="s">
        <v>761</v>
      </c>
    </row>
    <row r="424" spans="2:22" x14ac:dyDescent="0.25">
      <c r="B424" s="20" t="s">
        <v>25</v>
      </c>
      <c r="C424" s="17"/>
      <c r="D424" s="86" t="str">
        <f>INDEX(Cad_Natureza!$B$3:$C$52,MATCH('2025'!F424,Cad_Natureza!$C$3:$C$52,0),MATCH('2025'!D$2,Cad_Natureza!$B$3:$C$3,0))</f>
        <v>GAST1</v>
      </c>
      <c r="E424" s="84" t="s">
        <v>439</v>
      </c>
      <c r="F424" s="85" t="s">
        <v>742</v>
      </c>
      <c r="G424" s="86" t="s">
        <v>25</v>
      </c>
      <c r="H424" s="87">
        <v>45817</v>
      </c>
      <c r="I424" s="87"/>
      <c r="J424" s="79" t="s">
        <v>185</v>
      </c>
      <c r="K424" s="62">
        <v>-6</v>
      </c>
      <c r="L424" s="68">
        <v>3210.16</v>
      </c>
      <c r="M424" s="17"/>
      <c r="N424" s="21" t="str">
        <f t="shared" si="35"/>
        <v>MCSGAST1CPF - Desp. Lazer e Entretenimento - Bares</v>
      </c>
      <c r="O424" s="21" t="str">
        <f t="shared" si="36"/>
        <v>GAST1CPF - Desp. Lazer e Entretenimento - Bares</v>
      </c>
      <c r="P424" s="21" t="str">
        <f t="shared" si="37"/>
        <v>MCSGAST1CPF - Desp. Lazer e Entretenimento - Bares</v>
      </c>
      <c r="Q424" s="21" t="str">
        <f t="shared" si="38"/>
        <v>MCSGAST1</v>
      </c>
      <c r="R424" s="21" t="str">
        <f t="shared" si="39"/>
        <v>MCSGAST1</v>
      </c>
      <c r="S424" s="17"/>
      <c r="T424" s="24">
        <f t="shared" si="40"/>
        <v>45809</v>
      </c>
      <c r="U424" s="24" t="str">
        <f t="shared" si="42"/>
        <v/>
      </c>
      <c r="V424" s="14" t="s">
        <v>761</v>
      </c>
    </row>
    <row r="425" spans="2:22" x14ac:dyDescent="0.25">
      <c r="B425" s="20" t="s">
        <v>25</v>
      </c>
      <c r="C425" s="17"/>
      <c r="D425" s="86" t="str">
        <f>INDEX(Cad_Natureza!$B$3:$C$52,MATCH('2025'!F425,Cad_Natureza!$C$3:$C$52,0),MATCH('2025'!D$2,Cad_Natureza!$B$3:$C$3,0))</f>
        <v>GAST1</v>
      </c>
      <c r="E425" s="84" t="s">
        <v>439</v>
      </c>
      <c r="F425" s="85" t="s">
        <v>742</v>
      </c>
      <c r="G425" s="86" t="s">
        <v>25</v>
      </c>
      <c r="H425" s="87">
        <v>45817</v>
      </c>
      <c r="I425" s="87"/>
      <c r="J425" s="79" t="s">
        <v>185</v>
      </c>
      <c r="K425" s="62">
        <v>-6</v>
      </c>
      <c r="L425" s="68">
        <v>3204.16</v>
      </c>
      <c r="M425" s="17"/>
      <c r="N425" s="21" t="str">
        <f t="shared" si="35"/>
        <v>MCSGAST1CPF - Desp. Lazer e Entretenimento - Bares</v>
      </c>
      <c r="O425" s="21" t="str">
        <f t="shared" si="36"/>
        <v>GAST1CPF - Desp. Lazer e Entretenimento - Bares</v>
      </c>
      <c r="P425" s="21" t="str">
        <f t="shared" si="37"/>
        <v>MCSGAST1CPF - Desp. Lazer e Entretenimento - Bares</v>
      </c>
      <c r="Q425" s="21" t="str">
        <f t="shared" si="38"/>
        <v>MCSGAST1</v>
      </c>
      <c r="R425" s="21" t="str">
        <f t="shared" si="39"/>
        <v>MCSGAST1</v>
      </c>
      <c r="S425" s="17"/>
      <c r="T425" s="24">
        <f t="shared" si="40"/>
        <v>45809</v>
      </c>
      <c r="U425" s="24" t="str">
        <f t="shared" si="42"/>
        <v/>
      </c>
      <c r="V425" s="14" t="s">
        <v>761</v>
      </c>
    </row>
    <row r="426" spans="2:22" x14ac:dyDescent="0.25">
      <c r="B426" s="20" t="s">
        <v>25</v>
      </c>
      <c r="C426" s="17"/>
      <c r="D426" s="86" t="str">
        <f>INDEX(Cad_Natureza!$B$3:$C$52,MATCH('2025'!F426,Cad_Natureza!$C$3:$C$52,0),MATCH('2025'!D$2,Cad_Natureza!$B$3:$C$3,0))</f>
        <v>GAST1</v>
      </c>
      <c r="E426" s="84" t="s">
        <v>439</v>
      </c>
      <c r="F426" s="85" t="s">
        <v>742</v>
      </c>
      <c r="G426" s="86" t="s">
        <v>25</v>
      </c>
      <c r="H426" s="87">
        <v>45817</v>
      </c>
      <c r="I426" s="87"/>
      <c r="J426" s="79" t="s">
        <v>185</v>
      </c>
      <c r="K426" s="62">
        <v>-6</v>
      </c>
      <c r="L426" s="68">
        <v>3198.16</v>
      </c>
      <c r="M426" s="17"/>
      <c r="N426" s="21" t="str">
        <f t="shared" si="35"/>
        <v>MCSGAST1CPF - Desp. Lazer e Entretenimento - Bares</v>
      </c>
      <c r="O426" s="21" t="str">
        <f t="shared" si="36"/>
        <v>GAST1CPF - Desp. Lazer e Entretenimento - Bares</v>
      </c>
      <c r="P426" s="21" t="str">
        <f t="shared" si="37"/>
        <v>MCSGAST1CPF - Desp. Lazer e Entretenimento - Bares</v>
      </c>
      <c r="Q426" s="21" t="str">
        <f t="shared" si="38"/>
        <v>MCSGAST1</v>
      </c>
      <c r="R426" s="21" t="str">
        <f t="shared" si="39"/>
        <v>MCSGAST1</v>
      </c>
      <c r="S426" s="17"/>
      <c r="T426" s="24">
        <f t="shared" si="40"/>
        <v>45809</v>
      </c>
      <c r="U426" s="24" t="str">
        <f t="shared" si="42"/>
        <v/>
      </c>
      <c r="V426" s="14" t="s">
        <v>761</v>
      </c>
    </row>
    <row r="427" spans="2:22" x14ac:dyDescent="0.25">
      <c r="B427" s="20" t="s">
        <v>25</v>
      </c>
      <c r="C427" s="17"/>
      <c r="D427" s="86" t="str">
        <f>INDEX(Cad_Natureza!$B$3:$C$52,MATCH('2025'!F427,Cad_Natureza!$C$3:$C$52,0),MATCH('2025'!D$2,Cad_Natureza!$B$3:$C$3,0))</f>
        <v>GAST1</v>
      </c>
      <c r="E427" s="84" t="s">
        <v>442</v>
      </c>
      <c r="F427" s="85" t="s">
        <v>742</v>
      </c>
      <c r="G427" s="86" t="s">
        <v>25</v>
      </c>
      <c r="H427" s="87">
        <v>45817</v>
      </c>
      <c r="I427" s="87"/>
      <c r="J427" s="79" t="s">
        <v>185</v>
      </c>
      <c r="K427" s="62">
        <v>-15</v>
      </c>
      <c r="L427" s="68">
        <v>3183.16</v>
      </c>
      <c r="M427" s="17"/>
      <c r="N427" s="21" t="str">
        <f t="shared" si="35"/>
        <v>MCSGAST1CPF - Desp. Lazer e Entretenimento - Bares</v>
      </c>
      <c r="O427" s="21" t="str">
        <f t="shared" si="36"/>
        <v>GAST1CPF - Desp. Lazer e Entretenimento - Bares</v>
      </c>
      <c r="P427" s="21" t="str">
        <f t="shared" si="37"/>
        <v>MCSGAST1CPF - Desp. Lazer e Entretenimento - Bares</v>
      </c>
      <c r="Q427" s="21" t="str">
        <f t="shared" si="38"/>
        <v>MCSGAST1</v>
      </c>
      <c r="R427" s="21" t="str">
        <f t="shared" si="39"/>
        <v>MCSGAST1</v>
      </c>
      <c r="S427" s="17"/>
      <c r="T427" s="24">
        <f t="shared" si="40"/>
        <v>45809</v>
      </c>
      <c r="U427" s="24" t="str">
        <f t="shared" si="42"/>
        <v/>
      </c>
      <c r="V427" s="14" t="s">
        <v>761</v>
      </c>
    </row>
    <row r="428" spans="2:22" x14ac:dyDescent="0.25">
      <c r="B428" s="20" t="s">
        <v>25</v>
      </c>
      <c r="C428" s="17"/>
      <c r="D428" s="86" t="str">
        <f>INDEX(Cad_Natureza!$B$3:$C$52,MATCH('2025'!F428,Cad_Natureza!$C$3:$C$52,0),MATCH('2025'!D$2,Cad_Natureza!$B$3:$C$3,0))</f>
        <v>GAST1</v>
      </c>
      <c r="E428" s="84" t="s">
        <v>442</v>
      </c>
      <c r="F428" s="85" t="s">
        <v>742</v>
      </c>
      <c r="G428" s="86" t="s">
        <v>25</v>
      </c>
      <c r="H428" s="87">
        <v>45817</v>
      </c>
      <c r="I428" s="87"/>
      <c r="J428" s="79" t="s">
        <v>185</v>
      </c>
      <c r="K428" s="62">
        <v>-5.5</v>
      </c>
      <c r="L428" s="68">
        <v>3177.66</v>
      </c>
      <c r="M428" s="17"/>
      <c r="N428" s="21" t="str">
        <f t="shared" si="35"/>
        <v>MCSGAST1CPF - Desp. Lazer e Entretenimento - Bares</v>
      </c>
      <c r="O428" s="21" t="str">
        <f t="shared" si="36"/>
        <v>GAST1CPF - Desp. Lazer e Entretenimento - Bares</v>
      </c>
      <c r="P428" s="21" t="str">
        <f t="shared" si="37"/>
        <v>MCSGAST1CPF - Desp. Lazer e Entretenimento - Bares</v>
      </c>
      <c r="Q428" s="21" t="str">
        <f t="shared" si="38"/>
        <v>MCSGAST1</v>
      </c>
      <c r="R428" s="21" t="str">
        <f t="shared" si="39"/>
        <v>MCSGAST1</v>
      </c>
      <c r="S428" s="17"/>
      <c r="T428" s="24">
        <f t="shared" si="40"/>
        <v>45809</v>
      </c>
      <c r="U428" s="24" t="str">
        <f t="shared" si="42"/>
        <v/>
      </c>
      <c r="V428" s="14" t="s">
        <v>761</v>
      </c>
    </row>
    <row r="429" spans="2:22" x14ac:dyDescent="0.25">
      <c r="B429" s="20" t="s">
        <v>25</v>
      </c>
      <c r="C429" s="17"/>
      <c r="D429" s="86" t="str">
        <f>INDEX(Cad_Natureza!$B$3:$C$52,MATCH('2025'!F429,Cad_Natureza!$C$3:$C$52,0),MATCH('2025'!D$2,Cad_Natureza!$B$3:$C$3,0))</f>
        <v>GAST1</v>
      </c>
      <c r="E429" s="84" t="s">
        <v>442</v>
      </c>
      <c r="F429" s="85" t="s">
        <v>742</v>
      </c>
      <c r="G429" s="86" t="s">
        <v>25</v>
      </c>
      <c r="H429" s="87">
        <v>45817</v>
      </c>
      <c r="I429" s="87"/>
      <c r="J429" s="79" t="s">
        <v>185</v>
      </c>
      <c r="K429" s="62">
        <v>-5.5</v>
      </c>
      <c r="L429" s="68">
        <v>3172.16</v>
      </c>
      <c r="M429" s="17"/>
      <c r="N429" s="21" t="str">
        <f t="shared" si="35"/>
        <v>MCSGAST1CPF - Desp. Lazer e Entretenimento - Bares</v>
      </c>
      <c r="O429" s="21" t="str">
        <f t="shared" si="36"/>
        <v>GAST1CPF - Desp. Lazer e Entretenimento - Bares</v>
      </c>
      <c r="P429" s="21" t="str">
        <f t="shared" si="37"/>
        <v>MCSGAST1CPF - Desp. Lazer e Entretenimento - Bares</v>
      </c>
      <c r="Q429" s="21" t="str">
        <f t="shared" si="38"/>
        <v>MCSGAST1</v>
      </c>
      <c r="R429" s="21" t="str">
        <f t="shared" si="39"/>
        <v>MCSGAST1</v>
      </c>
      <c r="S429" s="17"/>
      <c r="T429" s="24">
        <f t="shared" si="40"/>
        <v>45809</v>
      </c>
      <c r="U429" s="24" t="str">
        <f t="shared" si="42"/>
        <v/>
      </c>
      <c r="V429" s="14" t="s">
        <v>761</v>
      </c>
    </row>
    <row r="430" spans="2:22" x14ac:dyDescent="0.25">
      <c r="B430" s="20" t="s">
        <v>25</v>
      </c>
      <c r="C430" s="17"/>
      <c r="D430" s="86" t="str">
        <f>INDEX(Cad_Natureza!$B$3:$C$52,MATCH('2025'!F430,Cad_Natureza!$C$3:$C$52,0),MATCH('2025'!D$2,Cad_Natureza!$B$3:$C$3,0))</f>
        <v>GAST1</v>
      </c>
      <c r="E430" s="84" t="s">
        <v>443</v>
      </c>
      <c r="F430" s="85" t="s">
        <v>742</v>
      </c>
      <c r="G430" s="86" t="s">
        <v>25</v>
      </c>
      <c r="H430" s="87">
        <v>45817</v>
      </c>
      <c r="I430" s="87"/>
      <c r="J430" s="79" t="s">
        <v>185</v>
      </c>
      <c r="K430" s="62">
        <v>-15</v>
      </c>
      <c r="L430" s="68">
        <v>3157.16</v>
      </c>
      <c r="M430" s="17"/>
      <c r="N430" s="21" t="str">
        <f t="shared" si="35"/>
        <v>MCSGAST1CPF - Desp. Lazer e Entretenimento - Bares</v>
      </c>
      <c r="O430" s="21" t="str">
        <f t="shared" si="36"/>
        <v>GAST1CPF - Desp. Lazer e Entretenimento - Bares</v>
      </c>
      <c r="P430" s="21" t="str">
        <f t="shared" si="37"/>
        <v>MCSGAST1CPF - Desp. Lazer e Entretenimento - Bares</v>
      </c>
      <c r="Q430" s="21" t="str">
        <f t="shared" si="38"/>
        <v>MCSGAST1</v>
      </c>
      <c r="R430" s="21" t="str">
        <f t="shared" si="39"/>
        <v>MCSGAST1</v>
      </c>
      <c r="S430" s="17"/>
      <c r="T430" s="24">
        <f t="shared" si="40"/>
        <v>45809</v>
      </c>
      <c r="U430" s="24" t="str">
        <f t="shared" si="42"/>
        <v/>
      </c>
      <c r="V430" s="14" t="s">
        <v>761</v>
      </c>
    </row>
    <row r="431" spans="2:22" x14ac:dyDescent="0.25">
      <c r="B431" s="20" t="s">
        <v>25</v>
      </c>
      <c r="C431" s="17"/>
      <c r="D431" s="86" t="str">
        <f>INDEX(Cad_Natureza!$B$3:$C$52,MATCH('2025'!F431,Cad_Natureza!$C$3:$C$52,0),MATCH('2025'!D$2,Cad_Natureza!$B$3:$C$3,0))</f>
        <v>GAST1</v>
      </c>
      <c r="E431" s="84" t="s">
        <v>443</v>
      </c>
      <c r="F431" s="85" t="s">
        <v>742</v>
      </c>
      <c r="G431" s="86" t="s">
        <v>25</v>
      </c>
      <c r="H431" s="87">
        <v>45817</v>
      </c>
      <c r="I431" s="87"/>
      <c r="J431" s="79" t="s">
        <v>185</v>
      </c>
      <c r="K431" s="62">
        <v>-5</v>
      </c>
      <c r="L431" s="68">
        <v>3152.16</v>
      </c>
      <c r="M431" s="17"/>
      <c r="N431" s="21" t="str">
        <f t="shared" si="35"/>
        <v>MCSGAST1CPF - Desp. Lazer e Entretenimento - Bares</v>
      </c>
      <c r="O431" s="21" t="str">
        <f t="shared" si="36"/>
        <v>GAST1CPF - Desp. Lazer e Entretenimento - Bares</v>
      </c>
      <c r="P431" s="21" t="str">
        <f t="shared" si="37"/>
        <v>MCSGAST1CPF - Desp. Lazer e Entretenimento - Bares</v>
      </c>
      <c r="Q431" s="21" t="str">
        <f t="shared" si="38"/>
        <v>MCSGAST1</v>
      </c>
      <c r="R431" s="21" t="str">
        <f t="shared" si="39"/>
        <v>MCSGAST1</v>
      </c>
      <c r="S431" s="17"/>
      <c r="T431" s="24">
        <f t="shared" si="40"/>
        <v>45809</v>
      </c>
      <c r="U431" s="24" t="str">
        <f t="shared" si="42"/>
        <v/>
      </c>
      <c r="V431" s="14" t="s">
        <v>761</v>
      </c>
    </row>
    <row r="432" spans="2:22" x14ac:dyDescent="0.25">
      <c r="B432" s="20" t="s">
        <v>25</v>
      </c>
      <c r="C432" s="17"/>
      <c r="D432" s="86" t="str">
        <f>INDEX(Cad_Natureza!$B$3:$C$52,MATCH('2025'!F432,Cad_Natureza!$C$3:$C$52,0),MATCH('2025'!D$2,Cad_Natureza!$B$3:$C$3,0))</f>
        <v>GAST1</v>
      </c>
      <c r="E432" s="84" t="s">
        <v>444</v>
      </c>
      <c r="F432" s="85" t="s">
        <v>742</v>
      </c>
      <c r="G432" s="86" t="s">
        <v>25</v>
      </c>
      <c r="H432" s="87">
        <v>45817</v>
      </c>
      <c r="I432" s="87"/>
      <c r="J432" s="79" t="s">
        <v>185</v>
      </c>
      <c r="K432" s="62">
        <v>-10</v>
      </c>
      <c r="L432" s="68">
        <v>3142.16</v>
      </c>
      <c r="M432" s="17"/>
      <c r="N432" s="21" t="str">
        <f t="shared" si="35"/>
        <v>MCSGAST1CPF - Desp. Lazer e Entretenimento - Bares</v>
      </c>
      <c r="O432" s="21" t="str">
        <f t="shared" si="36"/>
        <v>GAST1CPF - Desp. Lazer e Entretenimento - Bares</v>
      </c>
      <c r="P432" s="21" t="str">
        <f t="shared" si="37"/>
        <v>MCSGAST1CPF - Desp. Lazer e Entretenimento - Bares</v>
      </c>
      <c r="Q432" s="21" t="str">
        <f t="shared" si="38"/>
        <v>MCSGAST1</v>
      </c>
      <c r="R432" s="21" t="str">
        <f t="shared" si="39"/>
        <v>MCSGAST1</v>
      </c>
      <c r="S432" s="17"/>
      <c r="T432" s="24">
        <f t="shared" si="40"/>
        <v>45809</v>
      </c>
      <c r="U432" s="24" t="str">
        <f t="shared" si="42"/>
        <v/>
      </c>
      <c r="V432" s="14" t="s">
        <v>761</v>
      </c>
    </row>
    <row r="433" spans="2:22" x14ac:dyDescent="0.25">
      <c r="B433" s="20" t="s">
        <v>25</v>
      </c>
      <c r="C433" s="17"/>
      <c r="D433" s="86" t="str">
        <f>INDEX(Cad_Natureza!$B$3:$C$52,MATCH('2025'!F433,Cad_Natureza!$C$3:$C$52,0),MATCH('2025'!D$2,Cad_Natureza!$B$3:$C$3,0))</f>
        <v>GAST1</v>
      </c>
      <c r="E433" s="84" t="s">
        <v>445</v>
      </c>
      <c r="F433" s="85" t="s">
        <v>742</v>
      </c>
      <c r="G433" s="86" t="s">
        <v>25</v>
      </c>
      <c r="H433" s="87">
        <v>45817</v>
      </c>
      <c r="I433" s="87"/>
      <c r="J433" s="79" t="s">
        <v>185</v>
      </c>
      <c r="K433" s="62">
        <v>-5</v>
      </c>
      <c r="L433" s="68">
        <v>3137.16</v>
      </c>
      <c r="M433" s="17"/>
      <c r="N433" s="21" t="str">
        <f t="shared" si="35"/>
        <v>MCSGAST1CPF - Desp. Lazer e Entretenimento - Bares</v>
      </c>
      <c r="O433" s="21" t="str">
        <f t="shared" si="36"/>
        <v>GAST1CPF - Desp. Lazer e Entretenimento - Bares</v>
      </c>
      <c r="P433" s="21" t="str">
        <f t="shared" si="37"/>
        <v>MCSGAST1CPF - Desp. Lazer e Entretenimento - Bares</v>
      </c>
      <c r="Q433" s="21" t="str">
        <f t="shared" si="38"/>
        <v>MCSGAST1</v>
      </c>
      <c r="R433" s="21" t="str">
        <f t="shared" si="39"/>
        <v>MCSGAST1</v>
      </c>
      <c r="S433" s="17"/>
      <c r="T433" s="24">
        <f t="shared" si="40"/>
        <v>45809</v>
      </c>
      <c r="U433" s="24" t="str">
        <f t="shared" si="42"/>
        <v/>
      </c>
      <c r="V433" s="14" t="s">
        <v>761</v>
      </c>
    </row>
    <row r="434" spans="2:22" x14ac:dyDescent="0.25">
      <c r="B434" s="20" t="s">
        <v>25</v>
      </c>
      <c r="C434" s="17"/>
      <c r="D434" s="86" t="str">
        <f>INDEX(Cad_Natureza!$B$3:$C$52,MATCH('2025'!F434,Cad_Natureza!$C$3:$C$52,0),MATCH('2025'!D$2,Cad_Natureza!$B$3:$C$3,0))</f>
        <v>FIN1</v>
      </c>
      <c r="E434" s="84" t="s">
        <v>47</v>
      </c>
      <c r="F434" s="85" t="s">
        <v>713</v>
      </c>
      <c r="G434" s="86" t="s">
        <v>25</v>
      </c>
      <c r="H434" s="87">
        <v>45817</v>
      </c>
      <c r="I434" s="87"/>
      <c r="J434" s="79" t="s">
        <v>353</v>
      </c>
      <c r="K434" s="62">
        <v>-127.18</v>
      </c>
      <c r="L434" s="68">
        <v>3009.98</v>
      </c>
      <c r="M434" s="17"/>
      <c r="N434" s="21" t="str">
        <f t="shared" si="35"/>
        <v>MCSFIN1CPF - Desp. Financeiras - Empréstimos</v>
      </c>
      <c r="O434" s="21" t="str">
        <f t="shared" si="36"/>
        <v>FIN1CPF - Desp. Financeiras - Empréstimos</v>
      </c>
      <c r="P434" s="21" t="str">
        <f t="shared" si="37"/>
        <v>MCSFIN1CPF - Desp. Financeiras - Empréstimos</v>
      </c>
      <c r="Q434" s="21" t="str">
        <f t="shared" si="38"/>
        <v>MCSFIN1</v>
      </c>
      <c r="R434" s="21" t="str">
        <f t="shared" si="39"/>
        <v>MCSFIN1</v>
      </c>
      <c r="S434" s="17"/>
      <c r="T434" s="24">
        <f t="shared" si="40"/>
        <v>45809</v>
      </c>
      <c r="U434" s="24" t="str">
        <f t="shared" si="42"/>
        <v/>
      </c>
      <c r="V434" s="14" t="s">
        <v>761</v>
      </c>
    </row>
    <row r="435" spans="2:22" x14ac:dyDescent="0.25">
      <c r="B435" s="20" t="s">
        <v>25</v>
      </c>
      <c r="C435" s="17"/>
      <c r="D435" s="86" t="str">
        <f>INDEX(Cad_Natureza!$B$3:$C$52,MATCH('2025'!F435,Cad_Natureza!$C$3:$C$52,0),MATCH('2025'!D$2,Cad_Natureza!$B$3:$C$3,0))</f>
        <v>OPF1</v>
      </c>
      <c r="E435" s="84" t="s">
        <v>446</v>
      </c>
      <c r="F435" s="85" t="s">
        <v>744</v>
      </c>
      <c r="G435" s="86" t="s">
        <v>25</v>
      </c>
      <c r="H435" s="87">
        <v>45817</v>
      </c>
      <c r="I435" s="87"/>
      <c r="J435" s="79" t="s">
        <v>565</v>
      </c>
      <c r="K435" s="62">
        <v>-230</v>
      </c>
      <c r="L435" s="68">
        <v>2779.98</v>
      </c>
      <c r="M435" s="17"/>
      <c r="N435" s="21" t="str">
        <f t="shared" si="35"/>
        <v>MCSOPF1CPF - Desp. Alimentação / Refeição</v>
      </c>
      <c r="O435" s="21" t="str">
        <f t="shared" si="36"/>
        <v>OPF1CPF - Desp. Alimentação / Refeição</v>
      </c>
      <c r="P435" s="21" t="str">
        <f t="shared" si="37"/>
        <v>MCSOPF1CPF - Desp. Alimentação / Refeição</v>
      </c>
      <c r="Q435" s="21" t="str">
        <f t="shared" si="38"/>
        <v>MCSOPF1</v>
      </c>
      <c r="R435" s="21" t="str">
        <f t="shared" si="39"/>
        <v>MCSOPF1</v>
      </c>
      <c r="S435" s="17"/>
      <c r="T435" s="24">
        <f t="shared" si="40"/>
        <v>45809</v>
      </c>
      <c r="U435" s="24" t="str">
        <f t="shared" si="42"/>
        <v/>
      </c>
      <c r="V435" s="14" t="s">
        <v>761</v>
      </c>
    </row>
    <row r="436" spans="2:22" x14ac:dyDescent="0.25">
      <c r="B436" s="20" t="s">
        <v>25</v>
      </c>
      <c r="C436" s="17"/>
      <c r="D436" s="86" t="str">
        <f>INDEX(Cad_Natureza!$B$3:$C$52,MATCH('2025'!F436,Cad_Natureza!$C$3:$C$52,0),MATCH('2025'!D$2,Cad_Natureza!$B$3:$C$3,0))</f>
        <v>OPF2</v>
      </c>
      <c r="E436" s="84" t="s">
        <v>447</v>
      </c>
      <c r="F436" s="85" t="s">
        <v>741</v>
      </c>
      <c r="G436" s="86" t="s">
        <v>25</v>
      </c>
      <c r="H436" s="87">
        <v>45817</v>
      </c>
      <c r="I436" s="87"/>
      <c r="J436" s="79" t="s">
        <v>184</v>
      </c>
      <c r="K436" s="62">
        <v>-50</v>
      </c>
      <c r="L436" s="68">
        <v>2729.98</v>
      </c>
      <c r="M436" s="17"/>
      <c r="N436" s="21" t="str">
        <f t="shared" si="35"/>
        <v>MCSOPF2CPF - Desp. Transporte / Combustível</v>
      </c>
      <c r="O436" s="21" t="str">
        <f t="shared" si="36"/>
        <v>OPF2CPF - Desp. Transporte / Combustível</v>
      </c>
      <c r="P436" s="21" t="str">
        <f t="shared" si="37"/>
        <v>MCSOPF2CPF - Desp. Transporte / Combustível</v>
      </c>
      <c r="Q436" s="21" t="str">
        <f t="shared" si="38"/>
        <v>MCSOPF2</v>
      </c>
      <c r="R436" s="21" t="str">
        <f t="shared" si="39"/>
        <v>MCSOPF2</v>
      </c>
      <c r="S436" s="17"/>
      <c r="T436" s="24">
        <f t="shared" si="40"/>
        <v>45809</v>
      </c>
      <c r="U436" s="24" t="str">
        <f t="shared" si="42"/>
        <v/>
      </c>
      <c r="V436" s="14" t="s">
        <v>761</v>
      </c>
    </row>
    <row r="437" spans="2:22" x14ac:dyDescent="0.25">
      <c r="B437" s="20" t="s">
        <v>25</v>
      </c>
      <c r="C437" s="17"/>
      <c r="D437" s="86" t="str">
        <f>INDEX(Cad_Natureza!$B$3:$C$52,MATCH('2025'!F437,Cad_Natureza!$C$3:$C$52,0),MATCH('2025'!D$2,Cad_Natureza!$B$3:$C$3,0))</f>
        <v>GAST1</v>
      </c>
      <c r="E437" s="84" t="s">
        <v>448</v>
      </c>
      <c r="F437" s="85" t="s">
        <v>742</v>
      </c>
      <c r="G437" s="86" t="s">
        <v>25</v>
      </c>
      <c r="H437" s="87">
        <v>45817</v>
      </c>
      <c r="I437" s="87"/>
      <c r="J437" s="79" t="s">
        <v>185</v>
      </c>
      <c r="K437" s="62">
        <v>-6</v>
      </c>
      <c r="L437" s="68">
        <v>2723.98</v>
      </c>
      <c r="M437" s="17"/>
      <c r="N437" s="21" t="str">
        <f t="shared" si="35"/>
        <v>MCSGAST1CPF - Desp. Lazer e Entretenimento - Bares</v>
      </c>
      <c r="O437" s="21" t="str">
        <f t="shared" si="36"/>
        <v>GAST1CPF - Desp. Lazer e Entretenimento - Bares</v>
      </c>
      <c r="P437" s="21" t="str">
        <f t="shared" si="37"/>
        <v>MCSGAST1CPF - Desp. Lazer e Entretenimento - Bares</v>
      </c>
      <c r="Q437" s="21" t="str">
        <f t="shared" si="38"/>
        <v>MCSGAST1</v>
      </c>
      <c r="R437" s="21" t="str">
        <f t="shared" si="39"/>
        <v>MCSGAST1</v>
      </c>
      <c r="S437" s="17"/>
      <c r="T437" s="24">
        <f t="shared" si="40"/>
        <v>45809</v>
      </c>
      <c r="U437" s="24" t="str">
        <f t="shared" si="42"/>
        <v/>
      </c>
      <c r="V437" s="14" t="s">
        <v>761</v>
      </c>
    </row>
    <row r="438" spans="2:22" x14ac:dyDescent="0.25">
      <c r="B438" s="20" t="s">
        <v>25</v>
      </c>
      <c r="C438" s="17"/>
      <c r="D438" s="86" t="str">
        <f>INDEX(Cad_Natureza!$B$3:$C$52,MATCH('2025'!F438,Cad_Natureza!$C$3:$C$52,0),MATCH('2025'!D$2,Cad_Natureza!$B$3:$C$3,0))</f>
        <v>OPF1</v>
      </c>
      <c r="E438" s="84" t="s">
        <v>449</v>
      </c>
      <c r="F438" s="85" t="s">
        <v>744</v>
      </c>
      <c r="G438" s="86" t="s">
        <v>25</v>
      </c>
      <c r="H438" s="87">
        <v>45818</v>
      </c>
      <c r="I438" s="87"/>
      <c r="J438" s="79" t="s">
        <v>459</v>
      </c>
      <c r="K438" s="62">
        <v>-4.7300000000000004</v>
      </c>
      <c r="L438" s="68">
        <v>2719.25</v>
      </c>
      <c r="M438" s="17"/>
      <c r="N438" s="21" t="str">
        <f t="shared" si="35"/>
        <v>MCSOPF1CPF - Desp. Alimentação / Refeição</v>
      </c>
      <c r="O438" s="21" t="str">
        <f t="shared" si="36"/>
        <v>OPF1CPF - Desp. Alimentação / Refeição</v>
      </c>
      <c r="P438" s="21" t="str">
        <f t="shared" si="37"/>
        <v>MCSOPF1CPF - Desp. Alimentação / Refeição</v>
      </c>
      <c r="Q438" s="21" t="str">
        <f t="shared" si="38"/>
        <v>MCSOPF1</v>
      </c>
      <c r="R438" s="21" t="str">
        <f t="shared" si="39"/>
        <v>MCSOPF1</v>
      </c>
      <c r="S438" s="17"/>
      <c r="T438" s="24">
        <f t="shared" si="40"/>
        <v>45809</v>
      </c>
      <c r="U438" s="24" t="str">
        <f t="shared" si="42"/>
        <v/>
      </c>
      <c r="V438" s="14" t="s">
        <v>761</v>
      </c>
    </row>
    <row r="439" spans="2:22" x14ac:dyDescent="0.25">
      <c r="B439" s="20" t="s">
        <v>25</v>
      </c>
      <c r="C439" s="17"/>
      <c r="D439" s="86" t="str">
        <f>INDEX(Cad_Natureza!$B$3:$C$52,MATCH('2025'!F439,Cad_Natureza!$C$3:$C$52,0),MATCH('2025'!D$2,Cad_Natureza!$B$3:$C$3,0))</f>
        <v>PENS3</v>
      </c>
      <c r="E439" s="84" t="s">
        <v>450</v>
      </c>
      <c r="F439" s="85" t="s">
        <v>746</v>
      </c>
      <c r="G439" s="86" t="s">
        <v>25</v>
      </c>
      <c r="H439" s="87">
        <v>45818</v>
      </c>
      <c r="I439" s="87"/>
      <c r="J439" s="78" t="s">
        <v>577</v>
      </c>
      <c r="K439" s="80">
        <v>-508.31</v>
      </c>
      <c r="L439" s="68">
        <v>2210.94</v>
      </c>
      <c r="M439" s="17"/>
      <c r="N439" s="21" t="str">
        <f t="shared" si="35"/>
        <v>MCSPENS3CPF - Pensão - Plano de saúde</v>
      </c>
      <c r="O439" s="21" t="str">
        <f t="shared" si="36"/>
        <v>PENS3CPF - Pensão - Plano de saúde</v>
      </c>
      <c r="P439" s="21" t="str">
        <f t="shared" si="37"/>
        <v>MCSPENS3CPF - Pensão - Plano de saúde</v>
      </c>
      <c r="Q439" s="21" t="str">
        <f t="shared" si="38"/>
        <v>MCSPENS3</v>
      </c>
      <c r="R439" s="21" t="str">
        <f t="shared" si="39"/>
        <v>MCSPENS3</v>
      </c>
      <c r="S439" s="17"/>
      <c r="T439" s="24">
        <f t="shared" si="40"/>
        <v>45809</v>
      </c>
      <c r="U439" s="24" t="str">
        <f t="shared" si="42"/>
        <v/>
      </c>
      <c r="V439" s="14" t="s">
        <v>731</v>
      </c>
    </row>
    <row r="440" spans="2:22" x14ac:dyDescent="0.25">
      <c r="B440" s="20" t="s">
        <v>25</v>
      </c>
      <c r="C440" s="17"/>
      <c r="D440" s="86" t="str">
        <f>INDEX(Cad_Natureza!$B$3:$C$52,MATCH('2025'!F440,Cad_Natureza!$C$3:$C$52,0),MATCH('2025'!D$2,Cad_Natureza!$B$3:$C$3,0))</f>
        <v>PENS2</v>
      </c>
      <c r="E440" s="84" t="s">
        <v>451</v>
      </c>
      <c r="F440" s="85" t="s">
        <v>715</v>
      </c>
      <c r="G440" s="86" t="s">
        <v>25</v>
      </c>
      <c r="H440" s="87">
        <v>45818</v>
      </c>
      <c r="I440" s="87"/>
      <c r="J440" s="78" t="s">
        <v>578</v>
      </c>
      <c r="K440" s="62">
        <v>-442.98</v>
      </c>
      <c r="L440" s="68">
        <v>1767.96</v>
      </c>
      <c r="M440" s="17"/>
      <c r="N440" s="21" t="str">
        <f t="shared" si="35"/>
        <v>MCSPENS2CPF - Pensão - Energia</v>
      </c>
      <c r="O440" s="21" t="str">
        <f t="shared" si="36"/>
        <v>PENS2CPF - Pensão - Energia</v>
      </c>
      <c r="P440" s="21" t="str">
        <f t="shared" si="37"/>
        <v>MCSPENS2CPF - Pensão - Energia</v>
      </c>
      <c r="Q440" s="21" t="str">
        <f t="shared" si="38"/>
        <v>MCSPENS2</v>
      </c>
      <c r="R440" s="21" t="str">
        <f t="shared" si="39"/>
        <v>MCSPENS2</v>
      </c>
      <c r="S440" s="17"/>
      <c r="T440" s="24">
        <f t="shared" si="40"/>
        <v>45809</v>
      </c>
      <c r="U440" s="24" t="str">
        <f t="shared" si="42"/>
        <v/>
      </c>
      <c r="V440" s="14" t="s">
        <v>731</v>
      </c>
    </row>
    <row r="441" spans="2:22" x14ac:dyDescent="0.25">
      <c r="B441" s="20" t="s">
        <v>25</v>
      </c>
      <c r="C441" s="17"/>
      <c r="D441" s="86" t="str">
        <f>INDEX(Cad_Natureza!$B$3:$C$52,MATCH('2025'!F441,Cad_Natureza!$C$3:$C$52,0),MATCH('2025'!D$2,Cad_Natureza!$B$3:$C$3,0))</f>
        <v>PENS2</v>
      </c>
      <c r="E441" s="84" t="s">
        <v>452</v>
      </c>
      <c r="F441" s="85" t="s">
        <v>715</v>
      </c>
      <c r="G441" s="86" t="s">
        <v>25</v>
      </c>
      <c r="H441" s="87">
        <v>45818</v>
      </c>
      <c r="I441" s="87"/>
      <c r="J441" s="78" t="s">
        <v>579</v>
      </c>
      <c r="K441" s="62">
        <v>-326.24</v>
      </c>
      <c r="L441" s="68">
        <v>1441.72</v>
      </c>
      <c r="M441" s="17"/>
      <c r="N441" s="21" t="str">
        <f t="shared" si="35"/>
        <v>MCSPENS2CPF - Pensão - Energia</v>
      </c>
      <c r="O441" s="21" t="str">
        <f t="shared" si="36"/>
        <v>PENS2CPF - Pensão - Energia</v>
      </c>
      <c r="P441" s="21" t="str">
        <f t="shared" si="37"/>
        <v>MCSPENS2CPF - Pensão - Energia</v>
      </c>
      <c r="Q441" s="21" t="str">
        <f t="shared" si="38"/>
        <v>MCSPENS2</v>
      </c>
      <c r="R441" s="21" t="str">
        <f t="shared" si="39"/>
        <v>MCSPENS2</v>
      </c>
      <c r="S441" s="17"/>
      <c r="T441" s="24">
        <f t="shared" si="40"/>
        <v>45809</v>
      </c>
      <c r="U441" s="24" t="str">
        <f t="shared" si="42"/>
        <v/>
      </c>
      <c r="V441" s="14" t="s">
        <v>731</v>
      </c>
    </row>
    <row r="442" spans="2:22" x14ac:dyDescent="0.25">
      <c r="B442" s="20" t="s">
        <v>25</v>
      </c>
      <c r="C442" s="17"/>
      <c r="D442" s="86" t="str">
        <f>INDEX(Cad_Natureza!$B$3:$C$52,MATCH('2025'!F442,Cad_Natureza!$C$3:$C$52,0),MATCH('2025'!D$2,Cad_Natureza!$B$3:$C$3,0))</f>
        <v>PENS1</v>
      </c>
      <c r="E442" s="84" t="s">
        <v>453</v>
      </c>
      <c r="F442" s="85" t="s">
        <v>717</v>
      </c>
      <c r="G442" s="86" t="s">
        <v>25</v>
      </c>
      <c r="H442" s="87">
        <v>45818</v>
      </c>
      <c r="I442" s="87"/>
      <c r="J442" s="78" t="s">
        <v>580</v>
      </c>
      <c r="K442" s="80">
        <v>-700</v>
      </c>
      <c r="L442" s="68">
        <v>741.72</v>
      </c>
      <c r="M442" s="17"/>
      <c r="N442" s="21" t="str">
        <f t="shared" si="35"/>
        <v>MCSPENS1CPF - Pensão - Aluguel</v>
      </c>
      <c r="O442" s="21" t="str">
        <f t="shared" si="36"/>
        <v>PENS1CPF - Pensão - Aluguel</v>
      </c>
      <c r="P442" s="21" t="str">
        <f t="shared" si="37"/>
        <v>MCSPENS1CPF - Pensão - Aluguel</v>
      </c>
      <c r="Q442" s="21" t="str">
        <f t="shared" si="38"/>
        <v>MCSPENS1</v>
      </c>
      <c r="R442" s="21" t="str">
        <f t="shared" si="39"/>
        <v>MCSPENS1</v>
      </c>
      <c r="S442" s="17"/>
      <c r="T442" s="24">
        <f t="shared" si="40"/>
        <v>45809</v>
      </c>
      <c r="U442" s="24" t="str">
        <f t="shared" si="42"/>
        <v/>
      </c>
      <c r="V442" s="14" t="s">
        <v>731</v>
      </c>
    </row>
    <row r="443" spans="2:22" x14ac:dyDescent="0.25">
      <c r="B443" s="20" t="s">
        <v>25</v>
      </c>
      <c r="C443" s="17"/>
      <c r="D443" s="86" t="str">
        <f>INDEX(Cad_Natureza!$B$3:$C$52,MATCH('2025'!F443,Cad_Natureza!$C$3:$C$52,0),MATCH('2025'!D$2,Cad_Natureza!$B$3:$C$3,0))</f>
        <v>DESP1</v>
      </c>
      <c r="E443" s="84" t="s">
        <v>201</v>
      </c>
      <c r="F443" s="85" t="s">
        <v>733</v>
      </c>
      <c r="G443" s="86" t="s">
        <v>25</v>
      </c>
      <c r="H443" s="87">
        <v>45818</v>
      </c>
      <c r="I443" s="87"/>
      <c r="J443" s="79" t="s">
        <v>466</v>
      </c>
      <c r="K443" s="62">
        <v>-5.9</v>
      </c>
      <c r="L443" s="68">
        <f t="shared" ref="L443:L506" si="43">L442+K443</f>
        <v>735.82</v>
      </c>
      <c r="M443" s="17"/>
      <c r="N443" s="21" t="str">
        <f t="shared" si="35"/>
        <v>MCSDESP1CPF - Desp. Cartão de crédito</v>
      </c>
      <c r="O443" s="21" t="str">
        <f t="shared" si="36"/>
        <v>DESP1CPF - Desp. Cartão de crédito</v>
      </c>
      <c r="P443" s="21" t="str">
        <f t="shared" si="37"/>
        <v>MCSDESP1CPF - Desp. Cartão de crédito</v>
      </c>
      <c r="Q443" s="21" t="str">
        <f t="shared" si="38"/>
        <v>MCSDESP1</v>
      </c>
      <c r="R443" s="21" t="str">
        <f t="shared" si="39"/>
        <v>MCSDESP1</v>
      </c>
      <c r="S443" s="17"/>
      <c r="T443" s="24">
        <f t="shared" si="40"/>
        <v>45809</v>
      </c>
      <c r="U443" s="24" t="str">
        <f t="shared" si="42"/>
        <v/>
      </c>
      <c r="V443" s="14" t="s">
        <v>761</v>
      </c>
    </row>
    <row r="444" spans="2:22" x14ac:dyDescent="0.25">
      <c r="B444" s="20" t="s">
        <v>25</v>
      </c>
      <c r="C444" s="17"/>
      <c r="D444" s="86" t="str">
        <f>INDEX(Cad_Natureza!$B$3:$C$52,MATCH('2025'!F444,Cad_Natureza!$C$3:$C$52,0),MATCH('2025'!D$2,Cad_Natureza!$B$3:$C$3,0))</f>
        <v>GAST2</v>
      </c>
      <c r="E444" s="84" t="s">
        <v>467</v>
      </c>
      <c r="F444" s="85" t="s">
        <v>743</v>
      </c>
      <c r="G444" s="86" t="s">
        <v>25</v>
      </c>
      <c r="H444" s="87">
        <v>45819</v>
      </c>
      <c r="I444" s="87"/>
      <c r="J444" s="79" t="s">
        <v>180</v>
      </c>
      <c r="K444" s="62">
        <v>-32</v>
      </c>
      <c r="L444" s="68">
        <f t="shared" si="43"/>
        <v>703.82</v>
      </c>
      <c r="M444" s="17"/>
      <c r="N444" s="21" t="str">
        <f t="shared" si="35"/>
        <v>MCSGAST2CPF - Desp. Lazer e Entretenimento - Cigarro</v>
      </c>
      <c r="O444" s="21" t="str">
        <f t="shared" si="36"/>
        <v>GAST2CPF - Desp. Lazer e Entretenimento - Cigarro</v>
      </c>
      <c r="P444" s="21" t="str">
        <f t="shared" si="37"/>
        <v>MCSGAST2CPF - Desp. Lazer e Entretenimento - Cigarro</v>
      </c>
      <c r="Q444" s="21" t="str">
        <f t="shared" si="38"/>
        <v>MCSGAST2</v>
      </c>
      <c r="R444" s="21" t="str">
        <f t="shared" si="39"/>
        <v>MCSGAST2</v>
      </c>
      <c r="S444" s="17"/>
      <c r="T444" s="24">
        <f t="shared" si="40"/>
        <v>45809</v>
      </c>
      <c r="U444" s="24" t="str">
        <f t="shared" si="42"/>
        <v/>
      </c>
      <c r="V444" s="14" t="s">
        <v>761</v>
      </c>
    </row>
    <row r="445" spans="2:22" x14ac:dyDescent="0.25">
      <c r="B445" s="20" t="s">
        <v>25</v>
      </c>
      <c r="C445" s="17"/>
      <c r="D445" s="86" t="str">
        <f>INDEX(Cad_Natureza!$B$3:$C$52,MATCH('2025'!F445,Cad_Natureza!$C$3:$C$52,0),MATCH('2025'!D$2,Cad_Natureza!$B$3:$C$3,0))</f>
        <v>GAST1</v>
      </c>
      <c r="E445" s="84" t="s">
        <v>468</v>
      </c>
      <c r="F445" s="85" t="s">
        <v>742</v>
      </c>
      <c r="G445" s="86" t="s">
        <v>25</v>
      </c>
      <c r="H445" s="87">
        <v>45820</v>
      </c>
      <c r="I445" s="87"/>
      <c r="J445" s="79" t="s">
        <v>863</v>
      </c>
      <c r="K445" s="62">
        <v>-78.5</v>
      </c>
      <c r="L445" s="68">
        <f t="shared" si="43"/>
        <v>625.32000000000005</v>
      </c>
      <c r="M445" s="17"/>
      <c r="N445" s="21" t="str">
        <f t="shared" si="35"/>
        <v>MCSGAST1CPF - Desp. Lazer e Entretenimento - Bares</v>
      </c>
      <c r="O445" s="21" t="str">
        <f t="shared" si="36"/>
        <v>GAST1CPF - Desp. Lazer e Entretenimento - Bares</v>
      </c>
      <c r="P445" s="21" t="str">
        <f t="shared" si="37"/>
        <v>MCSGAST1CPF - Desp. Lazer e Entretenimento - Bares</v>
      </c>
      <c r="Q445" s="21" t="str">
        <f t="shared" si="38"/>
        <v>MCSGAST1</v>
      </c>
      <c r="R445" s="21" t="str">
        <f t="shared" si="39"/>
        <v>MCSGAST1</v>
      </c>
      <c r="S445" s="17"/>
      <c r="T445" s="24">
        <f t="shared" si="40"/>
        <v>45809</v>
      </c>
      <c r="U445" s="24" t="str">
        <f t="shared" si="42"/>
        <v/>
      </c>
      <c r="V445" s="14" t="s">
        <v>761</v>
      </c>
    </row>
    <row r="446" spans="2:22" x14ac:dyDescent="0.25">
      <c r="B446" s="20" t="s">
        <v>25</v>
      </c>
      <c r="C446" s="17"/>
      <c r="D446" s="86" t="str">
        <f>INDEX(Cad_Natureza!$B$3:$C$52,MATCH('2025'!F446,Cad_Natureza!$C$3:$C$52,0),MATCH('2025'!D$2,Cad_Natureza!$B$3:$C$3,0))</f>
        <v>OPF2</v>
      </c>
      <c r="E446" s="84" t="s">
        <v>469</v>
      </c>
      <c r="F446" s="85" t="s">
        <v>741</v>
      </c>
      <c r="G446" s="86" t="s">
        <v>25</v>
      </c>
      <c r="H446" s="87">
        <v>45820</v>
      </c>
      <c r="I446" s="87"/>
      <c r="J446" s="79" t="s">
        <v>184</v>
      </c>
      <c r="K446" s="62">
        <v>-50</v>
      </c>
      <c r="L446" s="68">
        <f t="shared" si="43"/>
        <v>575.32000000000005</v>
      </c>
      <c r="M446" s="17"/>
      <c r="N446" s="21" t="str">
        <f t="shared" si="35"/>
        <v>MCSOPF2CPF - Desp. Transporte / Combustível</v>
      </c>
      <c r="O446" s="21" t="str">
        <f t="shared" si="36"/>
        <v>OPF2CPF - Desp. Transporte / Combustível</v>
      </c>
      <c r="P446" s="21" t="str">
        <f t="shared" si="37"/>
        <v>MCSOPF2CPF - Desp. Transporte / Combustível</v>
      </c>
      <c r="Q446" s="21" t="str">
        <f t="shared" si="38"/>
        <v>MCSOPF2</v>
      </c>
      <c r="R446" s="21" t="str">
        <f t="shared" si="39"/>
        <v>MCSOPF2</v>
      </c>
      <c r="S446" s="17"/>
      <c r="T446" s="24">
        <f t="shared" si="40"/>
        <v>45809</v>
      </c>
      <c r="U446" s="24" t="str">
        <f t="shared" si="42"/>
        <v/>
      </c>
      <c r="V446" s="14" t="s">
        <v>761</v>
      </c>
    </row>
    <row r="447" spans="2:22" x14ac:dyDescent="0.25">
      <c r="B447" s="20" t="s">
        <v>25</v>
      </c>
      <c r="C447" s="17"/>
      <c r="D447" s="86" t="str">
        <f>INDEX(Cad_Natureza!$B$3:$C$52,MATCH('2025'!F447,Cad_Natureza!$C$3:$C$52,0),MATCH('2025'!D$2,Cad_Natureza!$B$3:$C$3,0))</f>
        <v>GAST1</v>
      </c>
      <c r="E447" s="84" t="s">
        <v>470</v>
      </c>
      <c r="F447" s="85" t="s">
        <v>742</v>
      </c>
      <c r="G447" s="86" t="s">
        <v>25</v>
      </c>
      <c r="H447" s="87">
        <v>45820</v>
      </c>
      <c r="I447" s="87"/>
      <c r="J447" s="79" t="s">
        <v>864</v>
      </c>
      <c r="K447" s="62">
        <v>-13</v>
      </c>
      <c r="L447" s="68">
        <f t="shared" si="43"/>
        <v>562.32000000000005</v>
      </c>
      <c r="M447" s="17"/>
      <c r="N447" s="21" t="str">
        <f t="shared" si="35"/>
        <v>MCSGAST1CPF - Desp. Lazer e Entretenimento - Bares</v>
      </c>
      <c r="O447" s="21" t="str">
        <f t="shared" si="36"/>
        <v>GAST1CPF - Desp. Lazer e Entretenimento - Bares</v>
      </c>
      <c r="P447" s="21" t="str">
        <f t="shared" si="37"/>
        <v>MCSGAST1CPF - Desp. Lazer e Entretenimento - Bares</v>
      </c>
      <c r="Q447" s="21" t="str">
        <f t="shared" si="38"/>
        <v>MCSGAST1</v>
      </c>
      <c r="R447" s="21" t="str">
        <f t="shared" si="39"/>
        <v>MCSGAST1</v>
      </c>
      <c r="S447" s="17"/>
      <c r="T447" s="24">
        <f t="shared" si="40"/>
        <v>45809</v>
      </c>
      <c r="U447" s="24" t="str">
        <f t="shared" si="42"/>
        <v/>
      </c>
      <c r="V447" s="14" t="s">
        <v>761</v>
      </c>
    </row>
    <row r="448" spans="2:22" x14ac:dyDescent="0.25">
      <c r="B448" s="20" t="s">
        <v>25</v>
      </c>
      <c r="C448" s="17"/>
      <c r="D448" s="86" t="str">
        <f>INDEX(Cad_Natureza!$B$3:$C$52,MATCH('2025'!F448,Cad_Natureza!$C$3:$C$52,0),MATCH('2025'!D$2,Cad_Natureza!$B$3:$C$3,0))</f>
        <v>GAST1</v>
      </c>
      <c r="E448" s="84" t="s">
        <v>470</v>
      </c>
      <c r="F448" s="85" t="s">
        <v>742</v>
      </c>
      <c r="G448" s="86" t="s">
        <v>25</v>
      </c>
      <c r="H448" s="87">
        <v>45820</v>
      </c>
      <c r="I448" s="87"/>
      <c r="J448" s="79" t="s">
        <v>864</v>
      </c>
      <c r="K448" s="62">
        <v>-12</v>
      </c>
      <c r="L448" s="68">
        <f t="shared" si="43"/>
        <v>550.32000000000005</v>
      </c>
      <c r="M448" s="17"/>
      <c r="N448" s="21" t="str">
        <f t="shared" si="35"/>
        <v>MCSGAST1CPF - Desp. Lazer e Entretenimento - Bares</v>
      </c>
      <c r="O448" s="21" t="str">
        <f t="shared" si="36"/>
        <v>GAST1CPF - Desp. Lazer e Entretenimento - Bares</v>
      </c>
      <c r="P448" s="21" t="str">
        <f t="shared" si="37"/>
        <v>MCSGAST1CPF - Desp. Lazer e Entretenimento - Bares</v>
      </c>
      <c r="Q448" s="21" t="str">
        <f t="shared" si="38"/>
        <v>MCSGAST1</v>
      </c>
      <c r="R448" s="21" t="str">
        <f t="shared" si="39"/>
        <v>MCSGAST1</v>
      </c>
      <c r="S448" s="17"/>
      <c r="T448" s="24">
        <f t="shared" si="40"/>
        <v>45809</v>
      </c>
      <c r="U448" s="24" t="str">
        <f t="shared" si="42"/>
        <v/>
      </c>
      <c r="V448" s="14" t="s">
        <v>761</v>
      </c>
    </row>
    <row r="449" spans="2:22" x14ac:dyDescent="0.25">
      <c r="B449" s="20" t="s">
        <v>25</v>
      </c>
      <c r="C449" s="17"/>
      <c r="D449" s="86" t="str">
        <f>INDEX(Cad_Natureza!$B$3:$C$52,MATCH('2025'!F449,Cad_Natureza!$C$3:$C$52,0),MATCH('2025'!D$2,Cad_Natureza!$B$3:$C$3,0))</f>
        <v>GAST1</v>
      </c>
      <c r="E449" s="84" t="s">
        <v>470</v>
      </c>
      <c r="F449" s="85" t="s">
        <v>742</v>
      </c>
      <c r="G449" s="86" t="s">
        <v>25</v>
      </c>
      <c r="H449" s="87">
        <v>45820</v>
      </c>
      <c r="I449" s="87"/>
      <c r="J449" s="79" t="s">
        <v>864</v>
      </c>
      <c r="K449" s="62">
        <v>-19</v>
      </c>
      <c r="L449" s="68">
        <f t="shared" si="43"/>
        <v>531.32000000000005</v>
      </c>
      <c r="M449" s="17"/>
      <c r="N449" s="21" t="str">
        <f t="shared" si="35"/>
        <v>MCSGAST1CPF - Desp. Lazer e Entretenimento - Bares</v>
      </c>
      <c r="O449" s="21" t="str">
        <f t="shared" si="36"/>
        <v>GAST1CPF - Desp. Lazer e Entretenimento - Bares</v>
      </c>
      <c r="P449" s="21" t="str">
        <f t="shared" si="37"/>
        <v>MCSGAST1CPF - Desp. Lazer e Entretenimento - Bares</v>
      </c>
      <c r="Q449" s="21" t="str">
        <f t="shared" si="38"/>
        <v>MCSGAST1</v>
      </c>
      <c r="R449" s="21" t="str">
        <f t="shared" si="39"/>
        <v>MCSGAST1</v>
      </c>
      <c r="S449" s="17"/>
      <c r="T449" s="24">
        <f t="shared" si="40"/>
        <v>45809</v>
      </c>
      <c r="U449" s="24" t="str">
        <f t="shared" si="42"/>
        <v/>
      </c>
      <c r="V449" s="14" t="s">
        <v>761</v>
      </c>
    </row>
    <row r="450" spans="2:22" x14ac:dyDescent="0.25">
      <c r="B450" s="20" t="s">
        <v>25</v>
      </c>
      <c r="C450" s="17"/>
      <c r="D450" s="86" t="str">
        <f>INDEX(Cad_Natureza!$B$3:$C$52,MATCH('2025'!F450,Cad_Natureza!$C$3:$C$52,0),MATCH('2025'!D$2,Cad_Natureza!$B$3:$C$3,0))</f>
        <v>GAST1</v>
      </c>
      <c r="E450" s="84" t="s">
        <v>471</v>
      </c>
      <c r="F450" s="85" t="s">
        <v>742</v>
      </c>
      <c r="G450" s="86" t="s">
        <v>25</v>
      </c>
      <c r="H450" s="87">
        <v>45821</v>
      </c>
      <c r="I450" s="87"/>
      <c r="J450" s="79" t="s">
        <v>865</v>
      </c>
      <c r="K450" s="62">
        <v>-14</v>
      </c>
      <c r="L450" s="68">
        <f t="shared" si="43"/>
        <v>517.32000000000005</v>
      </c>
      <c r="M450" s="17"/>
      <c r="N450" s="21" t="str">
        <f t="shared" si="35"/>
        <v>MCSGAST1CPF - Desp. Lazer e Entretenimento - Bares</v>
      </c>
      <c r="O450" s="21" t="str">
        <f t="shared" si="36"/>
        <v>GAST1CPF - Desp. Lazer e Entretenimento - Bares</v>
      </c>
      <c r="P450" s="21" t="str">
        <f t="shared" si="37"/>
        <v>MCSGAST1CPF - Desp. Lazer e Entretenimento - Bares</v>
      </c>
      <c r="Q450" s="21" t="str">
        <f t="shared" si="38"/>
        <v>MCSGAST1</v>
      </c>
      <c r="R450" s="21" t="str">
        <f t="shared" si="39"/>
        <v>MCSGAST1</v>
      </c>
      <c r="S450" s="17"/>
      <c r="T450" s="24">
        <f t="shared" si="40"/>
        <v>45809</v>
      </c>
      <c r="U450" s="24" t="str">
        <f t="shared" si="42"/>
        <v/>
      </c>
      <c r="V450" s="14" t="s">
        <v>761</v>
      </c>
    </row>
    <row r="451" spans="2:22" x14ac:dyDescent="0.25">
      <c r="B451" s="20" t="s">
        <v>25</v>
      </c>
      <c r="C451" s="17"/>
      <c r="D451" s="86" t="str">
        <f>INDEX(Cad_Natureza!$B$3:$C$52,MATCH('2025'!F451,Cad_Natureza!$C$3:$C$52,0),MATCH('2025'!D$2,Cad_Natureza!$B$3:$C$3,0))</f>
        <v>FIN3</v>
      </c>
      <c r="E451" s="84" t="s">
        <v>454</v>
      </c>
      <c r="F451" s="85" t="s">
        <v>939</v>
      </c>
      <c r="G451" s="86" t="s">
        <v>25</v>
      </c>
      <c r="H451" s="87">
        <v>45821</v>
      </c>
      <c r="I451" s="87"/>
      <c r="J451" s="79" t="s">
        <v>572</v>
      </c>
      <c r="K451" s="62">
        <v>-538.03</v>
      </c>
      <c r="L451" s="62">
        <f t="shared" si="43"/>
        <v>-20.709999999999923</v>
      </c>
      <c r="M451" s="17"/>
      <c r="N451" s="21" t="str">
        <f t="shared" si="35"/>
        <v>MCSFIN3CPF - Desp. Financeiras - Empréstimos bancários</v>
      </c>
      <c r="O451" s="21" t="str">
        <f t="shared" si="36"/>
        <v>FIN3CPF - Desp. Financeiras - Empréstimos bancários</v>
      </c>
      <c r="P451" s="21" t="str">
        <f t="shared" si="37"/>
        <v>MCSFIN3CPF - Desp. Financeiras - Empréstimos bancários</v>
      </c>
      <c r="Q451" s="21" t="str">
        <f t="shared" si="38"/>
        <v>MCSFIN3</v>
      </c>
      <c r="R451" s="21" t="str">
        <f t="shared" si="39"/>
        <v>MCSFIN3</v>
      </c>
      <c r="S451" s="17"/>
      <c r="T451" s="24">
        <f t="shared" si="40"/>
        <v>45809</v>
      </c>
      <c r="U451" s="24" t="str">
        <f t="shared" ref="U451:U514" si="44">IF(I451="","",(1&amp;"/"&amp;MONTH(I451)&amp;"/"&amp;YEAR(I451))*1)</f>
        <v/>
      </c>
      <c r="V451" s="14" t="s">
        <v>761</v>
      </c>
    </row>
    <row r="452" spans="2:22" x14ac:dyDescent="0.25">
      <c r="B452" s="20" t="s">
        <v>25</v>
      </c>
      <c r="C452" s="17"/>
      <c r="D452" s="63" t="str">
        <f>INDEX(Cad_Natureza!$B$3:$C$52,MATCH('2025'!F452,Cad_Natureza!$C$3:$C$52,0),MATCH('2025'!D$2,Cad_Natureza!$B$3:$C$3,0))</f>
        <v>REC5</v>
      </c>
      <c r="E452" s="64" t="s">
        <v>472</v>
      </c>
      <c r="F452" s="65" t="s">
        <v>740</v>
      </c>
      <c r="G452" s="63" t="s">
        <v>25</v>
      </c>
      <c r="H452" s="66">
        <v>45821</v>
      </c>
      <c r="I452" s="66"/>
      <c r="J452" s="67" t="s">
        <v>200</v>
      </c>
      <c r="K452" s="68">
        <v>30</v>
      </c>
      <c r="L452" s="68">
        <f t="shared" si="43"/>
        <v>9.2900000000000773</v>
      </c>
      <c r="M452" s="17"/>
      <c r="N452" s="21" t="str">
        <f t="shared" si="35"/>
        <v>MCSREC5CPF - Outras receitas</v>
      </c>
      <c r="O452" s="21" t="str">
        <f t="shared" si="36"/>
        <v>REC5CPF - Outras receitas</v>
      </c>
      <c r="P452" s="21" t="str">
        <f t="shared" si="37"/>
        <v>MCSREC5CPF - Outras receitas</v>
      </c>
      <c r="Q452" s="21" t="str">
        <f t="shared" si="38"/>
        <v>MCSREC5</v>
      </c>
      <c r="R452" s="21" t="str">
        <f t="shared" si="39"/>
        <v>MCSREC5</v>
      </c>
      <c r="S452" s="17"/>
      <c r="T452" s="24">
        <f t="shared" si="40"/>
        <v>45809</v>
      </c>
      <c r="U452" s="24" t="str">
        <f t="shared" si="44"/>
        <v/>
      </c>
      <c r="V452" s="14" t="s">
        <v>761</v>
      </c>
    </row>
    <row r="453" spans="2:22" x14ac:dyDescent="0.25">
      <c r="B453" s="20" t="s">
        <v>25</v>
      </c>
      <c r="C453" s="17"/>
      <c r="D453" s="86" t="str">
        <f>INDEX(Cad_Natureza!$B$3:$C$52,MATCH('2025'!F453,Cad_Natureza!$C$3:$C$52,0),MATCH('2025'!D$2,Cad_Natureza!$B$3:$C$3,0))</f>
        <v>OPF2</v>
      </c>
      <c r="E453" s="84" t="s">
        <v>473</v>
      </c>
      <c r="F453" s="85" t="s">
        <v>741</v>
      </c>
      <c r="G453" s="86" t="s">
        <v>25</v>
      </c>
      <c r="H453" s="87">
        <v>45821</v>
      </c>
      <c r="I453" s="87"/>
      <c r="J453" s="79" t="s">
        <v>474</v>
      </c>
      <c r="K453" s="62">
        <v>-30</v>
      </c>
      <c r="L453" s="62">
        <f t="shared" si="43"/>
        <v>-20.709999999999923</v>
      </c>
      <c r="M453" s="17"/>
      <c r="N453" s="21" t="str">
        <f t="shared" si="35"/>
        <v>MCSOPF2CPF - Desp. Transporte / Combustível</v>
      </c>
      <c r="O453" s="21" t="str">
        <f t="shared" si="36"/>
        <v>OPF2CPF - Desp. Transporte / Combustível</v>
      </c>
      <c r="P453" s="21" t="str">
        <f t="shared" si="37"/>
        <v>MCSOPF2CPF - Desp. Transporte / Combustível</v>
      </c>
      <c r="Q453" s="21" t="str">
        <f t="shared" si="38"/>
        <v>MCSOPF2</v>
      </c>
      <c r="R453" s="21" t="str">
        <f t="shared" si="39"/>
        <v>MCSOPF2</v>
      </c>
      <c r="S453" s="17"/>
      <c r="T453" s="24">
        <f t="shared" si="40"/>
        <v>45809</v>
      </c>
      <c r="U453" s="24" t="str">
        <f t="shared" si="44"/>
        <v/>
      </c>
      <c r="V453" s="14" t="s">
        <v>761</v>
      </c>
    </row>
    <row r="454" spans="2:22" x14ac:dyDescent="0.25">
      <c r="B454" s="20" t="s">
        <v>25</v>
      </c>
      <c r="C454" s="17"/>
      <c r="D454" s="63" t="str">
        <f>INDEX(Cad_Natureza!$B$3:$C$52,MATCH('2025'!F454,Cad_Natureza!$C$3:$C$52,0),MATCH('2025'!D$2,Cad_Natureza!$B$3:$C$3,0))</f>
        <v>REC3</v>
      </c>
      <c r="E454" s="64" t="s">
        <v>475</v>
      </c>
      <c r="F454" s="65" t="s">
        <v>776</v>
      </c>
      <c r="G454" s="63" t="s">
        <v>25</v>
      </c>
      <c r="H454" s="66">
        <v>45821</v>
      </c>
      <c r="I454" s="66"/>
      <c r="J454" s="67" t="s">
        <v>458</v>
      </c>
      <c r="K454" s="68">
        <v>300</v>
      </c>
      <c r="L454" s="68">
        <f t="shared" si="43"/>
        <v>279.29000000000008</v>
      </c>
      <c r="M454" s="17"/>
      <c r="N454" s="21" t="str">
        <f t="shared" si="35"/>
        <v>MCSREC3CPF - Ajuda de custo - Refeição</v>
      </c>
      <c r="O454" s="21" t="str">
        <f t="shared" si="36"/>
        <v>REC3CPF - Ajuda de custo - Refeição</v>
      </c>
      <c r="P454" s="21" t="str">
        <f t="shared" si="37"/>
        <v>MCSREC3CPF - Ajuda de custo - Refeição</v>
      </c>
      <c r="Q454" s="21" t="str">
        <f t="shared" si="38"/>
        <v>MCSREC3</v>
      </c>
      <c r="R454" s="21" t="str">
        <f t="shared" si="39"/>
        <v>MCSREC3</v>
      </c>
      <c r="S454" s="17"/>
      <c r="T454" s="24">
        <f t="shared" si="40"/>
        <v>45809</v>
      </c>
      <c r="U454" s="24" t="str">
        <f t="shared" si="44"/>
        <v/>
      </c>
      <c r="V454" s="14" t="s">
        <v>761</v>
      </c>
    </row>
    <row r="455" spans="2:22" x14ac:dyDescent="0.25">
      <c r="B455" s="20" t="s">
        <v>25</v>
      </c>
      <c r="C455" s="17"/>
      <c r="D455" s="63" t="str">
        <f>INDEX(Cad_Natureza!$B$3:$C$52,MATCH('2025'!F455,Cad_Natureza!$C$3:$C$52,0),MATCH('2025'!D$2,Cad_Natureza!$B$3:$C$3,0))</f>
        <v>REC2</v>
      </c>
      <c r="E455" s="64" t="s">
        <v>475</v>
      </c>
      <c r="F455" s="65" t="s">
        <v>775</v>
      </c>
      <c r="G455" s="63" t="s">
        <v>25</v>
      </c>
      <c r="H455" s="66">
        <v>45821</v>
      </c>
      <c r="I455" s="66"/>
      <c r="J455" s="67" t="s">
        <v>357</v>
      </c>
      <c r="K455" s="68">
        <v>200</v>
      </c>
      <c r="L455" s="68">
        <f t="shared" si="43"/>
        <v>479.29000000000008</v>
      </c>
      <c r="M455" s="17"/>
      <c r="N455" s="21" t="str">
        <f t="shared" si="35"/>
        <v>MCSREC2CPF - Ajuda de custo - Combustível</v>
      </c>
      <c r="O455" s="21" t="str">
        <f t="shared" si="36"/>
        <v>REC2CPF - Ajuda de custo - Combustível</v>
      </c>
      <c r="P455" s="21" t="str">
        <f t="shared" si="37"/>
        <v>MCSREC2CPF - Ajuda de custo - Combustível</v>
      </c>
      <c r="Q455" s="21" t="str">
        <f t="shared" si="38"/>
        <v>MCSREC2</v>
      </c>
      <c r="R455" s="21" t="str">
        <f t="shared" si="39"/>
        <v>MCSREC2</v>
      </c>
      <c r="S455" s="17"/>
      <c r="T455" s="24">
        <f t="shared" si="40"/>
        <v>45809</v>
      </c>
      <c r="U455" s="24" t="str">
        <f t="shared" si="44"/>
        <v/>
      </c>
      <c r="V455" s="14" t="s">
        <v>761</v>
      </c>
    </row>
    <row r="456" spans="2:22" x14ac:dyDescent="0.25">
      <c r="B456" s="20" t="s">
        <v>25</v>
      </c>
      <c r="C456" s="17"/>
      <c r="D456" s="63" t="str">
        <f>INDEX(Cad_Natureza!$B$3:$C$52,MATCH('2025'!F456,Cad_Natureza!$C$3:$C$52,0),MATCH('2025'!D$2,Cad_Natureza!$B$3:$C$3,0))</f>
        <v>REC7</v>
      </c>
      <c r="E456" s="64" t="s">
        <v>475</v>
      </c>
      <c r="F456" s="65" t="s">
        <v>774</v>
      </c>
      <c r="G456" s="63" t="s">
        <v>25</v>
      </c>
      <c r="H456" s="66">
        <v>45821</v>
      </c>
      <c r="I456" s="66"/>
      <c r="J456" s="81" t="s">
        <v>358</v>
      </c>
      <c r="K456" s="82">
        <v>1500</v>
      </c>
      <c r="L456" s="68">
        <f t="shared" si="43"/>
        <v>1979.29</v>
      </c>
      <c r="M456" s="17"/>
      <c r="N456" s="21" t="str">
        <f t="shared" si="35"/>
        <v>MCSREC7CPF - Rec. Financeiras - Empréstimos</v>
      </c>
      <c r="O456" s="21" t="str">
        <f t="shared" si="36"/>
        <v>REC7CPF - Rec. Financeiras - Empréstimos</v>
      </c>
      <c r="P456" s="21" t="str">
        <f t="shared" si="37"/>
        <v>MCSREC7CPF - Rec. Financeiras - Empréstimos</v>
      </c>
      <c r="Q456" s="21" t="str">
        <f t="shared" si="38"/>
        <v>MCSREC7</v>
      </c>
      <c r="R456" s="21" t="str">
        <f t="shared" si="39"/>
        <v>MCSREC7</v>
      </c>
      <c r="S456" s="17"/>
      <c r="T456" s="24">
        <f t="shared" si="40"/>
        <v>45809</v>
      </c>
      <c r="U456" s="24" t="str">
        <f t="shared" si="44"/>
        <v/>
      </c>
      <c r="V456" s="14" t="s">
        <v>761</v>
      </c>
    </row>
    <row r="457" spans="2:22" x14ac:dyDescent="0.25">
      <c r="B457" s="20" t="s">
        <v>25</v>
      </c>
      <c r="C457" s="17"/>
      <c r="D457" s="86" t="str">
        <f>INDEX(Cad_Natureza!$B$3:$C$52,MATCH('2025'!F457,Cad_Natureza!$C$3:$C$52,0),MATCH('2025'!D$2,Cad_Natureza!$B$3:$C$3,0))</f>
        <v>DESP4</v>
      </c>
      <c r="E457" s="84" t="s">
        <v>484</v>
      </c>
      <c r="F457" s="85" t="s">
        <v>753</v>
      </c>
      <c r="G457" s="86" t="s">
        <v>25</v>
      </c>
      <c r="H457" s="87">
        <v>45824</v>
      </c>
      <c r="I457" s="87"/>
      <c r="J457" s="79" t="s">
        <v>567</v>
      </c>
      <c r="K457" s="62">
        <v>-150</v>
      </c>
      <c r="L457" s="68">
        <f t="shared" si="43"/>
        <v>1829.29</v>
      </c>
      <c r="M457" s="17"/>
      <c r="N457" s="21" t="str">
        <f t="shared" si="35"/>
        <v>MCSDESP4CPF - Desp. Moradia</v>
      </c>
      <c r="O457" s="21" t="str">
        <f t="shared" si="36"/>
        <v>DESP4CPF - Desp. Moradia</v>
      </c>
      <c r="P457" s="21" t="str">
        <f t="shared" si="37"/>
        <v>MCSDESP4CPF - Desp. Moradia</v>
      </c>
      <c r="Q457" s="21" t="str">
        <f t="shared" si="38"/>
        <v>MCSDESP4</v>
      </c>
      <c r="R457" s="21" t="str">
        <f t="shared" si="39"/>
        <v>MCSDESP4</v>
      </c>
      <c r="S457" s="17"/>
      <c r="T457" s="24">
        <f t="shared" si="40"/>
        <v>45809</v>
      </c>
      <c r="U457" s="24" t="str">
        <f t="shared" si="44"/>
        <v/>
      </c>
      <c r="V457" s="14" t="s">
        <v>761</v>
      </c>
    </row>
    <row r="458" spans="2:22" x14ac:dyDescent="0.25">
      <c r="B458" s="20" t="s">
        <v>25</v>
      </c>
      <c r="C458" s="17"/>
      <c r="D458" s="86" t="str">
        <f>INDEX(Cad_Natureza!$B$3:$C$52,MATCH('2025'!F458,Cad_Natureza!$C$3:$C$52,0),MATCH('2025'!D$2,Cad_Natureza!$B$3:$C$3,0))</f>
        <v>OPF2</v>
      </c>
      <c r="E458" s="84" t="s">
        <v>485</v>
      </c>
      <c r="F458" s="85" t="s">
        <v>741</v>
      </c>
      <c r="G458" s="86" t="s">
        <v>25</v>
      </c>
      <c r="H458" s="87">
        <v>45824</v>
      </c>
      <c r="I458" s="87"/>
      <c r="J458" s="79" t="s">
        <v>184</v>
      </c>
      <c r="K458" s="62">
        <v>-50</v>
      </c>
      <c r="L458" s="68">
        <f t="shared" si="43"/>
        <v>1779.29</v>
      </c>
      <c r="M458" s="17"/>
      <c r="N458" s="21" t="str">
        <f t="shared" si="35"/>
        <v>MCSOPF2CPF - Desp. Transporte / Combustível</v>
      </c>
      <c r="O458" s="21" t="str">
        <f t="shared" si="36"/>
        <v>OPF2CPF - Desp. Transporte / Combustível</v>
      </c>
      <c r="P458" s="21" t="str">
        <f t="shared" si="37"/>
        <v>MCSOPF2CPF - Desp. Transporte / Combustível</v>
      </c>
      <c r="Q458" s="21" t="str">
        <f t="shared" si="38"/>
        <v>MCSOPF2</v>
      </c>
      <c r="R458" s="21" t="str">
        <f t="shared" si="39"/>
        <v>MCSOPF2</v>
      </c>
      <c r="S458" s="17"/>
      <c r="T458" s="24">
        <f t="shared" si="40"/>
        <v>45809</v>
      </c>
      <c r="U458" s="24" t="str">
        <f t="shared" si="44"/>
        <v/>
      </c>
      <c r="V458" s="14" t="s">
        <v>761</v>
      </c>
    </row>
    <row r="459" spans="2:22" s="46" customFormat="1" x14ac:dyDescent="0.25">
      <c r="B459" s="37" t="s">
        <v>25</v>
      </c>
      <c r="C459" s="38"/>
      <c r="D459" s="86" t="str">
        <f>INDEX(Cad_Natureza!$B$3:$C$52,MATCH('2025'!F459,Cad_Natureza!$C$3:$C$52,0),MATCH('2025'!D$2,Cad_Natureza!$B$3:$C$3,0))</f>
        <v>GAST1</v>
      </c>
      <c r="E459" s="84" t="s">
        <v>486</v>
      </c>
      <c r="F459" s="85" t="s">
        <v>742</v>
      </c>
      <c r="G459" s="86" t="s">
        <v>25</v>
      </c>
      <c r="H459" s="87">
        <v>45824</v>
      </c>
      <c r="I459" s="87"/>
      <c r="J459" s="79" t="s">
        <v>863</v>
      </c>
      <c r="K459" s="62">
        <v>-5</v>
      </c>
      <c r="L459" s="68">
        <f t="shared" si="43"/>
        <v>1774.29</v>
      </c>
      <c r="M459" s="38"/>
      <c r="N459" s="44" t="str">
        <f t="shared" si="35"/>
        <v>MCSGAST1CPF - Desp. Lazer e Entretenimento - Bares</v>
      </c>
      <c r="O459" s="44" t="str">
        <f t="shared" si="36"/>
        <v>GAST1CPF - Desp. Lazer e Entretenimento - Bares</v>
      </c>
      <c r="P459" s="44" t="str">
        <f t="shared" si="37"/>
        <v>MCSGAST1CPF - Desp. Lazer e Entretenimento - Bares</v>
      </c>
      <c r="Q459" s="44" t="str">
        <f t="shared" si="38"/>
        <v>MCSGAST1</v>
      </c>
      <c r="R459" s="44" t="str">
        <f t="shared" si="39"/>
        <v>MCSGAST1</v>
      </c>
      <c r="S459" s="38"/>
      <c r="T459" s="45">
        <f t="shared" si="40"/>
        <v>45809</v>
      </c>
      <c r="U459" s="24" t="str">
        <f t="shared" si="44"/>
        <v/>
      </c>
      <c r="V459" s="14" t="s">
        <v>761</v>
      </c>
    </row>
    <row r="460" spans="2:22" s="46" customFormat="1" x14ac:dyDescent="0.25">
      <c r="B460" s="37" t="s">
        <v>25</v>
      </c>
      <c r="C460" s="38"/>
      <c r="D460" s="86" t="str">
        <f>INDEX(Cad_Natureza!$B$3:$C$52,MATCH('2025'!F460,Cad_Natureza!$C$3:$C$52,0),MATCH('2025'!D$2,Cad_Natureza!$B$3:$C$3,0))</f>
        <v>GAST1</v>
      </c>
      <c r="E460" s="84" t="s">
        <v>486</v>
      </c>
      <c r="F460" s="85" t="s">
        <v>742</v>
      </c>
      <c r="G460" s="86" t="s">
        <v>25</v>
      </c>
      <c r="H460" s="87">
        <v>45824</v>
      </c>
      <c r="I460" s="87"/>
      <c r="J460" s="79" t="s">
        <v>863</v>
      </c>
      <c r="K460" s="62">
        <v>-5</v>
      </c>
      <c r="L460" s="68">
        <f t="shared" si="43"/>
        <v>1769.29</v>
      </c>
      <c r="M460" s="38"/>
      <c r="N460" s="44" t="str">
        <f t="shared" si="35"/>
        <v>MCSGAST1CPF - Desp. Lazer e Entretenimento - Bares</v>
      </c>
      <c r="O460" s="44" t="str">
        <f t="shared" si="36"/>
        <v>GAST1CPF - Desp. Lazer e Entretenimento - Bares</v>
      </c>
      <c r="P460" s="44" t="str">
        <f t="shared" si="37"/>
        <v>MCSGAST1CPF - Desp. Lazer e Entretenimento - Bares</v>
      </c>
      <c r="Q460" s="44" t="str">
        <f t="shared" si="38"/>
        <v>MCSGAST1</v>
      </c>
      <c r="R460" s="44" t="str">
        <f t="shared" si="39"/>
        <v>MCSGAST1</v>
      </c>
      <c r="S460" s="38"/>
      <c r="T460" s="45">
        <f t="shared" si="40"/>
        <v>45809</v>
      </c>
      <c r="U460" s="24" t="str">
        <f t="shared" si="44"/>
        <v/>
      </c>
      <c r="V460" s="14" t="s">
        <v>761</v>
      </c>
    </row>
    <row r="461" spans="2:22" s="46" customFormat="1" x14ac:dyDescent="0.25">
      <c r="B461" s="37" t="s">
        <v>25</v>
      </c>
      <c r="C461" s="38"/>
      <c r="D461" s="86" t="str">
        <f>INDEX(Cad_Natureza!$B$3:$C$52,MATCH('2025'!F461,Cad_Natureza!$C$3:$C$52,0),MATCH('2025'!D$2,Cad_Natureza!$B$3:$C$3,0))</f>
        <v>GAST2</v>
      </c>
      <c r="E461" s="84" t="s">
        <v>487</v>
      </c>
      <c r="F461" s="85" t="s">
        <v>743</v>
      </c>
      <c r="G461" s="86" t="s">
        <v>25</v>
      </c>
      <c r="H461" s="87">
        <v>45824</v>
      </c>
      <c r="I461" s="87"/>
      <c r="J461" s="79" t="s">
        <v>180</v>
      </c>
      <c r="K461" s="62">
        <v>-35</v>
      </c>
      <c r="L461" s="68">
        <f t="shared" si="43"/>
        <v>1734.29</v>
      </c>
      <c r="M461" s="38"/>
      <c r="N461" s="44" t="str">
        <f>B461&amp;D461&amp;F461</f>
        <v>MCSGAST2CPF - Desp. Lazer e Entretenimento - Cigarro</v>
      </c>
      <c r="O461" s="44" t="str">
        <f>D461&amp;F461</f>
        <v>GAST2CPF - Desp. Lazer e Entretenimento - Cigarro</v>
      </c>
      <c r="P461" s="44" t="str">
        <f>"MCS"&amp;D461&amp;F461</f>
        <v>MCSGAST2CPF - Desp. Lazer e Entretenimento - Cigarro</v>
      </c>
      <c r="Q461" s="44" t="str">
        <f>"MCS"&amp;D461</f>
        <v>MCSGAST2</v>
      </c>
      <c r="R461" s="44" t="str">
        <f>B461&amp;D461</f>
        <v>MCSGAST2</v>
      </c>
      <c r="S461" s="38"/>
      <c r="T461" s="45">
        <f>(1&amp;"/"&amp;MONTH(H461)&amp;"/"&amp;YEAR(H461))*1</f>
        <v>45809</v>
      </c>
      <c r="U461" s="24" t="str">
        <f t="shared" si="44"/>
        <v/>
      </c>
      <c r="V461" s="14" t="s">
        <v>761</v>
      </c>
    </row>
    <row r="462" spans="2:22" s="46" customFormat="1" x14ac:dyDescent="0.25">
      <c r="B462" s="37" t="s">
        <v>25</v>
      </c>
      <c r="C462" s="38"/>
      <c r="D462" s="86" t="str">
        <f>INDEX(Cad_Natureza!$B$3:$C$52,MATCH('2025'!F462,Cad_Natureza!$C$3:$C$52,0),MATCH('2025'!D$2,Cad_Natureza!$B$3:$C$3,0))</f>
        <v>GAST1</v>
      </c>
      <c r="E462" s="84" t="s">
        <v>488</v>
      </c>
      <c r="F462" s="85" t="s">
        <v>742</v>
      </c>
      <c r="G462" s="86" t="s">
        <v>25</v>
      </c>
      <c r="H462" s="87">
        <v>45824</v>
      </c>
      <c r="I462" s="87"/>
      <c r="J462" s="79" t="s">
        <v>185</v>
      </c>
      <c r="K462" s="62">
        <v>-15</v>
      </c>
      <c r="L462" s="68">
        <f t="shared" si="43"/>
        <v>1719.29</v>
      </c>
      <c r="M462" s="38"/>
      <c r="N462" s="44" t="str">
        <f t="shared" ref="N462:N525" si="45">B462&amp;D462&amp;F462</f>
        <v>MCSGAST1CPF - Desp. Lazer e Entretenimento - Bares</v>
      </c>
      <c r="O462" s="44" t="str">
        <f t="shared" ref="O462:O525" si="46">D462&amp;F462</f>
        <v>GAST1CPF - Desp. Lazer e Entretenimento - Bares</v>
      </c>
      <c r="P462" s="44" t="str">
        <f t="shared" ref="P462:P525" si="47">"MCS"&amp;D462&amp;F462</f>
        <v>MCSGAST1CPF - Desp. Lazer e Entretenimento - Bares</v>
      </c>
      <c r="Q462" s="44" t="str">
        <f t="shared" ref="Q462:Q525" si="48">"MCS"&amp;D462</f>
        <v>MCSGAST1</v>
      </c>
      <c r="R462" s="44" t="str">
        <f t="shared" ref="R462:R525" si="49">B462&amp;D462</f>
        <v>MCSGAST1</v>
      </c>
      <c r="S462" s="38"/>
      <c r="T462" s="45">
        <f t="shared" ref="T462:T525" si="50">(1&amp;"/"&amp;MONTH(H462)&amp;"/"&amp;YEAR(H462))*1</f>
        <v>45809</v>
      </c>
      <c r="U462" s="24" t="str">
        <f t="shared" si="44"/>
        <v/>
      </c>
      <c r="V462" s="14" t="s">
        <v>761</v>
      </c>
    </row>
    <row r="463" spans="2:22" s="46" customFormat="1" x14ac:dyDescent="0.25">
      <c r="B463" s="37" t="s">
        <v>25</v>
      </c>
      <c r="C463" s="38"/>
      <c r="D463" s="86" t="str">
        <f>INDEX(Cad_Natureza!$B$3:$C$52,MATCH('2025'!F463,Cad_Natureza!$C$3:$C$52,0),MATCH('2025'!D$2,Cad_Natureza!$B$3:$C$3,0))</f>
        <v>GAST1</v>
      </c>
      <c r="E463" s="84" t="s">
        <v>488</v>
      </c>
      <c r="F463" s="85" t="s">
        <v>742</v>
      </c>
      <c r="G463" s="86" t="s">
        <v>25</v>
      </c>
      <c r="H463" s="87">
        <v>45824</v>
      </c>
      <c r="I463" s="87"/>
      <c r="J463" s="79" t="s">
        <v>185</v>
      </c>
      <c r="K463" s="62">
        <v>-5.5</v>
      </c>
      <c r="L463" s="68">
        <f t="shared" si="43"/>
        <v>1713.79</v>
      </c>
      <c r="M463" s="38"/>
      <c r="N463" s="44" t="str">
        <f t="shared" si="45"/>
        <v>MCSGAST1CPF - Desp. Lazer e Entretenimento - Bares</v>
      </c>
      <c r="O463" s="44" t="str">
        <f t="shared" si="46"/>
        <v>GAST1CPF - Desp. Lazer e Entretenimento - Bares</v>
      </c>
      <c r="P463" s="44" t="str">
        <f t="shared" si="47"/>
        <v>MCSGAST1CPF - Desp. Lazer e Entretenimento - Bares</v>
      </c>
      <c r="Q463" s="44" t="str">
        <f t="shared" si="48"/>
        <v>MCSGAST1</v>
      </c>
      <c r="R463" s="44" t="str">
        <f t="shared" si="49"/>
        <v>MCSGAST1</v>
      </c>
      <c r="S463" s="38"/>
      <c r="T463" s="45">
        <f t="shared" si="50"/>
        <v>45809</v>
      </c>
      <c r="U463" s="24" t="str">
        <f t="shared" si="44"/>
        <v/>
      </c>
      <c r="V463" s="14" t="s">
        <v>761</v>
      </c>
    </row>
    <row r="464" spans="2:22" s="46" customFormat="1" x14ac:dyDescent="0.25">
      <c r="B464" s="37" t="s">
        <v>25</v>
      </c>
      <c r="C464" s="38"/>
      <c r="D464" s="86" t="str">
        <f>INDEX(Cad_Natureza!$B$3:$C$52,MATCH('2025'!F464,Cad_Natureza!$C$3:$C$52,0),MATCH('2025'!D$2,Cad_Natureza!$B$3:$C$3,0))</f>
        <v>GAST1</v>
      </c>
      <c r="E464" s="84" t="s">
        <v>488</v>
      </c>
      <c r="F464" s="85" t="s">
        <v>742</v>
      </c>
      <c r="G464" s="86" t="s">
        <v>25</v>
      </c>
      <c r="H464" s="87">
        <v>45824</v>
      </c>
      <c r="I464" s="87"/>
      <c r="J464" s="79" t="s">
        <v>185</v>
      </c>
      <c r="K464" s="62">
        <v>-9</v>
      </c>
      <c r="L464" s="68">
        <f t="shared" si="43"/>
        <v>1704.79</v>
      </c>
      <c r="M464" s="38"/>
      <c r="N464" s="44" t="str">
        <f t="shared" si="45"/>
        <v>MCSGAST1CPF - Desp. Lazer e Entretenimento - Bares</v>
      </c>
      <c r="O464" s="44" t="str">
        <f t="shared" si="46"/>
        <v>GAST1CPF - Desp. Lazer e Entretenimento - Bares</v>
      </c>
      <c r="P464" s="44" t="str">
        <f t="shared" si="47"/>
        <v>MCSGAST1CPF - Desp. Lazer e Entretenimento - Bares</v>
      </c>
      <c r="Q464" s="44" t="str">
        <f t="shared" si="48"/>
        <v>MCSGAST1</v>
      </c>
      <c r="R464" s="44" t="str">
        <f t="shared" si="49"/>
        <v>MCSGAST1</v>
      </c>
      <c r="S464" s="38"/>
      <c r="T464" s="45">
        <f t="shared" si="50"/>
        <v>45809</v>
      </c>
      <c r="U464" s="24" t="str">
        <f t="shared" si="44"/>
        <v/>
      </c>
      <c r="V464" s="14" t="s">
        <v>761</v>
      </c>
    </row>
    <row r="465" spans="2:22" s="46" customFormat="1" x14ac:dyDescent="0.25">
      <c r="B465" s="37" t="s">
        <v>25</v>
      </c>
      <c r="C465" s="38"/>
      <c r="D465" s="86" t="str">
        <f>INDEX(Cad_Natureza!$B$3:$C$52,MATCH('2025'!F465,Cad_Natureza!$C$3:$C$52,0),MATCH('2025'!D$2,Cad_Natureza!$B$3:$C$3,0))</f>
        <v>GAST1</v>
      </c>
      <c r="E465" s="84" t="s">
        <v>488</v>
      </c>
      <c r="F465" s="85" t="s">
        <v>742</v>
      </c>
      <c r="G465" s="86" t="s">
        <v>25</v>
      </c>
      <c r="H465" s="87">
        <v>45824</v>
      </c>
      <c r="I465" s="87"/>
      <c r="J465" s="79" t="s">
        <v>185</v>
      </c>
      <c r="K465" s="62">
        <v>-5.5</v>
      </c>
      <c r="L465" s="68">
        <f t="shared" si="43"/>
        <v>1699.29</v>
      </c>
      <c r="M465" s="38"/>
      <c r="N465" s="44" t="str">
        <f t="shared" si="45"/>
        <v>MCSGAST1CPF - Desp. Lazer e Entretenimento - Bares</v>
      </c>
      <c r="O465" s="44" t="str">
        <f t="shared" si="46"/>
        <v>GAST1CPF - Desp. Lazer e Entretenimento - Bares</v>
      </c>
      <c r="P465" s="44" t="str">
        <f t="shared" si="47"/>
        <v>MCSGAST1CPF - Desp. Lazer e Entretenimento - Bares</v>
      </c>
      <c r="Q465" s="44" t="str">
        <f t="shared" si="48"/>
        <v>MCSGAST1</v>
      </c>
      <c r="R465" s="44" t="str">
        <f t="shared" si="49"/>
        <v>MCSGAST1</v>
      </c>
      <c r="S465" s="38"/>
      <c r="T465" s="45">
        <f t="shared" si="50"/>
        <v>45809</v>
      </c>
      <c r="U465" s="24" t="str">
        <f t="shared" si="44"/>
        <v/>
      </c>
      <c r="V465" s="14" t="s">
        <v>761</v>
      </c>
    </row>
    <row r="466" spans="2:22" s="46" customFormat="1" x14ac:dyDescent="0.25">
      <c r="B466" s="37" t="s">
        <v>25</v>
      </c>
      <c r="C466" s="38"/>
      <c r="D466" s="86" t="str">
        <f>INDEX(Cad_Natureza!$B$3:$C$52,MATCH('2025'!F466,Cad_Natureza!$C$3:$C$52,0),MATCH('2025'!D$2,Cad_Natureza!$B$3:$C$3,0))</f>
        <v>GAST1</v>
      </c>
      <c r="E466" s="84" t="s">
        <v>486</v>
      </c>
      <c r="F466" s="85" t="s">
        <v>742</v>
      </c>
      <c r="G466" s="86" t="s">
        <v>25</v>
      </c>
      <c r="H466" s="87">
        <v>45824</v>
      </c>
      <c r="I466" s="87"/>
      <c r="J466" s="79" t="s">
        <v>185</v>
      </c>
      <c r="K466" s="62">
        <v>-5</v>
      </c>
      <c r="L466" s="68">
        <f t="shared" si="43"/>
        <v>1694.29</v>
      </c>
      <c r="M466" s="38"/>
      <c r="N466" s="44" t="str">
        <f t="shared" si="45"/>
        <v>MCSGAST1CPF - Desp. Lazer e Entretenimento - Bares</v>
      </c>
      <c r="O466" s="44" t="str">
        <f t="shared" si="46"/>
        <v>GAST1CPF - Desp. Lazer e Entretenimento - Bares</v>
      </c>
      <c r="P466" s="44" t="str">
        <f t="shared" si="47"/>
        <v>MCSGAST1CPF - Desp. Lazer e Entretenimento - Bares</v>
      </c>
      <c r="Q466" s="44" t="str">
        <f t="shared" si="48"/>
        <v>MCSGAST1</v>
      </c>
      <c r="R466" s="44" t="str">
        <f t="shared" si="49"/>
        <v>MCSGAST1</v>
      </c>
      <c r="S466" s="38"/>
      <c r="T466" s="45">
        <f t="shared" si="50"/>
        <v>45809</v>
      </c>
      <c r="U466" s="24" t="str">
        <f t="shared" si="44"/>
        <v/>
      </c>
      <c r="V466" s="14" t="s">
        <v>761</v>
      </c>
    </row>
    <row r="467" spans="2:22" s="46" customFormat="1" x14ac:dyDescent="0.25">
      <c r="B467" s="37" t="s">
        <v>25</v>
      </c>
      <c r="C467" s="38"/>
      <c r="D467" s="86" t="str">
        <f>INDEX(Cad_Natureza!$B$3:$C$52,MATCH('2025'!F467,Cad_Natureza!$C$3:$C$52,0),MATCH('2025'!D$2,Cad_Natureza!$B$3:$C$3,0))</f>
        <v>GAST1</v>
      </c>
      <c r="E467" s="84" t="s">
        <v>489</v>
      </c>
      <c r="F467" s="85" t="s">
        <v>742</v>
      </c>
      <c r="G467" s="86" t="s">
        <v>25</v>
      </c>
      <c r="H467" s="87">
        <v>45824</v>
      </c>
      <c r="I467" s="87"/>
      <c r="J467" s="79" t="s">
        <v>185</v>
      </c>
      <c r="K467" s="62">
        <v>-6</v>
      </c>
      <c r="L467" s="68">
        <f t="shared" si="43"/>
        <v>1688.29</v>
      </c>
      <c r="M467" s="38"/>
      <c r="N467" s="44" t="str">
        <f t="shared" si="45"/>
        <v>MCSGAST1CPF - Desp. Lazer e Entretenimento - Bares</v>
      </c>
      <c r="O467" s="44" t="str">
        <f t="shared" si="46"/>
        <v>GAST1CPF - Desp. Lazer e Entretenimento - Bares</v>
      </c>
      <c r="P467" s="44" t="str">
        <f t="shared" si="47"/>
        <v>MCSGAST1CPF - Desp. Lazer e Entretenimento - Bares</v>
      </c>
      <c r="Q467" s="44" t="str">
        <f t="shared" si="48"/>
        <v>MCSGAST1</v>
      </c>
      <c r="R467" s="44" t="str">
        <f t="shared" si="49"/>
        <v>MCSGAST1</v>
      </c>
      <c r="S467" s="38"/>
      <c r="T467" s="45">
        <f t="shared" si="50"/>
        <v>45809</v>
      </c>
      <c r="U467" s="24" t="str">
        <f t="shared" si="44"/>
        <v/>
      </c>
      <c r="V467" s="14" t="s">
        <v>761</v>
      </c>
    </row>
    <row r="468" spans="2:22" s="46" customFormat="1" x14ac:dyDescent="0.25">
      <c r="B468" s="37" t="s">
        <v>25</v>
      </c>
      <c r="C468" s="38"/>
      <c r="D468" s="86" t="str">
        <f>INDEX(Cad_Natureza!$B$3:$C$52,MATCH('2025'!F468,Cad_Natureza!$C$3:$C$52,0),MATCH('2025'!D$2,Cad_Natureza!$B$3:$C$3,0))</f>
        <v>DESP1</v>
      </c>
      <c r="E468" s="84" t="s">
        <v>490</v>
      </c>
      <c r="F468" s="85" t="s">
        <v>733</v>
      </c>
      <c r="G468" s="86" t="s">
        <v>25</v>
      </c>
      <c r="H468" s="87">
        <v>45824</v>
      </c>
      <c r="I468" s="87"/>
      <c r="J468" s="79" t="s">
        <v>194</v>
      </c>
      <c r="K468" s="62">
        <v>-214.21</v>
      </c>
      <c r="L468" s="68">
        <f t="shared" si="43"/>
        <v>1474.08</v>
      </c>
      <c r="M468" s="38"/>
      <c r="N468" s="44" t="str">
        <f t="shared" si="45"/>
        <v>MCSDESP1CPF - Desp. Cartão de crédito</v>
      </c>
      <c r="O468" s="44" t="str">
        <f t="shared" si="46"/>
        <v>DESP1CPF - Desp. Cartão de crédito</v>
      </c>
      <c r="P468" s="44" t="str">
        <f t="shared" si="47"/>
        <v>MCSDESP1CPF - Desp. Cartão de crédito</v>
      </c>
      <c r="Q468" s="44" t="str">
        <f t="shared" si="48"/>
        <v>MCSDESP1</v>
      </c>
      <c r="R468" s="44" t="str">
        <f t="shared" si="49"/>
        <v>MCSDESP1</v>
      </c>
      <c r="S468" s="38"/>
      <c r="T468" s="45">
        <f t="shared" si="50"/>
        <v>45809</v>
      </c>
      <c r="U468" s="24" t="str">
        <f t="shared" si="44"/>
        <v/>
      </c>
      <c r="V468" s="14" t="s">
        <v>761</v>
      </c>
    </row>
    <row r="469" spans="2:22" s="46" customFormat="1" x14ac:dyDescent="0.25">
      <c r="B469" s="37" t="s">
        <v>25</v>
      </c>
      <c r="C469" s="38"/>
      <c r="D469" s="86" t="str">
        <f>INDEX(Cad_Natureza!$B$3:$C$52,MATCH('2025'!F469,Cad_Natureza!$C$3:$C$52,0),MATCH('2025'!D$2,Cad_Natureza!$B$3:$C$3,0))</f>
        <v>OPF1</v>
      </c>
      <c r="E469" s="84" t="s">
        <v>491</v>
      </c>
      <c r="F469" s="85" t="s">
        <v>744</v>
      </c>
      <c r="G469" s="86" t="s">
        <v>25</v>
      </c>
      <c r="H469" s="87">
        <v>45824</v>
      </c>
      <c r="I469" s="87"/>
      <c r="J469" s="79" t="s">
        <v>564</v>
      </c>
      <c r="K469" s="62">
        <v>-69</v>
      </c>
      <c r="L469" s="68">
        <f t="shared" si="43"/>
        <v>1405.08</v>
      </c>
      <c r="M469" s="38"/>
      <c r="N469" s="44" t="str">
        <f t="shared" si="45"/>
        <v>MCSOPF1CPF - Desp. Alimentação / Refeição</v>
      </c>
      <c r="O469" s="44" t="str">
        <f t="shared" si="46"/>
        <v>OPF1CPF - Desp. Alimentação / Refeição</v>
      </c>
      <c r="P469" s="44" t="str">
        <f t="shared" si="47"/>
        <v>MCSOPF1CPF - Desp. Alimentação / Refeição</v>
      </c>
      <c r="Q469" s="44" t="str">
        <f t="shared" si="48"/>
        <v>MCSOPF1</v>
      </c>
      <c r="R469" s="44" t="str">
        <f t="shared" si="49"/>
        <v>MCSOPF1</v>
      </c>
      <c r="S469" s="38"/>
      <c r="T469" s="45">
        <f t="shared" si="50"/>
        <v>45809</v>
      </c>
      <c r="U469" s="24" t="str">
        <f t="shared" si="44"/>
        <v/>
      </c>
      <c r="V469" s="14" t="s">
        <v>761</v>
      </c>
    </row>
    <row r="470" spans="2:22" s="46" customFormat="1" x14ac:dyDescent="0.25">
      <c r="B470" s="37" t="s">
        <v>25</v>
      </c>
      <c r="C470" s="38"/>
      <c r="D470" s="86" t="str">
        <f>INDEX(Cad_Natureza!$B$3:$C$52,MATCH('2025'!F470,Cad_Natureza!$C$3:$C$52,0),MATCH('2025'!D$2,Cad_Natureza!$B$3:$C$3,0))</f>
        <v>GAST1</v>
      </c>
      <c r="E470" s="84" t="s">
        <v>492</v>
      </c>
      <c r="F470" s="85" t="s">
        <v>742</v>
      </c>
      <c r="G470" s="86" t="s">
        <v>25</v>
      </c>
      <c r="H470" s="87">
        <v>45824</v>
      </c>
      <c r="I470" s="87"/>
      <c r="J470" s="79" t="s">
        <v>185</v>
      </c>
      <c r="K470" s="62">
        <v>-29.5</v>
      </c>
      <c r="L470" s="68">
        <f t="shared" si="43"/>
        <v>1375.58</v>
      </c>
      <c r="M470" s="38"/>
      <c r="N470" s="44" t="str">
        <f t="shared" si="45"/>
        <v>MCSGAST1CPF - Desp. Lazer e Entretenimento - Bares</v>
      </c>
      <c r="O470" s="44" t="str">
        <f t="shared" si="46"/>
        <v>GAST1CPF - Desp. Lazer e Entretenimento - Bares</v>
      </c>
      <c r="P470" s="44" t="str">
        <f t="shared" si="47"/>
        <v>MCSGAST1CPF - Desp. Lazer e Entretenimento - Bares</v>
      </c>
      <c r="Q470" s="44" t="str">
        <f t="shared" si="48"/>
        <v>MCSGAST1</v>
      </c>
      <c r="R470" s="44" t="str">
        <f t="shared" si="49"/>
        <v>MCSGAST1</v>
      </c>
      <c r="S470" s="38"/>
      <c r="T470" s="45">
        <f t="shared" si="50"/>
        <v>45809</v>
      </c>
      <c r="U470" s="24" t="str">
        <f t="shared" si="44"/>
        <v/>
      </c>
      <c r="V470" s="14" t="s">
        <v>761</v>
      </c>
    </row>
    <row r="471" spans="2:22" s="46" customFormat="1" x14ac:dyDescent="0.25">
      <c r="B471" s="37" t="s">
        <v>25</v>
      </c>
      <c r="C471" s="38"/>
      <c r="D471" s="86" t="str">
        <f>INDEX(Cad_Natureza!$B$3:$C$52,MATCH('2025'!F471,Cad_Natureza!$C$3:$C$52,0),MATCH('2025'!D$2,Cad_Natureza!$B$3:$C$3,0))</f>
        <v>DESP2</v>
      </c>
      <c r="E471" s="84" t="s">
        <v>222</v>
      </c>
      <c r="F471" s="85" t="s">
        <v>739</v>
      </c>
      <c r="G471" s="86" t="s">
        <v>25</v>
      </c>
      <c r="H471" s="87">
        <v>45824</v>
      </c>
      <c r="I471" s="87"/>
      <c r="J471" s="79" t="s">
        <v>355</v>
      </c>
      <c r="K471" s="62">
        <v>-95.9</v>
      </c>
      <c r="L471" s="68">
        <f t="shared" si="43"/>
        <v>1279.6799999999998</v>
      </c>
      <c r="M471" s="38"/>
      <c r="N471" s="44" t="str">
        <f t="shared" si="45"/>
        <v>MCSDESP2CPF - Desp. Telefone / Internet</v>
      </c>
      <c r="O471" s="44" t="str">
        <f t="shared" si="46"/>
        <v>DESP2CPF - Desp. Telefone / Internet</v>
      </c>
      <c r="P471" s="44" t="str">
        <f t="shared" si="47"/>
        <v>MCSDESP2CPF - Desp. Telefone / Internet</v>
      </c>
      <c r="Q471" s="44" t="str">
        <f t="shared" si="48"/>
        <v>MCSDESP2</v>
      </c>
      <c r="R471" s="44" t="str">
        <f t="shared" si="49"/>
        <v>MCSDESP2</v>
      </c>
      <c r="S471" s="38"/>
      <c r="T471" s="45">
        <f t="shared" si="50"/>
        <v>45809</v>
      </c>
      <c r="U471" s="24" t="str">
        <f t="shared" si="44"/>
        <v/>
      </c>
      <c r="V471" s="14" t="s">
        <v>761</v>
      </c>
    </row>
    <row r="472" spans="2:22" s="46" customFormat="1" x14ac:dyDescent="0.25">
      <c r="B472" s="37" t="s">
        <v>25</v>
      </c>
      <c r="C472" s="38"/>
      <c r="D472" s="63" t="str">
        <f>INDEX(Cad_Natureza!$B$3:$C$52,MATCH('2025'!F472,Cad_Natureza!$C$3:$C$52,0),MATCH('2025'!D$2,Cad_Natureza!$B$3:$C$3,0))</f>
        <v>REC5</v>
      </c>
      <c r="E472" s="64" t="s">
        <v>493</v>
      </c>
      <c r="F472" s="65" t="s">
        <v>740</v>
      </c>
      <c r="G472" s="63" t="s">
        <v>25</v>
      </c>
      <c r="H472" s="66">
        <v>45825</v>
      </c>
      <c r="I472" s="66"/>
      <c r="J472" s="67" t="s">
        <v>609</v>
      </c>
      <c r="K472" s="68">
        <v>55.86</v>
      </c>
      <c r="L472" s="68">
        <f t="shared" si="43"/>
        <v>1335.5399999999997</v>
      </c>
      <c r="M472" s="38"/>
      <c r="N472" s="44" t="str">
        <f t="shared" si="45"/>
        <v>MCSREC5CPF - Outras receitas</v>
      </c>
      <c r="O472" s="44" t="str">
        <f t="shared" si="46"/>
        <v>REC5CPF - Outras receitas</v>
      </c>
      <c r="P472" s="44" t="str">
        <f t="shared" si="47"/>
        <v>MCSREC5CPF - Outras receitas</v>
      </c>
      <c r="Q472" s="44" t="str">
        <f t="shared" si="48"/>
        <v>MCSREC5</v>
      </c>
      <c r="R472" s="44" t="str">
        <f t="shared" si="49"/>
        <v>MCSREC5</v>
      </c>
      <c r="S472" s="38"/>
      <c r="T472" s="45">
        <f t="shared" si="50"/>
        <v>45809</v>
      </c>
      <c r="U472" s="24" t="str">
        <f t="shared" si="44"/>
        <v/>
      </c>
      <c r="V472" s="14" t="s">
        <v>761</v>
      </c>
    </row>
    <row r="473" spans="2:22" s="46" customFormat="1" x14ac:dyDescent="0.25">
      <c r="B473" s="37" t="s">
        <v>25</v>
      </c>
      <c r="C473" s="38"/>
      <c r="D473" s="86" t="str">
        <f>INDEX(Cad_Natureza!$B$3:$C$52,MATCH('2025'!F473,Cad_Natureza!$C$3:$C$52,0),MATCH('2025'!D$2,Cad_Natureza!$B$3:$C$3,0))</f>
        <v>OPF2</v>
      </c>
      <c r="E473" s="84" t="s">
        <v>494</v>
      </c>
      <c r="F473" s="85" t="s">
        <v>741</v>
      </c>
      <c r="G473" s="86" t="s">
        <v>25</v>
      </c>
      <c r="H473" s="87">
        <v>45826</v>
      </c>
      <c r="I473" s="87"/>
      <c r="J473" s="79" t="s">
        <v>184</v>
      </c>
      <c r="K473" s="62">
        <v>-50</v>
      </c>
      <c r="L473" s="68">
        <f t="shared" si="43"/>
        <v>1285.5399999999997</v>
      </c>
      <c r="M473" s="38"/>
      <c r="N473" s="44" t="str">
        <f t="shared" si="45"/>
        <v>MCSOPF2CPF - Desp. Transporte / Combustível</v>
      </c>
      <c r="O473" s="44" t="str">
        <f t="shared" si="46"/>
        <v>OPF2CPF - Desp. Transporte / Combustível</v>
      </c>
      <c r="P473" s="44" t="str">
        <f t="shared" si="47"/>
        <v>MCSOPF2CPF - Desp. Transporte / Combustível</v>
      </c>
      <c r="Q473" s="44" t="str">
        <f t="shared" si="48"/>
        <v>MCSOPF2</v>
      </c>
      <c r="R473" s="44" t="str">
        <f t="shared" si="49"/>
        <v>MCSOPF2</v>
      </c>
      <c r="S473" s="38"/>
      <c r="T473" s="45">
        <f t="shared" si="50"/>
        <v>45809</v>
      </c>
      <c r="U473" s="24" t="str">
        <f t="shared" si="44"/>
        <v/>
      </c>
      <c r="V473" s="14" t="s">
        <v>761</v>
      </c>
    </row>
    <row r="474" spans="2:22" s="46" customFormat="1" x14ac:dyDescent="0.25">
      <c r="B474" s="37" t="s">
        <v>25</v>
      </c>
      <c r="C474" s="38"/>
      <c r="D474" s="86" t="str">
        <f>INDEX(Cad_Natureza!$B$3:$C$52,MATCH('2025'!F474,Cad_Natureza!$C$3:$C$52,0),MATCH('2025'!D$2,Cad_Natureza!$B$3:$C$3,0))</f>
        <v>GAST1</v>
      </c>
      <c r="E474" s="84" t="s">
        <v>495</v>
      </c>
      <c r="F474" s="85" t="s">
        <v>742</v>
      </c>
      <c r="G474" s="86" t="s">
        <v>25</v>
      </c>
      <c r="H474" s="87">
        <v>45828</v>
      </c>
      <c r="I474" s="87"/>
      <c r="J474" s="79" t="s">
        <v>185</v>
      </c>
      <c r="K474" s="62">
        <v>-18</v>
      </c>
      <c r="L474" s="68">
        <f t="shared" si="43"/>
        <v>1267.5399999999997</v>
      </c>
      <c r="M474" s="38"/>
      <c r="N474" s="44" t="str">
        <f t="shared" si="45"/>
        <v>MCSGAST1CPF - Desp. Lazer e Entretenimento - Bares</v>
      </c>
      <c r="O474" s="44" t="str">
        <f t="shared" si="46"/>
        <v>GAST1CPF - Desp. Lazer e Entretenimento - Bares</v>
      </c>
      <c r="P474" s="44" t="str">
        <f t="shared" si="47"/>
        <v>MCSGAST1CPF - Desp. Lazer e Entretenimento - Bares</v>
      </c>
      <c r="Q474" s="44" t="str">
        <f t="shared" si="48"/>
        <v>MCSGAST1</v>
      </c>
      <c r="R474" s="44" t="str">
        <f t="shared" si="49"/>
        <v>MCSGAST1</v>
      </c>
      <c r="S474" s="38"/>
      <c r="T474" s="45">
        <f t="shared" si="50"/>
        <v>45809</v>
      </c>
      <c r="U474" s="24" t="str">
        <f t="shared" si="44"/>
        <v/>
      </c>
      <c r="V474" s="14" t="s">
        <v>761</v>
      </c>
    </row>
    <row r="475" spans="2:22" s="46" customFormat="1" x14ac:dyDescent="0.25">
      <c r="B475" s="37" t="s">
        <v>25</v>
      </c>
      <c r="C475" s="38"/>
      <c r="D475" s="86" t="str">
        <f>INDEX(Cad_Natureza!$B$3:$C$52,MATCH('2025'!F475,Cad_Natureza!$C$3:$C$52,0),MATCH('2025'!D$2,Cad_Natureza!$B$3:$C$3,0))</f>
        <v>GAST1</v>
      </c>
      <c r="E475" s="84" t="s">
        <v>496</v>
      </c>
      <c r="F475" s="85" t="s">
        <v>742</v>
      </c>
      <c r="G475" s="86" t="s">
        <v>25</v>
      </c>
      <c r="H475" s="87">
        <v>45828</v>
      </c>
      <c r="I475" s="87"/>
      <c r="J475" s="79" t="s">
        <v>563</v>
      </c>
      <c r="K475" s="62">
        <v>-20</v>
      </c>
      <c r="L475" s="68">
        <f t="shared" si="43"/>
        <v>1247.5399999999997</v>
      </c>
      <c r="M475" s="38"/>
      <c r="N475" s="44" t="str">
        <f t="shared" si="45"/>
        <v>MCSGAST1CPF - Desp. Lazer e Entretenimento - Bares</v>
      </c>
      <c r="O475" s="44" t="str">
        <f t="shared" si="46"/>
        <v>GAST1CPF - Desp. Lazer e Entretenimento - Bares</v>
      </c>
      <c r="P475" s="44" t="str">
        <f t="shared" si="47"/>
        <v>MCSGAST1CPF - Desp. Lazer e Entretenimento - Bares</v>
      </c>
      <c r="Q475" s="44" t="str">
        <f t="shared" si="48"/>
        <v>MCSGAST1</v>
      </c>
      <c r="R475" s="44" t="str">
        <f t="shared" si="49"/>
        <v>MCSGAST1</v>
      </c>
      <c r="S475" s="38"/>
      <c r="T475" s="45">
        <f t="shared" si="50"/>
        <v>45809</v>
      </c>
      <c r="U475" s="24" t="str">
        <f t="shared" si="44"/>
        <v/>
      </c>
      <c r="V475" s="14" t="s">
        <v>761</v>
      </c>
    </row>
    <row r="476" spans="2:22" s="46" customFormat="1" x14ac:dyDescent="0.25">
      <c r="B476" s="37" t="s">
        <v>25</v>
      </c>
      <c r="C476" s="38"/>
      <c r="D476" s="86" t="str">
        <f>INDEX(Cad_Natureza!$B$3:$C$52,MATCH('2025'!F476,Cad_Natureza!$C$3:$C$52,0),MATCH('2025'!D$2,Cad_Natureza!$B$3:$C$3,0))</f>
        <v>GAST1</v>
      </c>
      <c r="E476" s="84" t="s">
        <v>497</v>
      </c>
      <c r="F476" s="85" t="s">
        <v>742</v>
      </c>
      <c r="G476" s="86" t="s">
        <v>25</v>
      </c>
      <c r="H476" s="87">
        <v>45828</v>
      </c>
      <c r="I476" s="87"/>
      <c r="J476" s="79" t="s">
        <v>185</v>
      </c>
      <c r="K476" s="62">
        <v>-30</v>
      </c>
      <c r="L476" s="68">
        <f t="shared" si="43"/>
        <v>1217.5399999999997</v>
      </c>
      <c r="M476" s="38"/>
      <c r="N476" s="44" t="str">
        <f t="shared" si="45"/>
        <v>MCSGAST1CPF - Desp. Lazer e Entretenimento - Bares</v>
      </c>
      <c r="O476" s="44" t="str">
        <f t="shared" si="46"/>
        <v>GAST1CPF - Desp. Lazer e Entretenimento - Bares</v>
      </c>
      <c r="P476" s="44" t="str">
        <f t="shared" si="47"/>
        <v>MCSGAST1CPF - Desp. Lazer e Entretenimento - Bares</v>
      </c>
      <c r="Q476" s="44" t="str">
        <f t="shared" si="48"/>
        <v>MCSGAST1</v>
      </c>
      <c r="R476" s="44" t="str">
        <f t="shared" si="49"/>
        <v>MCSGAST1</v>
      </c>
      <c r="S476" s="38"/>
      <c r="T476" s="45">
        <f t="shared" si="50"/>
        <v>45809</v>
      </c>
      <c r="U476" s="24" t="str">
        <f t="shared" si="44"/>
        <v/>
      </c>
      <c r="V476" s="14" t="s">
        <v>761</v>
      </c>
    </row>
    <row r="477" spans="2:22" s="46" customFormat="1" x14ac:dyDescent="0.25">
      <c r="B477" s="37" t="s">
        <v>25</v>
      </c>
      <c r="C477" s="38"/>
      <c r="D477" s="86" t="str">
        <f>INDEX(Cad_Natureza!$B$3:$C$52,MATCH('2025'!F477,Cad_Natureza!$C$3:$C$52,0),MATCH('2025'!D$2,Cad_Natureza!$B$3:$C$3,0))</f>
        <v>GAST1</v>
      </c>
      <c r="E477" s="84" t="s">
        <v>498</v>
      </c>
      <c r="F477" s="85" t="s">
        <v>742</v>
      </c>
      <c r="G477" s="86" t="s">
        <v>25</v>
      </c>
      <c r="H477" s="87">
        <v>45828</v>
      </c>
      <c r="I477" s="87"/>
      <c r="J477" s="79" t="s">
        <v>185</v>
      </c>
      <c r="K477" s="62">
        <v>-102.5</v>
      </c>
      <c r="L477" s="68">
        <f t="shared" si="43"/>
        <v>1115.0399999999997</v>
      </c>
      <c r="M477" s="38"/>
      <c r="N477" s="44" t="str">
        <f t="shared" si="45"/>
        <v>MCSGAST1CPF - Desp. Lazer e Entretenimento - Bares</v>
      </c>
      <c r="O477" s="44" t="str">
        <f t="shared" si="46"/>
        <v>GAST1CPF - Desp. Lazer e Entretenimento - Bares</v>
      </c>
      <c r="P477" s="44" t="str">
        <f t="shared" si="47"/>
        <v>MCSGAST1CPF - Desp. Lazer e Entretenimento - Bares</v>
      </c>
      <c r="Q477" s="44" t="str">
        <f t="shared" si="48"/>
        <v>MCSGAST1</v>
      </c>
      <c r="R477" s="44" t="str">
        <f t="shared" si="49"/>
        <v>MCSGAST1</v>
      </c>
      <c r="S477" s="38"/>
      <c r="T477" s="45">
        <f t="shared" si="50"/>
        <v>45809</v>
      </c>
      <c r="U477" s="24" t="str">
        <f t="shared" si="44"/>
        <v/>
      </c>
      <c r="V477" s="14" t="s">
        <v>761</v>
      </c>
    </row>
    <row r="478" spans="2:22" s="46" customFormat="1" x14ac:dyDescent="0.25">
      <c r="B478" s="37" t="s">
        <v>25</v>
      </c>
      <c r="C478" s="38"/>
      <c r="D478" s="86" t="str">
        <f>INDEX(Cad_Natureza!$B$3:$C$52,MATCH('2025'!F478,Cad_Natureza!$C$3:$C$52,0),MATCH('2025'!D$2,Cad_Natureza!$B$3:$C$3,0))</f>
        <v>GAST1</v>
      </c>
      <c r="E478" s="84" t="s">
        <v>499</v>
      </c>
      <c r="F478" s="85" t="s">
        <v>742</v>
      </c>
      <c r="G478" s="86" t="s">
        <v>25</v>
      </c>
      <c r="H478" s="87">
        <v>45828</v>
      </c>
      <c r="I478" s="87"/>
      <c r="J478" s="79" t="s">
        <v>185</v>
      </c>
      <c r="K478" s="62">
        <v>-35</v>
      </c>
      <c r="L478" s="68">
        <f t="shared" si="43"/>
        <v>1080.0399999999997</v>
      </c>
      <c r="M478" s="38"/>
      <c r="N478" s="44" t="str">
        <f t="shared" si="45"/>
        <v>MCSGAST1CPF - Desp. Lazer e Entretenimento - Bares</v>
      </c>
      <c r="O478" s="44" t="str">
        <f t="shared" si="46"/>
        <v>GAST1CPF - Desp. Lazer e Entretenimento - Bares</v>
      </c>
      <c r="P478" s="44" t="str">
        <f t="shared" si="47"/>
        <v>MCSGAST1CPF - Desp. Lazer e Entretenimento - Bares</v>
      </c>
      <c r="Q478" s="44" t="str">
        <f t="shared" si="48"/>
        <v>MCSGAST1</v>
      </c>
      <c r="R478" s="44" t="str">
        <f t="shared" si="49"/>
        <v>MCSGAST1</v>
      </c>
      <c r="S478" s="38"/>
      <c r="T478" s="45">
        <f t="shared" si="50"/>
        <v>45809</v>
      </c>
      <c r="U478" s="24" t="str">
        <f t="shared" si="44"/>
        <v/>
      </c>
      <c r="V478" s="14" t="s">
        <v>761</v>
      </c>
    </row>
    <row r="479" spans="2:22" s="46" customFormat="1" x14ac:dyDescent="0.25">
      <c r="B479" s="37" t="s">
        <v>25</v>
      </c>
      <c r="C479" s="38"/>
      <c r="D479" s="86" t="str">
        <f>INDEX(Cad_Natureza!$B$3:$C$52,MATCH('2025'!F479,Cad_Natureza!$C$3:$C$52,0),MATCH('2025'!D$2,Cad_Natureza!$B$3:$C$3,0))</f>
        <v>GAST1</v>
      </c>
      <c r="E479" s="84" t="s">
        <v>500</v>
      </c>
      <c r="F479" s="85" t="s">
        <v>742</v>
      </c>
      <c r="G479" s="86" t="s">
        <v>25</v>
      </c>
      <c r="H479" s="87">
        <v>45828</v>
      </c>
      <c r="I479" s="87"/>
      <c r="J479" s="79" t="s">
        <v>563</v>
      </c>
      <c r="K479" s="62">
        <v>-10</v>
      </c>
      <c r="L479" s="68">
        <f t="shared" si="43"/>
        <v>1070.0399999999997</v>
      </c>
      <c r="M479" s="38"/>
      <c r="N479" s="44" t="str">
        <f t="shared" si="45"/>
        <v>MCSGAST1CPF - Desp. Lazer e Entretenimento - Bares</v>
      </c>
      <c r="O479" s="44" t="str">
        <f t="shared" si="46"/>
        <v>GAST1CPF - Desp. Lazer e Entretenimento - Bares</v>
      </c>
      <c r="P479" s="44" t="str">
        <f t="shared" si="47"/>
        <v>MCSGAST1CPF - Desp. Lazer e Entretenimento - Bares</v>
      </c>
      <c r="Q479" s="44" t="str">
        <f t="shared" si="48"/>
        <v>MCSGAST1</v>
      </c>
      <c r="R479" s="44" t="str">
        <f t="shared" si="49"/>
        <v>MCSGAST1</v>
      </c>
      <c r="S479" s="38"/>
      <c r="T479" s="45">
        <f t="shared" si="50"/>
        <v>45809</v>
      </c>
      <c r="U479" s="24" t="str">
        <f t="shared" si="44"/>
        <v/>
      </c>
      <c r="V479" s="14" t="s">
        <v>761</v>
      </c>
    </row>
    <row r="480" spans="2:22" s="46" customFormat="1" x14ac:dyDescent="0.25">
      <c r="B480" s="37" t="s">
        <v>25</v>
      </c>
      <c r="C480" s="38"/>
      <c r="D480" s="86" t="str">
        <f>INDEX(Cad_Natureza!$B$3:$C$52,MATCH('2025'!F480,Cad_Natureza!$C$3:$C$52,0),MATCH('2025'!D$2,Cad_Natureza!$B$3:$C$3,0))</f>
        <v>GAST1</v>
      </c>
      <c r="E480" s="84" t="s">
        <v>501</v>
      </c>
      <c r="F480" s="85" t="s">
        <v>742</v>
      </c>
      <c r="G480" s="86" t="s">
        <v>25</v>
      </c>
      <c r="H480" s="87">
        <v>45828</v>
      </c>
      <c r="I480" s="87"/>
      <c r="J480" s="79" t="s">
        <v>185</v>
      </c>
      <c r="K480" s="62">
        <v>-17</v>
      </c>
      <c r="L480" s="68">
        <f t="shared" si="43"/>
        <v>1053.0399999999997</v>
      </c>
      <c r="M480" s="38"/>
      <c r="N480" s="44" t="str">
        <f t="shared" si="45"/>
        <v>MCSGAST1CPF - Desp. Lazer e Entretenimento - Bares</v>
      </c>
      <c r="O480" s="44" t="str">
        <f t="shared" si="46"/>
        <v>GAST1CPF - Desp. Lazer e Entretenimento - Bares</v>
      </c>
      <c r="P480" s="44" t="str">
        <f t="shared" si="47"/>
        <v>MCSGAST1CPF - Desp. Lazer e Entretenimento - Bares</v>
      </c>
      <c r="Q480" s="44" t="str">
        <f t="shared" si="48"/>
        <v>MCSGAST1</v>
      </c>
      <c r="R480" s="44" t="str">
        <f t="shared" si="49"/>
        <v>MCSGAST1</v>
      </c>
      <c r="S480" s="38"/>
      <c r="T480" s="45">
        <f t="shared" si="50"/>
        <v>45809</v>
      </c>
      <c r="U480" s="24" t="str">
        <f t="shared" si="44"/>
        <v/>
      </c>
      <c r="V480" s="14" t="s">
        <v>761</v>
      </c>
    </row>
    <row r="481" spans="2:22" s="46" customFormat="1" x14ac:dyDescent="0.25">
      <c r="B481" s="37" t="s">
        <v>25</v>
      </c>
      <c r="C481" s="38"/>
      <c r="D481" s="86" t="str">
        <f>INDEX(Cad_Natureza!$B$3:$C$52,MATCH('2025'!F481,Cad_Natureza!$C$3:$C$52,0),MATCH('2025'!D$2,Cad_Natureza!$B$3:$C$3,0))</f>
        <v>GAST1</v>
      </c>
      <c r="E481" s="84" t="s">
        <v>502</v>
      </c>
      <c r="F481" s="85" t="s">
        <v>742</v>
      </c>
      <c r="G481" s="86" t="s">
        <v>25</v>
      </c>
      <c r="H481" s="87">
        <v>45828</v>
      </c>
      <c r="I481" s="87"/>
      <c r="J481" s="79" t="s">
        <v>185</v>
      </c>
      <c r="K481" s="62">
        <v>-10</v>
      </c>
      <c r="L481" s="68">
        <f t="shared" si="43"/>
        <v>1043.0399999999997</v>
      </c>
      <c r="M481" s="38"/>
      <c r="N481" s="44" t="str">
        <f t="shared" si="45"/>
        <v>MCSGAST1CPF - Desp. Lazer e Entretenimento - Bares</v>
      </c>
      <c r="O481" s="44" t="str">
        <f t="shared" si="46"/>
        <v>GAST1CPF - Desp. Lazer e Entretenimento - Bares</v>
      </c>
      <c r="P481" s="44" t="str">
        <f t="shared" si="47"/>
        <v>MCSGAST1CPF - Desp. Lazer e Entretenimento - Bares</v>
      </c>
      <c r="Q481" s="44" t="str">
        <f t="shared" si="48"/>
        <v>MCSGAST1</v>
      </c>
      <c r="R481" s="44" t="str">
        <f t="shared" si="49"/>
        <v>MCSGAST1</v>
      </c>
      <c r="S481" s="38"/>
      <c r="T481" s="45">
        <f t="shared" si="50"/>
        <v>45809</v>
      </c>
      <c r="U481" s="24" t="str">
        <f t="shared" si="44"/>
        <v/>
      </c>
      <c r="V481" s="14" t="s">
        <v>761</v>
      </c>
    </row>
    <row r="482" spans="2:22" s="46" customFormat="1" x14ac:dyDescent="0.25">
      <c r="B482" s="37" t="s">
        <v>25</v>
      </c>
      <c r="C482" s="38"/>
      <c r="D482" s="86" t="str">
        <f>INDEX(Cad_Natureza!$B$3:$C$52,MATCH('2025'!F482,Cad_Natureza!$C$3:$C$52,0),MATCH('2025'!D$2,Cad_Natureza!$B$3:$C$3,0))</f>
        <v>GAST1</v>
      </c>
      <c r="E482" s="84" t="s">
        <v>503</v>
      </c>
      <c r="F482" s="85" t="s">
        <v>742</v>
      </c>
      <c r="G482" s="86" t="s">
        <v>25</v>
      </c>
      <c r="H482" s="87">
        <v>45831</v>
      </c>
      <c r="I482" s="87"/>
      <c r="J482" s="79" t="s">
        <v>185</v>
      </c>
      <c r="K482" s="62">
        <v>-3.5</v>
      </c>
      <c r="L482" s="68">
        <f t="shared" si="43"/>
        <v>1039.5399999999997</v>
      </c>
      <c r="M482" s="38"/>
      <c r="N482" s="44" t="str">
        <f t="shared" si="45"/>
        <v>MCSGAST1CPF - Desp. Lazer e Entretenimento - Bares</v>
      </c>
      <c r="O482" s="44" t="str">
        <f t="shared" si="46"/>
        <v>GAST1CPF - Desp. Lazer e Entretenimento - Bares</v>
      </c>
      <c r="P482" s="44" t="str">
        <f t="shared" si="47"/>
        <v>MCSGAST1CPF - Desp. Lazer e Entretenimento - Bares</v>
      </c>
      <c r="Q482" s="44" t="str">
        <f t="shared" si="48"/>
        <v>MCSGAST1</v>
      </c>
      <c r="R482" s="44" t="str">
        <f t="shared" si="49"/>
        <v>MCSGAST1</v>
      </c>
      <c r="S482" s="38"/>
      <c r="T482" s="45">
        <f t="shared" si="50"/>
        <v>45809</v>
      </c>
      <c r="U482" s="24" t="str">
        <f t="shared" si="44"/>
        <v/>
      </c>
      <c r="V482" s="14" t="s">
        <v>761</v>
      </c>
    </row>
    <row r="483" spans="2:22" s="46" customFormat="1" x14ac:dyDescent="0.25">
      <c r="B483" s="37" t="s">
        <v>25</v>
      </c>
      <c r="C483" s="38"/>
      <c r="D483" s="86" t="str">
        <f>INDEX(Cad_Natureza!$B$3:$C$52,MATCH('2025'!F483,Cad_Natureza!$C$3:$C$52,0),MATCH('2025'!D$2,Cad_Natureza!$B$3:$C$3,0))</f>
        <v>GAST1</v>
      </c>
      <c r="E483" s="84" t="s">
        <v>504</v>
      </c>
      <c r="F483" s="85" t="s">
        <v>742</v>
      </c>
      <c r="G483" s="86" t="s">
        <v>25</v>
      </c>
      <c r="H483" s="87">
        <v>45831</v>
      </c>
      <c r="I483" s="87"/>
      <c r="J483" s="79" t="s">
        <v>185</v>
      </c>
      <c r="K483" s="62">
        <v>-5.5</v>
      </c>
      <c r="L483" s="68">
        <f t="shared" si="43"/>
        <v>1034.0399999999997</v>
      </c>
      <c r="M483" s="38"/>
      <c r="N483" s="44" t="str">
        <f t="shared" si="45"/>
        <v>MCSGAST1CPF - Desp. Lazer e Entretenimento - Bares</v>
      </c>
      <c r="O483" s="44" t="str">
        <f t="shared" si="46"/>
        <v>GAST1CPF - Desp. Lazer e Entretenimento - Bares</v>
      </c>
      <c r="P483" s="44" t="str">
        <f t="shared" si="47"/>
        <v>MCSGAST1CPF - Desp. Lazer e Entretenimento - Bares</v>
      </c>
      <c r="Q483" s="44" t="str">
        <f t="shared" si="48"/>
        <v>MCSGAST1</v>
      </c>
      <c r="R483" s="44" t="str">
        <f t="shared" si="49"/>
        <v>MCSGAST1</v>
      </c>
      <c r="S483" s="38"/>
      <c r="T483" s="45">
        <f t="shared" si="50"/>
        <v>45809</v>
      </c>
      <c r="U483" s="24" t="str">
        <f t="shared" si="44"/>
        <v/>
      </c>
      <c r="V483" s="14" t="s">
        <v>761</v>
      </c>
    </row>
    <row r="484" spans="2:22" s="46" customFormat="1" x14ac:dyDescent="0.25">
      <c r="B484" s="37" t="s">
        <v>25</v>
      </c>
      <c r="C484" s="38"/>
      <c r="D484" s="86" t="str">
        <f>INDEX(Cad_Natureza!$B$3:$C$52,MATCH('2025'!F484,Cad_Natureza!$C$3:$C$52,0),MATCH('2025'!D$2,Cad_Natureza!$B$3:$C$3,0))</f>
        <v>GAST1</v>
      </c>
      <c r="E484" s="84" t="s">
        <v>505</v>
      </c>
      <c r="F484" s="85" t="s">
        <v>742</v>
      </c>
      <c r="G484" s="86" t="s">
        <v>25</v>
      </c>
      <c r="H484" s="87">
        <v>45831</v>
      </c>
      <c r="I484" s="87"/>
      <c r="J484" s="79" t="s">
        <v>185</v>
      </c>
      <c r="K484" s="62">
        <v>-25</v>
      </c>
      <c r="L484" s="68">
        <f t="shared" si="43"/>
        <v>1009.0399999999997</v>
      </c>
      <c r="M484" s="38"/>
      <c r="N484" s="44" t="str">
        <f t="shared" si="45"/>
        <v>MCSGAST1CPF - Desp. Lazer e Entretenimento - Bares</v>
      </c>
      <c r="O484" s="44" t="str">
        <f t="shared" si="46"/>
        <v>GAST1CPF - Desp. Lazer e Entretenimento - Bares</v>
      </c>
      <c r="P484" s="44" t="str">
        <f t="shared" si="47"/>
        <v>MCSGAST1CPF - Desp. Lazer e Entretenimento - Bares</v>
      </c>
      <c r="Q484" s="44" t="str">
        <f t="shared" si="48"/>
        <v>MCSGAST1</v>
      </c>
      <c r="R484" s="44" t="str">
        <f t="shared" si="49"/>
        <v>MCSGAST1</v>
      </c>
      <c r="S484" s="38"/>
      <c r="T484" s="45">
        <f t="shared" si="50"/>
        <v>45809</v>
      </c>
      <c r="U484" s="24" t="str">
        <f t="shared" si="44"/>
        <v/>
      </c>
      <c r="V484" s="14" t="s">
        <v>761</v>
      </c>
    </row>
    <row r="485" spans="2:22" s="46" customFormat="1" x14ac:dyDescent="0.25">
      <c r="B485" s="37" t="s">
        <v>25</v>
      </c>
      <c r="C485" s="38"/>
      <c r="D485" s="86" t="str">
        <f>INDEX(Cad_Natureza!$B$3:$C$52,MATCH('2025'!F485,Cad_Natureza!$C$3:$C$52,0),MATCH('2025'!D$2,Cad_Natureza!$B$3:$C$3,0))</f>
        <v>GAST1</v>
      </c>
      <c r="E485" s="84" t="s">
        <v>506</v>
      </c>
      <c r="F485" s="85" t="s">
        <v>742</v>
      </c>
      <c r="G485" s="86" t="s">
        <v>25</v>
      </c>
      <c r="H485" s="87">
        <v>45831</v>
      </c>
      <c r="I485" s="87"/>
      <c r="J485" s="79" t="s">
        <v>185</v>
      </c>
      <c r="K485" s="62">
        <v>-3.5</v>
      </c>
      <c r="L485" s="68">
        <f t="shared" si="43"/>
        <v>1005.5399999999997</v>
      </c>
      <c r="M485" s="38"/>
      <c r="N485" s="44" t="str">
        <f t="shared" si="45"/>
        <v>MCSGAST1CPF - Desp. Lazer e Entretenimento - Bares</v>
      </c>
      <c r="O485" s="44" t="str">
        <f t="shared" si="46"/>
        <v>GAST1CPF - Desp. Lazer e Entretenimento - Bares</v>
      </c>
      <c r="P485" s="44" t="str">
        <f t="shared" si="47"/>
        <v>MCSGAST1CPF - Desp. Lazer e Entretenimento - Bares</v>
      </c>
      <c r="Q485" s="44" t="str">
        <f t="shared" si="48"/>
        <v>MCSGAST1</v>
      </c>
      <c r="R485" s="44" t="str">
        <f t="shared" si="49"/>
        <v>MCSGAST1</v>
      </c>
      <c r="S485" s="38"/>
      <c r="T485" s="45">
        <f t="shared" si="50"/>
        <v>45809</v>
      </c>
      <c r="U485" s="24" t="str">
        <f t="shared" si="44"/>
        <v/>
      </c>
      <c r="V485" s="14" t="s">
        <v>761</v>
      </c>
    </row>
    <row r="486" spans="2:22" s="46" customFormat="1" x14ac:dyDescent="0.25">
      <c r="B486" s="37" t="s">
        <v>25</v>
      </c>
      <c r="C486" s="38"/>
      <c r="D486" s="86" t="str">
        <f>INDEX(Cad_Natureza!$B$3:$C$52,MATCH('2025'!F486,Cad_Natureza!$C$3:$C$52,0),MATCH('2025'!D$2,Cad_Natureza!$B$3:$C$3,0))</f>
        <v>GAST1</v>
      </c>
      <c r="E486" s="84" t="s">
        <v>507</v>
      </c>
      <c r="F486" s="85" t="s">
        <v>742</v>
      </c>
      <c r="G486" s="86" t="s">
        <v>25</v>
      </c>
      <c r="H486" s="87">
        <v>45831</v>
      </c>
      <c r="I486" s="87"/>
      <c r="J486" s="79" t="s">
        <v>821</v>
      </c>
      <c r="K486" s="62">
        <v>-10</v>
      </c>
      <c r="L486" s="68">
        <f t="shared" si="43"/>
        <v>995.53999999999974</v>
      </c>
      <c r="M486" s="38"/>
      <c r="N486" s="44" t="str">
        <f t="shared" si="45"/>
        <v>MCSGAST1CPF - Desp. Lazer e Entretenimento - Bares</v>
      </c>
      <c r="O486" s="44" t="str">
        <f t="shared" si="46"/>
        <v>GAST1CPF - Desp. Lazer e Entretenimento - Bares</v>
      </c>
      <c r="P486" s="44" t="str">
        <f t="shared" si="47"/>
        <v>MCSGAST1CPF - Desp. Lazer e Entretenimento - Bares</v>
      </c>
      <c r="Q486" s="44" t="str">
        <f t="shared" si="48"/>
        <v>MCSGAST1</v>
      </c>
      <c r="R486" s="44" t="str">
        <f t="shared" si="49"/>
        <v>MCSGAST1</v>
      </c>
      <c r="S486" s="38"/>
      <c r="T486" s="45">
        <f t="shared" si="50"/>
        <v>45809</v>
      </c>
      <c r="U486" s="24" t="str">
        <f t="shared" si="44"/>
        <v/>
      </c>
      <c r="V486" s="14" t="s">
        <v>761</v>
      </c>
    </row>
    <row r="487" spans="2:22" s="46" customFormat="1" x14ac:dyDescent="0.25">
      <c r="B487" s="37" t="s">
        <v>25</v>
      </c>
      <c r="C487" s="38"/>
      <c r="D487" s="86" t="str">
        <f>INDEX(Cad_Natureza!$B$3:$C$52,MATCH('2025'!F487,Cad_Natureza!$C$3:$C$52,0),MATCH('2025'!D$2,Cad_Natureza!$B$3:$C$3,0))</f>
        <v>GAST1</v>
      </c>
      <c r="E487" s="84" t="s">
        <v>508</v>
      </c>
      <c r="F487" s="85" t="s">
        <v>742</v>
      </c>
      <c r="G487" s="86" t="s">
        <v>25</v>
      </c>
      <c r="H487" s="87">
        <v>45831</v>
      </c>
      <c r="I487" s="87"/>
      <c r="J487" s="79" t="s">
        <v>821</v>
      </c>
      <c r="K487" s="62">
        <v>-10</v>
      </c>
      <c r="L487" s="68">
        <f t="shared" si="43"/>
        <v>985.53999999999974</v>
      </c>
      <c r="M487" s="38"/>
      <c r="N487" s="44" t="str">
        <f t="shared" si="45"/>
        <v>MCSGAST1CPF - Desp. Lazer e Entretenimento - Bares</v>
      </c>
      <c r="O487" s="44" t="str">
        <f t="shared" si="46"/>
        <v>GAST1CPF - Desp. Lazer e Entretenimento - Bares</v>
      </c>
      <c r="P487" s="44" t="str">
        <f t="shared" si="47"/>
        <v>MCSGAST1CPF - Desp. Lazer e Entretenimento - Bares</v>
      </c>
      <c r="Q487" s="44" t="str">
        <f t="shared" si="48"/>
        <v>MCSGAST1</v>
      </c>
      <c r="R487" s="44" t="str">
        <f t="shared" si="49"/>
        <v>MCSGAST1</v>
      </c>
      <c r="S487" s="38"/>
      <c r="T487" s="45">
        <f t="shared" si="50"/>
        <v>45809</v>
      </c>
      <c r="U487" s="24" t="str">
        <f t="shared" si="44"/>
        <v/>
      </c>
      <c r="V487" s="14" t="s">
        <v>761</v>
      </c>
    </row>
    <row r="488" spans="2:22" s="46" customFormat="1" x14ac:dyDescent="0.25">
      <c r="B488" s="37" t="s">
        <v>25</v>
      </c>
      <c r="C488" s="38"/>
      <c r="D488" s="86" t="str">
        <f>INDEX(Cad_Natureza!$B$3:$C$52,MATCH('2025'!F488,Cad_Natureza!$C$3:$C$52,0),MATCH('2025'!D$2,Cad_Natureza!$B$3:$C$3,0))</f>
        <v>GAST1</v>
      </c>
      <c r="E488" s="84" t="s">
        <v>508</v>
      </c>
      <c r="F488" s="85" t="s">
        <v>742</v>
      </c>
      <c r="G488" s="86" t="s">
        <v>25</v>
      </c>
      <c r="H488" s="87">
        <v>45831</v>
      </c>
      <c r="I488" s="87"/>
      <c r="J488" s="79" t="s">
        <v>821</v>
      </c>
      <c r="K488" s="62">
        <v>-10</v>
      </c>
      <c r="L488" s="68">
        <f t="shared" si="43"/>
        <v>975.53999999999974</v>
      </c>
      <c r="M488" s="38"/>
      <c r="N488" s="44" t="str">
        <f t="shared" si="45"/>
        <v>MCSGAST1CPF - Desp. Lazer e Entretenimento - Bares</v>
      </c>
      <c r="O488" s="44" t="str">
        <f t="shared" si="46"/>
        <v>GAST1CPF - Desp. Lazer e Entretenimento - Bares</v>
      </c>
      <c r="P488" s="44" t="str">
        <f t="shared" si="47"/>
        <v>MCSGAST1CPF - Desp. Lazer e Entretenimento - Bares</v>
      </c>
      <c r="Q488" s="44" t="str">
        <f t="shared" si="48"/>
        <v>MCSGAST1</v>
      </c>
      <c r="R488" s="44" t="str">
        <f t="shared" si="49"/>
        <v>MCSGAST1</v>
      </c>
      <c r="S488" s="38"/>
      <c r="T488" s="45">
        <f t="shared" si="50"/>
        <v>45809</v>
      </c>
      <c r="U488" s="24" t="str">
        <f t="shared" si="44"/>
        <v/>
      </c>
      <c r="V488" s="14" t="s">
        <v>761</v>
      </c>
    </row>
    <row r="489" spans="2:22" s="46" customFormat="1" x14ac:dyDescent="0.25">
      <c r="B489" s="37" t="s">
        <v>25</v>
      </c>
      <c r="C489" s="38"/>
      <c r="D489" s="63" t="str">
        <f>INDEX(Cad_Natureza!$B$3:$C$52,MATCH('2025'!F489,Cad_Natureza!$C$3:$C$52,0),MATCH('2025'!D$2,Cad_Natureza!$B$3:$C$3,0))</f>
        <v>REC5</v>
      </c>
      <c r="E489" s="64" t="s">
        <v>509</v>
      </c>
      <c r="F489" s="65" t="s">
        <v>740</v>
      </c>
      <c r="G489" s="63" t="s">
        <v>25</v>
      </c>
      <c r="H489" s="66">
        <v>45831</v>
      </c>
      <c r="I489" s="66"/>
      <c r="J489" s="67" t="s">
        <v>569</v>
      </c>
      <c r="K489" s="68">
        <v>25</v>
      </c>
      <c r="L489" s="68">
        <f t="shared" si="43"/>
        <v>1000.5399999999997</v>
      </c>
      <c r="M489" s="38"/>
      <c r="N489" s="44" t="str">
        <f t="shared" si="45"/>
        <v>MCSREC5CPF - Outras receitas</v>
      </c>
      <c r="O489" s="44" t="str">
        <f t="shared" si="46"/>
        <v>REC5CPF - Outras receitas</v>
      </c>
      <c r="P489" s="44" t="str">
        <f t="shared" si="47"/>
        <v>MCSREC5CPF - Outras receitas</v>
      </c>
      <c r="Q489" s="44" t="str">
        <f t="shared" si="48"/>
        <v>MCSREC5</v>
      </c>
      <c r="R489" s="44" t="str">
        <f t="shared" si="49"/>
        <v>MCSREC5</v>
      </c>
      <c r="S489" s="38"/>
      <c r="T489" s="45">
        <f t="shared" si="50"/>
        <v>45809</v>
      </c>
      <c r="U489" s="24" t="str">
        <f t="shared" si="44"/>
        <v/>
      </c>
      <c r="V489" s="14" t="s">
        <v>761</v>
      </c>
    </row>
    <row r="490" spans="2:22" s="46" customFormat="1" x14ac:dyDescent="0.25">
      <c r="B490" s="37" t="s">
        <v>25</v>
      </c>
      <c r="C490" s="38"/>
      <c r="D490" s="86" t="str">
        <f>INDEX(Cad_Natureza!$B$3:$C$52,MATCH('2025'!F490,Cad_Natureza!$C$3:$C$52,0),MATCH('2025'!D$2,Cad_Natureza!$B$3:$C$3,0))</f>
        <v>GAST1</v>
      </c>
      <c r="E490" s="84" t="s">
        <v>508</v>
      </c>
      <c r="F490" s="85" t="s">
        <v>742</v>
      </c>
      <c r="G490" s="86" t="s">
        <v>25</v>
      </c>
      <c r="H490" s="87">
        <v>45831</v>
      </c>
      <c r="I490" s="87"/>
      <c r="J490" s="79" t="s">
        <v>821</v>
      </c>
      <c r="K490" s="62">
        <v>-5</v>
      </c>
      <c r="L490" s="68">
        <f t="shared" si="43"/>
        <v>995.53999999999974</v>
      </c>
      <c r="M490" s="38"/>
      <c r="N490" s="44" t="str">
        <f t="shared" si="45"/>
        <v>MCSGAST1CPF - Desp. Lazer e Entretenimento - Bares</v>
      </c>
      <c r="O490" s="44" t="str">
        <f t="shared" si="46"/>
        <v>GAST1CPF - Desp. Lazer e Entretenimento - Bares</v>
      </c>
      <c r="P490" s="44" t="str">
        <f t="shared" si="47"/>
        <v>MCSGAST1CPF - Desp. Lazer e Entretenimento - Bares</v>
      </c>
      <c r="Q490" s="44" t="str">
        <f t="shared" si="48"/>
        <v>MCSGAST1</v>
      </c>
      <c r="R490" s="44" t="str">
        <f t="shared" si="49"/>
        <v>MCSGAST1</v>
      </c>
      <c r="S490" s="38"/>
      <c r="T490" s="45">
        <f t="shared" si="50"/>
        <v>45809</v>
      </c>
      <c r="U490" s="24" t="str">
        <f t="shared" si="44"/>
        <v/>
      </c>
      <c r="V490" s="14" t="s">
        <v>761</v>
      </c>
    </row>
    <row r="491" spans="2:22" s="46" customFormat="1" x14ac:dyDescent="0.25">
      <c r="B491" s="37" t="s">
        <v>25</v>
      </c>
      <c r="C491" s="38"/>
      <c r="D491" s="86" t="str">
        <f>INDEX(Cad_Natureza!$B$3:$C$52,MATCH('2025'!F491,Cad_Natureza!$C$3:$C$52,0),MATCH('2025'!D$2,Cad_Natureza!$B$3:$C$3,0))</f>
        <v>OUG1</v>
      </c>
      <c r="E491" s="84" t="s">
        <v>510</v>
      </c>
      <c r="F491" s="85" t="s">
        <v>748</v>
      </c>
      <c r="G491" s="86" t="s">
        <v>25</v>
      </c>
      <c r="H491" s="87">
        <v>45831</v>
      </c>
      <c r="I491" s="87"/>
      <c r="J491" s="79" t="s">
        <v>562</v>
      </c>
      <c r="K491" s="62">
        <v>-30</v>
      </c>
      <c r="L491" s="68">
        <f t="shared" si="43"/>
        <v>965.53999999999974</v>
      </c>
      <c r="M491" s="38"/>
      <c r="N491" s="44" t="str">
        <f t="shared" si="45"/>
        <v>MCSOUG1CPF - Outros gastos</v>
      </c>
      <c r="O491" s="44" t="str">
        <f t="shared" si="46"/>
        <v>OUG1CPF - Outros gastos</v>
      </c>
      <c r="P491" s="44" t="str">
        <f t="shared" si="47"/>
        <v>MCSOUG1CPF - Outros gastos</v>
      </c>
      <c r="Q491" s="44" t="str">
        <f t="shared" si="48"/>
        <v>MCSOUG1</v>
      </c>
      <c r="R491" s="44" t="str">
        <f t="shared" si="49"/>
        <v>MCSOUG1</v>
      </c>
      <c r="S491" s="38"/>
      <c r="T491" s="45">
        <f t="shared" si="50"/>
        <v>45809</v>
      </c>
      <c r="U491" s="24" t="str">
        <f t="shared" si="44"/>
        <v/>
      </c>
      <c r="V491" s="14" t="s">
        <v>761</v>
      </c>
    </row>
    <row r="492" spans="2:22" s="46" customFormat="1" x14ac:dyDescent="0.25">
      <c r="B492" s="37" t="s">
        <v>25</v>
      </c>
      <c r="C492" s="38"/>
      <c r="D492" s="86" t="str">
        <f>INDEX(Cad_Natureza!$B$3:$C$52,MATCH('2025'!F492,Cad_Natureza!$C$3:$C$52,0),MATCH('2025'!D$2,Cad_Natureza!$B$3:$C$3,0))</f>
        <v>OPF1</v>
      </c>
      <c r="E492" s="84" t="s">
        <v>511</v>
      </c>
      <c r="F492" s="85" t="s">
        <v>744</v>
      </c>
      <c r="G492" s="86" t="s">
        <v>25</v>
      </c>
      <c r="H492" s="87">
        <v>45831</v>
      </c>
      <c r="I492" s="87"/>
      <c r="J492" s="79" t="s">
        <v>564</v>
      </c>
      <c r="K492" s="62">
        <v>-115</v>
      </c>
      <c r="L492" s="68">
        <f t="shared" si="43"/>
        <v>850.53999999999974</v>
      </c>
      <c r="M492" s="38"/>
      <c r="N492" s="44" t="str">
        <f t="shared" si="45"/>
        <v>MCSOPF1CPF - Desp. Alimentação / Refeição</v>
      </c>
      <c r="O492" s="44" t="str">
        <f t="shared" si="46"/>
        <v>OPF1CPF - Desp. Alimentação / Refeição</v>
      </c>
      <c r="P492" s="44" t="str">
        <f t="shared" si="47"/>
        <v>MCSOPF1CPF - Desp. Alimentação / Refeição</v>
      </c>
      <c r="Q492" s="44" t="str">
        <f t="shared" si="48"/>
        <v>MCSOPF1</v>
      </c>
      <c r="R492" s="44" t="str">
        <f t="shared" si="49"/>
        <v>MCSOPF1</v>
      </c>
      <c r="S492" s="38"/>
      <c r="T492" s="45">
        <f t="shared" si="50"/>
        <v>45809</v>
      </c>
      <c r="U492" s="24" t="str">
        <f t="shared" si="44"/>
        <v/>
      </c>
      <c r="V492" s="14" t="s">
        <v>761</v>
      </c>
    </row>
    <row r="493" spans="2:22" s="46" customFormat="1" x14ac:dyDescent="0.25">
      <c r="B493" s="37" t="s">
        <v>25</v>
      </c>
      <c r="C493" s="38"/>
      <c r="D493" s="86" t="str">
        <f>INDEX(Cad_Natureza!$B$3:$C$52,MATCH('2025'!F493,Cad_Natureza!$C$3:$C$52,0),MATCH('2025'!D$2,Cad_Natureza!$B$3:$C$3,0))</f>
        <v>OPF2</v>
      </c>
      <c r="E493" s="84" t="s">
        <v>512</v>
      </c>
      <c r="F493" s="85" t="s">
        <v>741</v>
      </c>
      <c r="G493" s="86" t="s">
        <v>25</v>
      </c>
      <c r="H493" s="87">
        <v>45831</v>
      </c>
      <c r="I493" s="87"/>
      <c r="J493" s="79" t="s">
        <v>184</v>
      </c>
      <c r="K493" s="62">
        <v>-50</v>
      </c>
      <c r="L493" s="68">
        <f t="shared" si="43"/>
        <v>800.53999999999974</v>
      </c>
      <c r="M493" s="38"/>
      <c r="N493" s="44" t="str">
        <f t="shared" si="45"/>
        <v>MCSOPF2CPF - Desp. Transporte / Combustível</v>
      </c>
      <c r="O493" s="44" t="str">
        <f t="shared" si="46"/>
        <v>OPF2CPF - Desp. Transporte / Combustível</v>
      </c>
      <c r="P493" s="44" t="str">
        <f t="shared" si="47"/>
        <v>MCSOPF2CPF - Desp. Transporte / Combustível</v>
      </c>
      <c r="Q493" s="44" t="str">
        <f t="shared" si="48"/>
        <v>MCSOPF2</v>
      </c>
      <c r="R493" s="44" t="str">
        <f t="shared" si="49"/>
        <v>MCSOPF2</v>
      </c>
      <c r="S493" s="38"/>
      <c r="T493" s="45">
        <f t="shared" si="50"/>
        <v>45809</v>
      </c>
      <c r="U493" s="24" t="str">
        <f t="shared" si="44"/>
        <v/>
      </c>
      <c r="V493" s="14" t="s">
        <v>761</v>
      </c>
    </row>
    <row r="494" spans="2:22" s="46" customFormat="1" x14ac:dyDescent="0.25">
      <c r="B494" s="37" t="s">
        <v>25</v>
      </c>
      <c r="C494" s="38"/>
      <c r="D494" s="86" t="str">
        <f>INDEX(Cad_Natureza!$B$3:$C$52,MATCH('2025'!F494,Cad_Natureza!$C$3:$C$52,0),MATCH('2025'!D$2,Cad_Natureza!$B$3:$C$3,0))</f>
        <v>GAST1</v>
      </c>
      <c r="E494" s="84" t="s">
        <v>513</v>
      </c>
      <c r="F494" s="85" t="s">
        <v>742</v>
      </c>
      <c r="G494" s="86" t="s">
        <v>25</v>
      </c>
      <c r="H494" s="87">
        <v>45831</v>
      </c>
      <c r="I494" s="87"/>
      <c r="J494" s="79" t="s">
        <v>185</v>
      </c>
      <c r="K494" s="62">
        <v>-31.5</v>
      </c>
      <c r="L494" s="68">
        <f t="shared" si="43"/>
        <v>769.03999999999974</v>
      </c>
      <c r="M494" s="38"/>
      <c r="N494" s="44" t="str">
        <f t="shared" si="45"/>
        <v>MCSGAST1CPF - Desp. Lazer e Entretenimento - Bares</v>
      </c>
      <c r="O494" s="44" t="str">
        <f t="shared" si="46"/>
        <v>GAST1CPF - Desp. Lazer e Entretenimento - Bares</v>
      </c>
      <c r="P494" s="44" t="str">
        <f t="shared" si="47"/>
        <v>MCSGAST1CPF - Desp. Lazer e Entretenimento - Bares</v>
      </c>
      <c r="Q494" s="44" t="str">
        <f t="shared" si="48"/>
        <v>MCSGAST1</v>
      </c>
      <c r="R494" s="44" t="str">
        <f t="shared" si="49"/>
        <v>MCSGAST1</v>
      </c>
      <c r="S494" s="38"/>
      <c r="T494" s="45">
        <f t="shared" si="50"/>
        <v>45809</v>
      </c>
      <c r="U494" s="24" t="str">
        <f t="shared" si="44"/>
        <v/>
      </c>
      <c r="V494" s="14" t="s">
        <v>761</v>
      </c>
    </row>
    <row r="495" spans="2:22" s="46" customFormat="1" x14ac:dyDescent="0.25">
      <c r="B495" s="37" t="s">
        <v>25</v>
      </c>
      <c r="C495" s="38"/>
      <c r="D495" s="86" t="str">
        <f>INDEX(Cad_Natureza!$B$3:$C$52,MATCH('2025'!F495,Cad_Natureza!$C$3:$C$52,0),MATCH('2025'!D$2,Cad_Natureza!$B$3:$C$3,0))</f>
        <v>OPF1</v>
      </c>
      <c r="E495" s="84" t="s">
        <v>514</v>
      </c>
      <c r="F495" s="85" t="s">
        <v>744</v>
      </c>
      <c r="G495" s="86" t="s">
        <v>25</v>
      </c>
      <c r="H495" s="87">
        <v>45832</v>
      </c>
      <c r="I495" s="87"/>
      <c r="J495" s="79" t="s">
        <v>459</v>
      </c>
      <c r="K495" s="62">
        <v>-2.5</v>
      </c>
      <c r="L495" s="68">
        <f t="shared" si="43"/>
        <v>766.53999999999974</v>
      </c>
      <c r="M495" s="38"/>
      <c r="N495" s="44" t="str">
        <f t="shared" si="45"/>
        <v>MCSOPF1CPF - Desp. Alimentação / Refeição</v>
      </c>
      <c r="O495" s="44" t="str">
        <f t="shared" si="46"/>
        <v>OPF1CPF - Desp. Alimentação / Refeição</v>
      </c>
      <c r="P495" s="44" t="str">
        <f t="shared" si="47"/>
        <v>MCSOPF1CPF - Desp. Alimentação / Refeição</v>
      </c>
      <c r="Q495" s="44" t="str">
        <f t="shared" si="48"/>
        <v>MCSOPF1</v>
      </c>
      <c r="R495" s="44" t="str">
        <f t="shared" si="49"/>
        <v>MCSOPF1</v>
      </c>
      <c r="S495" s="38"/>
      <c r="T495" s="45">
        <f t="shared" si="50"/>
        <v>45809</v>
      </c>
      <c r="U495" s="24" t="str">
        <f t="shared" si="44"/>
        <v/>
      </c>
      <c r="V495" s="14" t="s">
        <v>761</v>
      </c>
    </row>
    <row r="496" spans="2:22" s="46" customFormat="1" x14ac:dyDescent="0.25">
      <c r="B496" s="37" t="s">
        <v>25</v>
      </c>
      <c r="C496" s="38"/>
      <c r="D496" s="86" t="str">
        <f>INDEX(Cad_Natureza!$B$3:$C$52,MATCH('2025'!F496,Cad_Natureza!$C$3:$C$52,0),MATCH('2025'!D$2,Cad_Natureza!$B$3:$C$3,0))</f>
        <v>OPF1</v>
      </c>
      <c r="E496" s="84" t="s">
        <v>515</v>
      </c>
      <c r="F496" s="85" t="s">
        <v>744</v>
      </c>
      <c r="G496" s="86" t="s">
        <v>25</v>
      </c>
      <c r="H496" s="87">
        <v>45833</v>
      </c>
      <c r="I496" s="87"/>
      <c r="J496" s="79" t="s">
        <v>459</v>
      </c>
      <c r="K496" s="62">
        <v>-5.75</v>
      </c>
      <c r="L496" s="68">
        <f t="shared" si="43"/>
        <v>760.78999999999974</v>
      </c>
      <c r="M496" s="38"/>
      <c r="N496" s="44" t="str">
        <f t="shared" si="45"/>
        <v>MCSOPF1CPF - Desp. Alimentação / Refeição</v>
      </c>
      <c r="O496" s="44" t="str">
        <f t="shared" si="46"/>
        <v>OPF1CPF - Desp. Alimentação / Refeição</v>
      </c>
      <c r="P496" s="44" t="str">
        <f t="shared" si="47"/>
        <v>MCSOPF1CPF - Desp. Alimentação / Refeição</v>
      </c>
      <c r="Q496" s="44" t="str">
        <f t="shared" si="48"/>
        <v>MCSOPF1</v>
      </c>
      <c r="R496" s="44" t="str">
        <f t="shared" si="49"/>
        <v>MCSOPF1</v>
      </c>
      <c r="S496" s="38"/>
      <c r="T496" s="45">
        <f t="shared" si="50"/>
        <v>45809</v>
      </c>
      <c r="U496" s="24" t="str">
        <f t="shared" si="44"/>
        <v/>
      </c>
      <c r="V496" s="14" t="s">
        <v>761</v>
      </c>
    </row>
    <row r="497" spans="2:22" s="46" customFormat="1" x14ac:dyDescent="0.25">
      <c r="B497" s="37" t="s">
        <v>25</v>
      </c>
      <c r="C497" s="38"/>
      <c r="D497" s="86" t="str">
        <f>INDEX(Cad_Natureza!$B$3:$C$52,MATCH('2025'!F497,Cad_Natureza!$C$3:$C$52,0),MATCH('2025'!D$2,Cad_Natureza!$B$3:$C$3,0))</f>
        <v>OPF2</v>
      </c>
      <c r="E497" s="84" t="s">
        <v>516</v>
      </c>
      <c r="F497" s="85" t="s">
        <v>741</v>
      </c>
      <c r="G497" s="86" t="s">
        <v>25</v>
      </c>
      <c r="H497" s="87">
        <v>45833</v>
      </c>
      <c r="I497" s="87"/>
      <c r="J497" s="79" t="s">
        <v>184</v>
      </c>
      <c r="K497" s="62">
        <v>-50</v>
      </c>
      <c r="L497" s="68">
        <f t="shared" si="43"/>
        <v>710.78999999999974</v>
      </c>
      <c r="M497" s="38"/>
      <c r="N497" s="44" t="str">
        <f t="shared" si="45"/>
        <v>MCSOPF2CPF - Desp. Transporte / Combustível</v>
      </c>
      <c r="O497" s="44" t="str">
        <f t="shared" si="46"/>
        <v>OPF2CPF - Desp. Transporte / Combustível</v>
      </c>
      <c r="P497" s="44" t="str">
        <f t="shared" si="47"/>
        <v>MCSOPF2CPF - Desp. Transporte / Combustível</v>
      </c>
      <c r="Q497" s="44" t="str">
        <f t="shared" si="48"/>
        <v>MCSOPF2</v>
      </c>
      <c r="R497" s="44" t="str">
        <f t="shared" si="49"/>
        <v>MCSOPF2</v>
      </c>
      <c r="S497" s="38"/>
      <c r="T497" s="45">
        <f t="shared" si="50"/>
        <v>45809</v>
      </c>
      <c r="U497" s="24" t="str">
        <f t="shared" si="44"/>
        <v/>
      </c>
      <c r="V497" s="14" t="s">
        <v>761</v>
      </c>
    </row>
    <row r="498" spans="2:22" s="46" customFormat="1" x14ac:dyDescent="0.25">
      <c r="B498" s="37" t="s">
        <v>25</v>
      </c>
      <c r="C498" s="38"/>
      <c r="D498" s="86" t="str">
        <f>INDEX(Cad_Natureza!$B$3:$C$52,MATCH('2025'!F498,Cad_Natureza!$C$3:$C$52,0),MATCH('2025'!D$2,Cad_Natureza!$B$3:$C$3,0))</f>
        <v>OPF1</v>
      </c>
      <c r="E498" s="84" t="s">
        <v>517</v>
      </c>
      <c r="F498" s="85" t="s">
        <v>744</v>
      </c>
      <c r="G498" s="86" t="s">
        <v>25</v>
      </c>
      <c r="H498" s="87">
        <v>45834</v>
      </c>
      <c r="I498" s="87"/>
      <c r="J498" s="79" t="s">
        <v>459</v>
      </c>
      <c r="K498" s="62">
        <v>-5.49</v>
      </c>
      <c r="L498" s="68">
        <f t="shared" si="43"/>
        <v>705.29999999999973</v>
      </c>
      <c r="M498" s="38"/>
      <c r="N498" s="44" t="str">
        <f t="shared" si="45"/>
        <v>MCSOPF1CPF - Desp. Alimentação / Refeição</v>
      </c>
      <c r="O498" s="44" t="str">
        <f t="shared" si="46"/>
        <v>OPF1CPF - Desp. Alimentação / Refeição</v>
      </c>
      <c r="P498" s="44" t="str">
        <f t="shared" si="47"/>
        <v>MCSOPF1CPF - Desp. Alimentação / Refeição</v>
      </c>
      <c r="Q498" s="44" t="str">
        <f t="shared" si="48"/>
        <v>MCSOPF1</v>
      </c>
      <c r="R498" s="44" t="str">
        <f t="shared" si="49"/>
        <v>MCSOPF1</v>
      </c>
      <c r="S498" s="38"/>
      <c r="T498" s="45">
        <f t="shared" si="50"/>
        <v>45809</v>
      </c>
      <c r="U498" s="24" t="str">
        <f t="shared" si="44"/>
        <v/>
      </c>
      <c r="V498" s="14" t="s">
        <v>761</v>
      </c>
    </row>
    <row r="499" spans="2:22" s="46" customFormat="1" x14ac:dyDescent="0.25">
      <c r="B499" s="37" t="s">
        <v>25</v>
      </c>
      <c r="C499" s="38"/>
      <c r="D499" s="86" t="str">
        <f>INDEX(Cad_Natureza!$B$3:$C$52,MATCH('2025'!F499,Cad_Natureza!$C$3:$C$52,0),MATCH('2025'!D$2,Cad_Natureza!$B$3:$C$3,0))</f>
        <v>OPF2</v>
      </c>
      <c r="E499" s="84" t="s">
        <v>518</v>
      </c>
      <c r="F499" s="85" t="s">
        <v>741</v>
      </c>
      <c r="G499" s="86" t="s">
        <v>25</v>
      </c>
      <c r="H499" s="87">
        <v>45835</v>
      </c>
      <c r="I499" s="87"/>
      <c r="J499" s="79" t="s">
        <v>184</v>
      </c>
      <c r="K499" s="62">
        <v>-50</v>
      </c>
      <c r="L499" s="68">
        <f t="shared" si="43"/>
        <v>655.29999999999973</v>
      </c>
      <c r="M499" s="38"/>
      <c r="N499" s="44" t="str">
        <f t="shared" si="45"/>
        <v>MCSOPF2CPF - Desp. Transporte / Combustível</v>
      </c>
      <c r="O499" s="44" t="str">
        <f t="shared" si="46"/>
        <v>OPF2CPF - Desp. Transporte / Combustível</v>
      </c>
      <c r="P499" s="44" t="str">
        <f t="shared" si="47"/>
        <v>MCSOPF2CPF - Desp. Transporte / Combustível</v>
      </c>
      <c r="Q499" s="44" t="str">
        <f t="shared" si="48"/>
        <v>MCSOPF2</v>
      </c>
      <c r="R499" s="44" t="str">
        <f t="shared" si="49"/>
        <v>MCSOPF2</v>
      </c>
      <c r="S499" s="38"/>
      <c r="T499" s="45">
        <f t="shared" si="50"/>
        <v>45809</v>
      </c>
      <c r="U499" s="24" t="str">
        <f t="shared" si="44"/>
        <v/>
      </c>
      <c r="V499" s="14" t="s">
        <v>761</v>
      </c>
    </row>
    <row r="500" spans="2:22" s="46" customFormat="1" x14ac:dyDescent="0.25">
      <c r="B500" s="37" t="s">
        <v>25</v>
      </c>
      <c r="C500" s="38"/>
      <c r="D500" s="86" t="str">
        <f>INDEX(Cad_Natureza!$B$3:$C$52,MATCH('2025'!F500,Cad_Natureza!$C$3:$C$52,0),MATCH('2025'!D$2,Cad_Natureza!$B$3:$C$3,0))</f>
        <v>GAST1</v>
      </c>
      <c r="E500" s="84" t="s">
        <v>519</v>
      </c>
      <c r="F500" s="85" t="s">
        <v>742</v>
      </c>
      <c r="G500" s="86" t="s">
        <v>25</v>
      </c>
      <c r="H500" s="87">
        <v>45835</v>
      </c>
      <c r="I500" s="87"/>
      <c r="J500" s="79" t="s">
        <v>185</v>
      </c>
      <c r="K500" s="62">
        <v>-22</v>
      </c>
      <c r="L500" s="68">
        <f t="shared" si="43"/>
        <v>633.29999999999973</v>
      </c>
      <c r="M500" s="38"/>
      <c r="N500" s="44" t="str">
        <f t="shared" si="45"/>
        <v>MCSGAST1CPF - Desp. Lazer e Entretenimento - Bares</v>
      </c>
      <c r="O500" s="44" t="str">
        <f t="shared" si="46"/>
        <v>GAST1CPF - Desp. Lazer e Entretenimento - Bares</v>
      </c>
      <c r="P500" s="44" t="str">
        <f t="shared" si="47"/>
        <v>MCSGAST1CPF - Desp. Lazer e Entretenimento - Bares</v>
      </c>
      <c r="Q500" s="44" t="str">
        <f t="shared" si="48"/>
        <v>MCSGAST1</v>
      </c>
      <c r="R500" s="44" t="str">
        <f t="shared" si="49"/>
        <v>MCSGAST1</v>
      </c>
      <c r="S500" s="38"/>
      <c r="T500" s="45">
        <f t="shared" si="50"/>
        <v>45809</v>
      </c>
      <c r="U500" s="24" t="str">
        <f t="shared" si="44"/>
        <v/>
      </c>
      <c r="V500" s="14" t="s">
        <v>761</v>
      </c>
    </row>
    <row r="501" spans="2:22" s="46" customFormat="1" x14ac:dyDescent="0.25">
      <c r="B501" s="37" t="s">
        <v>25</v>
      </c>
      <c r="C501" s="38"/>
      <c r="D501" s="86" t="str">
        <f>INDEX(Cad_Natureza!$B$3:$C$52,MATCH('2025'!F501,Cad_Natureza!$C$3:$C$52,0),MATCH('2025'!D$2,Cad_Natureza!$B$3:$C$3,0))</f>
        <v>PENS6</v>
      </c>
      <c r="E501" s="84" t="s">
        <v>520</v>
      </c>
      <c r="F501" s="85" t="s">
        <v>37</v>
      </c>
      <c r="G501" s="86" t="s">
        <v>25</v>
      </c>
      <c r="H501" s="87">
        <v>45835</v>
      </c>
      <c r="I501" s="87"/>
      <c r="J501" s="78" t="s">
        <v>568</v>
      </c>
      <c r="K501" s="80">
        <v>-34.99</v>
      </c>
      <c r="L501" s="68">
        <f t="shared" si="43"/>
        <v>598.30999999999972</v>
      </c>
      <c r="M501" s="38"/>
      <c r="N501" s="44" t="str">
        <f t="shared" si="45"/>
        <v>MCSPENS6CPF - Pensão - Farmácia e Saúde</v>
      </c>
      <c r="O501" s="44" t="str">
        <f t="shared" si="46"/>
        <v>PENS6CPF - Pensão - Farmácia e Saúde</v>
      </c>
      <c r="P501" s="44" t="str">
        <f t="shared" si="47"/>
        <v>MCSPENS6CPF - Pensão - Farmácia e Saúde</v>
      </c>
      <c r="Q501" s="44" t="str">
        <f t="shared" si="48"/>
        <v>MCSPENS6</v>
      </c>
      <c r="R501" s="44" t="str">
        <f t="shared" si="49"/>
        <v>MCSPENS6</v>
      </c>
      <c r="S501" s="38"/>
      <c r="T501" s="45">
        <f t="shared" si="50"/>
        <v>45809</v>
      </c>
      <c r="U501" s="24" t="str">
        <f t="shared" si="44"/>
        <v/>
      </c>
      <c r="V501" s="14" t="s">
        <v>731</v>
      </c>
    </row>
    <row r="502" spans="2:22" s="46" customFormat="1" x14ac:dyDescent="0.25">
      <c r="B502" s="37" t="s">
        <v>25</v>
      </c>
      <c r="C502" s="38"/>
      <c r="D502" s="86" t="str">
        <f>INDEX(Cad_Natureza!$B$3:$C$52,MATCH('2025'!F502,Cad_Natureza!$C$3:$C$52,0),MATCH('2025'!D$2,Cad_Natureza!$B$3:$C$3,0))</f>
        <v>GAST1</v>
      </c>
      <c r="E502" s="84" t="s">
        <v>521</v>
      </c>
      <c r="F502" s="85" t="s">
        <v>742</v>
      </c>
      <c r="G502" s="86" t="s">
        <v>25</v>
      </c>
      <c r="H502" s="87">
        <v>45835</v>
      </c>
      <c r="I502" s="87"/>
      <c r="J502" s="79" t="s">
        <v>185</v>
      </c>
      <c r="K502" s="62">
        <v>-5</v>
      </c>
      <c r="L502" s="68">
        <f t="shared" si="43"/>
        <v>593.30999999999972</v>
      </c>
      <c r="M502" s="38"/>
      <c r="N502" s="44" t="str">
        <f t="shared" si="45"/>
        <v>MCSGAST1CPF - Desp. Lazer e Entretenimento - Bares</v>
      </c>
      <c r="O502" s="44" t="str">
        <f t="shared" si="46"/>
        <v>GAST1CPF - Desp. Lazer e Entretenimento - Bares</v>
      </c>
      <c r="P502" s="44" t="str">
        <f t="shared" si="47"/>
        <v>MCSGAST1CPF - Desp. Lazer e Entretenimento - Bares</v>
      </c>
      <c r="Q502" s="44" t="str">
        <f t="shared" si="48"/>
        <v>MCSGAST1</v>
      </c>
      <c r="R502" s="44" t="str">
        <f t="shared" si="49"/>
        <v>MCSGAST1</v>
      </c>
      <c r="S502" s="38"/>
      <c r="T502" s="45">
        <f t="shared" si="50"/>
        <v>45809</v>
      </c>
      <c r="U502" s="24" t="str">
        <f t="shared" si="44"/>
        <v/>
      </c>
      <c r="V502" s="14" t="s">
        <v>761</v>
      </c>
    </row>
    <row r="503" spans="2:22" s="46" customFormat="1" x14ac:dyDescent="0.25">
      <c r="B503" s="37" t="s">
        <v>25</v>
      </c>
      <c r="C503" s="38"/>
      <c r="D503" s="86" t="str">
        <f>INDEX(Cad_Natureza!$B$3:$C$52,MATCH('2025'!F503,Cad_Natureza!$C$3:$C$52,0),MATCH('2025'!D$2,Cad_Natureza!$B$3:$C$3,0))</f>
        <v>GAST1</v>
      </c>
      <c r="E503" s="84" t="s">
        <v>522</v>
      </c>
      <c r="F503" s="85" t="s">
        <v>742</v>
      </c>
      <c r="G503" s="86" t="s">
        <v>25</v>
      </c>
      <c r="H503" s="87">
        <v>45838</v>
      </c>
      <c r="I503" s="87"/>
      <c r="J503" s="79" t="s">
        <v>185</v>
      </c>
      <c r="K503" s="62">
        <v>-35</v>
      </c>
      <c r="L503" s="68">
        <f t="shared" si="43"/>
        <v>558.30999999999972</v>
      </c>
      <c r="M503" s="38"/>
      <c r="N503" s="44" t="str">
        <f t="shared" si="45"/>
        <v>MCSGAST1CPF - Desp. Lazer e Entretenimento - Bares</v>
      </c>
      <c r="O503" s="44" t="str">
        <f t="shared" si="46"/>
        <v>GAST1CPF - Desp. Lazer e Entretenimento - Bares</v>
      </c>
      <c r="P503" s="44" t="str">
        <f t="shared" si="47"/>
        <v>MCSGAST1CPF - Desp. Lazer e Entretenimento - Bares</v>
      </c>
      <c r="Q503" s="44" t="str">
        <f t="shared" si="48"/>
        <v>MCSGAST1</v>
      </c>
      <c r="R503" s="44" t="str">
        <f t="shared" si="49"/>
        <v>MCSGAST1</v>
      </c>
      <c r="S503" s="38"/>
      <c r="T503" s="45">
        <f t="shared" si="50"/>
        <v>45809</v>
      </c>
      <c r="U503" s="24" t="str">
        <f t="shared" si="44"/>
        <v/>
      </c>
      <c r="V503" s="14" t="s">
        <v>761</v>
      </c>
    </row>
    <row r="504" spans="2:22" s="46" customFormat="1" x14ac:dyDescent="0.25">
      <c r="B504" s="37" t="s">
        <v>25</v>
      </c>
      <c r="C504" s="38"/>
      <c r="D504" s="86" t="str">
        <f>INDEX(Cad_Natureza!$B$3:$C$52,MATCH('2025'!F504,Cad_Natureza!$C$3:$C$52,0),MATCH('2025'!D$2,Cad_Natureza!$B$3:$C$3,0))</f>
        <v>GAST1</v>
      </c>
      <c r="E504" s="84" t="s">
        <v>523</v>
      </c>
      <c r="F504" s="85" t="s">
        <v>742</v>
      </c>
      <c r="G504" s="86" t="s">
        <v>25</v>
      </c>
      <c r="H504" s="87">
        <v>45838</v>
      </c>
      <c r="I504" s="87"/>
      <c r="J504" s="79" t="s">
        <v>185</v>
      </c>
      <c r="K504" s="62">
        <v>-15</v>
      </c>
      <c r="L504" s="68">
        <f t="shared" si="43"/>
        <v>543.30999999999972</v>
      </c>
      <c r="M504" s="38"/>
      <c r="N504" s="44" t="str">
        <f t="shared" si="45"/>
        <v>MCSGAST1CPF - Desp. Lazer e Entretenimento - Bares</v>
      </c>
      <c r="O504" s="44" t="str">
        <f t="shared" si="46"/>
        <v>GAST1CPF - Desp. Lazer e Entretenimento - Bares</v>
      </c>
      <c r="P504" s="44" t="str">
        <f t="shared" si="47"/>
        <v>MCSGAST1CPF - Desp. Lazer e Entretenimento - Bares</v>
      </c>
      <c r="Q504" s="44" t="str">
        <f t="shared" si="48"/>
        <v>MCSGAST1</v>
      </c>
      <c r="R504" s="44" t="str">
        <f t="shared" si="49"/>
        <v>MCSGAST1</v>
      </c>
      <c r="S504" s="38"/>
      <c r="T504" s="45">
        <f t="shared" si="50"/>
        <v>45809</v>
      </c>
      <c r="U504" s="24" t="str">
        <f t="shared" si="44"/>
        <v/>
      </c>
      <c r="V504" s="14" t="s">
        <v>761</v>
      </c>
    </row>
    <row r="505" spans="2:22" s="46" customFormat="1" x14ac:dyDescent="0.25">
      <c r="B505" s="37" t="s">
        <v>25</v>
      </c>
      <c r="C505" s="38"/>
      <c r="D505" s="86" t="str">
        <f>INDEX(Cad_Natureza!$B$3:$C$52,MATCH('2025'!F505,Cad_Natureza!$C$3:$C$52,0),MATCH('2025'!D$2,Cad_Natureza!$B$3:$C$3,0))</f>
        <v>GAST1</v>
      </c>
      <c r="E505" s="84" t="s">
        <v>523</v>
      </c>
      <c r="F505" s="85" t="s">
        <v>742</v>
      </c>
      <c r="G505" s="86" t="s">
        <v>25</v>
      </c>
      <c r="H505" s="87">
        <v>45838</v>
      </c>
      <c r="I505" s="87"/>
      <c r="J505" s="79" t="s">
        <v>185</v>
      </c>
      <c r="K505" s="62">
        <v>-5.5</v>
      </c>
      <c r="L505" s="68">
        <f t="shared" si="43"/>
        <v>537.80999999999972</v>
      </c>
      <c r="M505" s="38"/>
      <c r="N505" s="44" t="str">
        <f t="shared" si="45"/>
        <v>MCSGAST1CPF - Desp. Lazer e Entretenimento - Bares</v>
      </c>
      <c r="O505" s="44" t="str">
        <f t="shared" si="46"/>
        <v>GAST1CPF - Desp. Lazer e Entretenimento - Bares</v>
      </c>
      <c r="P505" s="44" t="str">
        <f t="shared" si="47"/>
        <v>MCSGAST1CPF - Desp. Lazer e Entretenimento - Bares</v>
      </c>
      <c r="Q505" s="44" t="str">
        <f t="shared" si="48"/>
        <v>MCSGAST1</v>
      </c>
      <c r="R505" s="44" t="str">
        <f t="shared" si="49"/>
        <v>MCSGAST1</v>
      </c>
      <c r="S505" s="38"/>
      <c r="T505" s="45">
        <f t="shared" si="50"/>
        <v>45809</v>
      </c>
      <c r="U505" s="24" t="str">
        <f t="shared" si="44"/>
        <v/>
      </c>
      <c r="V505" s="14" t="s">
        <v>761</v>
      </c>
    </row>
    <row r="506" spans="2:22" s="46" customFormat="1" x14ac:dyDescent="0.25">
      <c r="B506" s="37" t="s">
        <v>25</v>
      </c>
      <c r="C506" s="38"/>
      <c r="D506" s="86" t="str">
        <f>INDEX(Cad_Natureza!$B$3:$C$52,MATCH('2025'!F506,Cad_Natureza!$C$3:$C$52,0),MATCH('2025'!D$2,Cad_Natureza!$B$3:$C$3,0))</f>
        <v>GAST1</v>
      </c>
      <c r="E506" s="84" t="s">
        <v>523</v>
      </c>
      <c r="F506" s="85" t="s">
        <v>742</v>
      </c>
      <c r="G506" s="86" t="s">
        <v>25</v>
      </c>
      <c r="H506" s="87">
        <v>45838</v>
      </c>
      <c r="I506" s="87"/>
      <c r="J506" s="79" t="s">
        <v>185</v>
      </c>
      <c r="K506" s="62">
        <v>-5.5</v>
      </c>
      <c r="L506" s="68">
        <f t="shared" si="43"/>
        <v>532.30999999999972</v>
      </c>
      <c r="M506" s="38"/>
      <c r="N506" s="44" t="str">
        <f t="shared" si="45"/>
        <v>MCSGAST1CPF - Desp. Lazer e Entretenimento - Bares</v>
      </c>
      <c r="O506" s="44" t="str">
        <f t="shared" si="46"/>
        <v>GAST1CPF - Desp. Lazer e Entretenimento - Bares</v>
      </c>
      <c r="P506" s="44" t="str">
        <f t="shared" si="47"/>
        <v>MCSGAST1CPF - Desp. Lazer e Entretenimento - Bares</v>
      </c>
      <c r="Q506" s="44" t="str">
        <f t="shared" si="48"/>
        <v>MCSGAST1</v>
      </c>
      <c r="R506" s="44" t="str">
        <f t="shared" si="49"/>
        <v>MCSGAST1</v>
      </c>
      <c r="S506" s="38"/>
      <c r="T506" s="45">
        <f t="shared" si="50"/>
        <v>45809</v>
      </c>
      <c r="U506" s="24" t="str">
        <f t="shared" si="44"/>
        <v/>
      </c>
      <c r="V506" s="14" t="s">
        <v>761</v>
      </c>
    </row>
    <row r="507" spans="2:22" s="46" customFormat="1" x14ac:dyDescent="0.25">
      <c r="B507" s="37" t="s">
        <v>25</v>
      </c>
      <c r="C507" s="38"/>
      <c r="D507" s="86" t="str">
        <f>INDEX(Cad_Natureza!$B$3:$C$52,MATCH('2025'!F507,Cad_Natureza!$C$3:$C$52,0),MATCH('2025'!D$2,Cad_Natureza!$B$3:$C$3,0))</f>
        <v>GAST1</v>
      </c>
      <c r="E507" s="84" t="s">
        <v>524</v>
      </c>
      <c r="F507" s="85" t="s">
        <v>742</v>
      </c>
      <c r="G507" s="86" t="s">
        <v>25</v>
      </c>
      <c r="H507" s="87">
        <v>45838</v>
      </c>
      <c r="I507" s="87"/>
      <c r="J507" s="79" t="s">
        <v>821</v>
      </c>
      <c r="K507" s="62">
        <v>-5</v>
      </c>
      <c r="L507" s="68">
        <f t="shared" ref="L507:L560" si="51">L506+K507</f>
        <v>527.30999999999972</v>
      </c>
      <c r="M507" s="38"/>
      <c r="N507" s="44" t="str">
        <f t="shared" si="45"/>
        <v>MCSGAST1CPF - Desp. Lazer e Entretenimento - Bares</v>
      </c>
      <c r="O507" s="44" t="str">
        <f t="shared" si="46"/>
        <v>GAST1CPF - Desp. Lazer e Entretenimento - Bares</v>
      </c>
      <c r="P507" s="44" t="str">
        <f t="shared" si="47"/>
        <v>MCSGAST1CPF - Desp. Lazer e Entretenimento - Bares</v>
      </c>
      <c r="Q507" s="44" t="str">
        <f t="shared" si="48"/>
        <v>MCSGAST1</v>
      </c>
      <c r="R507" s="44" t="str">
        <f t="shared" si="49"/>
        <v>MCSGAST1</v>
      </c>
      <c r="S507" s="38"/>
      <c r="T507" s="45">
        <f t="shared" si="50"/>
        <v>45809</v>
      </c>
      <c r="U507" s="24" t="str">
        <f t="shared" si="44"/>
        <v/>
      </c>
      <c r="V507" s="14" t="s">
        <v>761</v>
      </c>
    </row>
    <row r="508" spans="2:22" s="46" customFormat="1" x14ac:dyDescent="0.25">
      <c r="B508" s="37" t="s">
        <v>25</v>
      </c>
      <c r="C508" s="38"/>
      <c r="D508" s="86" t="str">
        <f>INDEX(Cad_Natureza!$B$3:$C$52,MATCH('2025'!F508,Cad_Natureza!$C$3:$C$52,0),MATCH('2025'!D$2,Cad_Natureza!$B$3:$C$3,0))</f>
        <v>GAST1</v>
      </c>
      <c r="E508" s="84" t="s">
        <v>524</v>
      </c>
      <c r="F508" s="85" t="s">
        <v>742</v>
      </c>
      <c r="G508" s="86" t="s">
        <v>25</v>
      </c>
      <c r="H508" s="87">
        <v>45838</v>
      </c>
      <c r="I508" s="87"/>
      <c r="J508" s="79" t="s">
        <v>821</v>
      </c>
      <c r="K508" s="62">
        <v>-5</v>
      </c>
      <c r="L508" s="68">
        <f t="shared" si="51"/>
        <v>522.30999999999972</v>
      </c>
      <c r="M508" s="38"/>
      <c r="N508" s="44" t="str">
        <f t="shared" si="45"/>
        <v>MCSGAST1CPF - Desp. Lazer e Entretenimento - Bares</v>
      </c>
      <c r="O508" s="44" t="str">
        <f t="shared" si="46"/>
        <v>GAST1CPF - Desp. Lazer e Entretenimento - Bares</v>
      </c>
      <c r="P508" s="44" t="str">
        <f t="shared" si="47"/>
        <v>MCSGAST1CPF - Desp. Lazer e Entretenimento - Bares</v>
      </c>
      <c r="Q508" s="44" t="str">
        <f t="shared" si="48"/>
        <v>MCSGAST1</v>
      </c>
      <c r="R508" s="44" t="str">
        <f t="shared" si="49"/>
        <v>MCSGAST1</v>
      </c>
      <c r="S508" s="38"/>
      <c r="T508" s="45">
        <f t="shared" si="50"/>
        <v>45809</v>
      </c>
      <c r="U508" s="24" t="str">
        <f t="shared" si="44"/>
        <v/>
      </c>
      <c r="V508" s="14" t="s">
        <v>761</v>
      </c>
    </row>
    <row r="509" spans="2:22" s="46" customFormat="1" x14ac:dyDescent="0.25">
      <c r="B509" s="37" t="s">
        <v>25</v>
      </c>
      <c r="C509" s="38"/>
      <c r="D509" s="86" t="str">
        <f>INDEX(Cad_Natureza!$B$3:$C$52,MATCH('2025'!F509,Cad_Natureza!$C$3:$C$52,0),MATCH('2025'!D$2,Cad_Natureza!$B$3:$C$3,0))</f>
        <v>GAST1</v>
      </c>
      <c r="E509" s="84" t="s">
        <v>524</v>
      </c>
      <c r="F509" s="85" t="s">
        <v>742</v>
      </c>
      <c r="G509" s="86" t="s">
        <v>25</v>
      </c>
      <c r="H509" s="87">
        <v>45838</v>
      </c>
      <c r="I509" s="87"/>
      <c r="J509" s="79" t="s">
        <v>821</v>
      </c>
      <c r="K509" s="62">
        <v>-15</v>
      </c>
      <c r="L509" s="68">
        <f t="shared" si="51"/>
        <v>507.30999999999972</v>
      </c>
      <c r="M509" s="38"/>
      <c r="N509" s="44" t="str">
        <f t="shared" si="45"/>
        <v>MCSGAST1CPF - Desp. Lazer e Entretenimento - Bares</v>
      </c>
      <c r="O509" s="44" t="str">
        <f t="shared" si="46"/>
        <v>GAST1CPF - Desp. Lazer e Entretenimento - Bares</v>
      </c>
      <c r="P509" s="44" t="str">
        <f t="shared" si="47"/>
        <v>MCSGAST1CPF - Desp. Lazer e Entretenimento - Bares</v>
      </c>
      <c r="Q509" s="44" t="str">
        <f t="shared" si="48"/>
        <v>MCSGAST1</v>
      </c>
      <c r="R509" s="44" t="str">
        <f t="shared" si="49"/>
        <v>MCSGAST1</v>
      </c>
      <c r="S509" s="38"/>
      <c r="T509" s="45">
        <f t="shared" si="50"/>
        <v>45809</v>
      </c>
      <c r="U509" s="24" t="str">
        <f t="shared" si="44"/>
        <v/>
      </c>
      <c r="V509" s="14" t="s">
        <v>761</v>
      </c>
    </row>
    <row r="510" spans="2:22" s="46" customFormat="1" x14ac:dyDescent="0.25">
      <c r="B510" s="37" t="s">
        <v>25</v>
      </c>
      <c r="C510" s="38"/>
      <c r="D510" s="86" t="str">
        <f>INDEX(Cad_Natureza!$B$3:$C$52,MATCH('2025'!F510,Cad_Natureza!$C$3:$C$52,0),MATCH('2025'!D$2,Cad_Natureza!$B$3:$C$3,0))</f>
        <v>GAST1</v>
      </c>
      <c r="E510" s="84" t="s">
        <v>524</v>
      </c>
      <c r="F510" s="85" t="s">
        <v>742</v>
      </c>
      <c r="G510" s="86" t="s">
        <v>25</v>
      </c>
      <c r="H510" s="87">
        <v>45838</v>
      </c>
      <c r="I510" s="87"/>
      <c r="J510" s="79" t="s">
        <v>821</v>
      </c>
      <c r="K510" s="62">
        <v>-10</v>
      </c>
      <c r="L510" s="68">
        <f t="shared" si="51"/>
        <v>497.30999999999972</v>
      </c>
      <c r="M510" s="38"/>
      <c r="N510" s="44" t="str">
        <f t="shared" si="45"/>
        <v>MCSGAST1CPF - Desp. Lazer e Entretenimento - Bares</v>
      </c>
      <c r="O510" s="44" t="str">
        <f t="shared" si="46"/>
        <v>GAST1CPF - Desp. Lazer e Entretenimento - Bares</v>
      </c>
      <c r="P510" s="44" t="str">
        <f t="shared" si="47"/>
        <v>MCSGAST1CPF - Desp. Lazer e Entretenimento - Bares</v>
      </c>
      <c r="Q510" s="44" t="str">
        <f t="shared" si="48"/>
        <v>MCSGAST1</v>
      </c>
      <c r="R510" s="44" t="str">
        <f t="shared" si="49"/>
        <v>MCSGAST1</v>
      </c>
      <c r="S510" s="38"/>
      <c r="T510" s="45">
        <f t="shared" si="50"/>
        <v>45809</v>
      </c>
      <c r="U510" s="24" t="str">
        <f t="shared" si="44"/>
        <v/>
      </c>
      <c r="V510" s="14" t="s">
        <v>761</v>
      </c>
    </row>
    <row r="511" spans="2:22" s="46" customFormat="1" x14ac:dyDescent="0.25">
      <c r="B511" s="37" t="s">
        <v>25</v>
      </c>
      <c r="C511" s="38"/>
      <c r="D511" s="86" t="str">
        <f>INDEX(Cad_Natureza!$B$3:$C$52,MATCH('2025'!F511,Cad_Natureza!$C$3:$C$52,0),MATCH('2025'!D$2,Cad_Natureza!$B$3:$C$3,0))</f>
        <v>DESP4</v>
      </c>
      <c r="E511" s="84" t="s">
        <v>525</v>
      </c>
      <c r="F511" s="85" t="s">
        <v>753</v>
      </c>
      <c r="G511" s="86" t="s">
        <v>25</v>
      </c>
      <c r="H511" s="87">
        <v>45838</v>
      </c>
      <c r="I511" s="87"/>
      <c r="J511" s="79" t="s">
        <v>567</v>
      </c>
      <c r="K511" s="62">
        <v>-63.67</v>
      </c>
      <c r="L511" s="68">
        <f t="shared" si="51"/>
        <v>433.6399999999997</v>
      </c>
      <c r="M511" s="38"/>
      <c r="N511" s="44" t="str">
        <f t="shared" si="45"/>
        <v>MCSDESP4CPF - Desp. Moradia</v>
      </c>
      <c r="O511" s="44" t="str">
        <f t="shared" si="46"/>
        <v>DESP4CPF - Desp. Moradia</v>
      </c>
      <c r="P511" s="44" t="str">
        <f t="shared" si="47"/>
        <v>MCSDESP4CPF - Desp. Moradia</v>
      </c>
      <c r="Q511" s="44" t="str">
        <f t="shared" si="48"/>
        <v>MCSDESP4</v>
      </c>
      <c r="R511" s="44" t="str">
        <f t="shared" si="49"/>
        <v>MCSDESP4</v>
      </c>
      <c r="S511" s="38"/>
      <c r="T511" s="45">
        <f t="shared" si="50"/>
        <v>45809</v>
      </c>
      <c r="U511" s="24" t="str">
        <f t="shared" si="44"/>
        <v/>
      </c>
      <c r="V511" s="14" t="s">
        <v>761</v>
      </c>
    </row>
    <row r="512" spans="2:22" s="46" customFormat="1" x14ac:dyDescent="0.25">
      <c r="B512" s="37" t="s">
        <v>25</v>
      </c>
      <c r="C512" s="38"/>
      <c r="D512" s="86" t="str">
        <f>INDEX(Cad_Natureza!$B$3:$C$52,MATCH('2025'!F512,Cad_Natureza!$C$3:$C$52,0),MATCH('2025'!D$2,Cad_Natureza!$B$3:$C$3,0))</f>
        <v>PENS6</v>
      </c>
      <c r="E512" s="84" t="s">
        <v>526</v>
      </c>
      <c r="F512" s="85" t="s">
        <v>37</v>
      </c>
      <c r="G512" s="86" t="s">
        <v>25</v>
      </c>
      <c r="H512" s="87">
        <v>45838</v>
      </c>
      <c r="I512" s="87"/>
      <c r="J512" s="78" t="s">
        <v>196</v>
      </c>
      <c r="K512" s="80">
        <v>-12.56</v>
      </c>
      <c r="L512" s="68">
        <f t="shared" si="51"/>
        <v>421.0799999999997</v>
      </c>
      <c r="M512" s="38"/>
      <c r="N512" s="44" t="str">
        <f t="shared" si="45"/>
        <v>MCSPENS6CPF - Pensão - Farmácia e Saúde</v>
      </c>
      <c r="O512" s="44" t="str">
        <f t="shared" si="46"/>
        <v>PENS6CPF - Pensão - Farmácia e Saúde</v>
      </c>
      <c r="P512" s="44" t="str">
        <f t="shared" si="47"/>
        <v>MCSPENS6CPF - Pensão - Farmácia e Saúde</v>
      </c>
      <c r="Q512" s="44" t="str">
        <f t="shared" si="48"/>
        <v>MCSPENS6</v>
      </c>
      <c r="R512" s="44" t="str">
        <f t="shared" si="49"/>
        <v>MCSPENS6</v>
      </c>
      <c r="S512" s="38"/>
      <c r="T512" s="45">
        <f t="shared" si="50"/>
        <v>45809</v>
      </c>
      <c r="U512" s="24" t="str">
        <f t="shared" si="44"/>
        <v/>
      </c>
      <c r="V512" s="14" t="s">
        <v>731</v>
      </c>
    </row>
    <row r="513" spans="2:22" s="46" customFormat="1" x14ac:dyDescent="0.25">
      <c r="B513" s="37" t="s">
        <v>25</v>
      </c>
      <c r="C513" s="38"/>
      <c r="D513" s="86" t="str">
        <f>INDEX(Cad_Natureza!$B$3:$C$52,MATCH('2025'!F513,Cad_Natureza!$C$3:$C$52,0),MATCH('2025'!D$2,Cad_Natureza!$B$3:$C$3,0))</f>
        <v>OPF1</v>
      </c>
      <c r="E513" s="84" t="s">
        <v>527</v>
      </c>
      <c r="F513" s="85" t="s">
        <v>744</v>
      </c>
      <c r="G513" s="86" t="s">
        <v>25</v>
      </c>
      <c r="H513" s="87">
        <v>45838</v>
      </c>
      <c r="I513" s="87"/>
      <c r="J513" s="79" t="s">
        <v>564</v>
      </c>
      <c r="K513" s="62">
        <v>-115</v>
      </c>
      <c r="L513" s="68">
        <f t="shared" si="51"/>
        <v>306.0799999999997</v>
      </c>
      <c r="M513" s="38"/>
      <c r="N513" s="44" t="str">
        <f t="shared" si="45"/>
        <v>MCSOPF1CPF - Desp. Alimentação / Refeição</v>
      </c>
      <c r="O513" s="44" t="str">
        <f t="shared" si="46"/>
        <v>OPF1CPF - Desp. Alimentação / Refeição</v>
      </c>
      <c r="P513" s="44" t="str">
        <f t="shared" si="47"/>
        <v>MCSOPF1CPF - Desp. Alimentação / Refeição</v>
      </c>
      <c r="Q513" s="44" t="str">
        <f t="shared" si="48"/>
        <v>MCSOPF1</v>
      </c>
      <c r="R513" s="44" t="str">
        <f t="shared" si="49"/>
        <v>MCSOPF1</v>
      </c>
      <c r="S513" s="38"/>
      <c r="T513" s="45">
        <f t="shared" si="50"/>
        <v>45809</v>
      </c>
      <c r="U513" s="24" t="str">
        <f t="shared" si="44"/>
        <v/>
      </c>
      <c r="V513" s="14" t="s">
        <v>761</v>
      </c>
    </row>
    <row r="514" spans="2:22" s="46" customFormat="1" x14ac:dyDescent="0.25">
      <c r="B514" s="37" t="s">
        <v>25</v>
      </c>
      <c r="C514" s="38"/>
      <c r="D514" s="86" t="str">
        <f>INDEX(Cad_Natureza!$B$3:$C$52,MATCH('2025'!F514,Cad_Natureza!$C$3:$C$52,0),MATCH('2025'!D$2,Cad_Natureza!$B$3:$C$3,0))</f>
        <v>OPF2</v>
      </c>
      <c r="E514" s="84" t="s">
        <v>528</v>
      </c>
      <c r="F514" s="85" t="s">
        <v>741</v>
      </c>
      <c r="G514" s="86" t="s">
        <v>25</v>
      </c>
      <c r="H514" s="87">
        <v>45839</v>
      </c>
      <c r="I514" s="87"/>
      <c r="J514" s="79" t="s">
        <v>184</v>
      </c>
      <c r="K514" s="62">
        <v>-50</v>
      </c>
      <c r="L514" s="68">
        <f t="shared" si="51"/>
        <v>256.0799999999997</v>
      </c>
      <c r="M514" s="38"/>
      <c r="N514" s="44" t="str">
        <f t="shared" si="45"/>
        <v>MCSOPF2CPF - Desp. Transporte / Combustível</v>
      </c>
      <c r="O514" s="44" t="str">
        <f t="shared" si="46"/>
        <v>OPF2CPF - Desp. Transporte / Combustível</v>
      </c>
      <c r="P514" s="44" t="str">
        <f t="shared" si="47"/>
        <v>MCSOPF2CPF - Desp. Transporte / Combustível</v>
      </c>
      <c r="Q514" s="44" t="str">
        <f t="shared" si="48"/>
        <v>MCSOPF2</v>
      </c>
      <c r="R514" s="44" t="str">
        <f t="shared" si="49"/>
        <v>MCSOPF2</v>
      </c>
      <c r="S514" s="38"/>
      <c r="T514" s="45">
        <f t="shared" si="50"/>
        <v>45839</v>
      </c>
      <c r="U514" s="24" t="str">
        <f t="shared" si="44"/>
        <v/>
      </c>
      <c r="V514" s="14" t="s">
        <v>761</v>
      </c>
    </row>
    <row r="515" spans="2:22" s="46" customFormat="1" x14ac:dyDescent="0.25">
      <c r="B515" s="37" t="s">
        <v>25</v>
      </c>
      <c r="C515" s="38"/>
      <c r="D515" s="86" t="str">
        <f>INDEX(Cad_Natureza!$B$3:$C$52,MATCH('2025'!F515,Cad_Natureza!$C$3:$C$52,0),MATCH('2025'!D$2,Cad_Natureza!$B$3:$C$3,0))</f>
        <v>GAST1</v>
      </c>
      <c r="E515" s="84" t="s">
        <v>529</v>
      </c>
      <c r="F515" s="85" t="s">
        <v>742</v>
      </c>
      <c r="G515" s="86" t="s">
        <v>25</v>
      </c>
      <c r="H515" s="87">
        <v>45839</v>
      </c>
      <c r="I515" s="87"/>
      <c r="J515" s="79" t="s">
        <v>185</v>
      </c>
      <c r="K515" s="62">
        <v>-6</v>
      </c>
      <c r="L515" s="68">
        <f t="shared" si="51"/>
        <v>250.0799999999997</v>
      </c>
      <c r="M515" s="38"/>
      <c r="N515" s="44" t="str">
        <f t="shared" si="45"/>
        <v>MCSGAST1CPF - Desp. Lazer e Entretenimento - Bares</v>
      </c>
      <c r="O515" s="44" t="str">
        <f t="shared" si="46"/>
        <v>GAST1CPF - Desp. Lazer e Entretenimento - Bares</v>
      </c>
      <c r="P515" s="44" t="str">
        <f t="shared" si="47"/>
        <v>MCSGAST1CPF - Desp. Lazer e Entretenimento - Bares</v>
      </c>
      <c r="Q515" s="44" t="str">
        <f t="shared" si="48"/>
        <v>MCSGAST1</v>
      </c>
      <c r="R515" s="44" t="str">
        <f t="shared" si="49"/>
        <v>MCSGAST1</v>
      </c>
      <c r="S515" s="38"/>
      <c r="T515" s="45">
        <f t="shared" si="50"/>
        <v>45839</v>
      </c>
      <c r="U515" s="24" t="str">
        <f t="shared" ref="U515:U578" si="52">IF(I515="","",(1&amp;"/"&amp;MONTH(I515)&amp;"/"&amp;YEAR(I515))*1)</f>
        <v/>
      </c>
      <c r="V515" s="14" t="s">
        <v>761</v>
      </c>
    </row>
    <row r="516" spans="2:22" s="46" customFormat="1" x14ac:dyDescent="0.25">
      <c r="B516" s="37" t="s">
        <v>25</v>
      </c>
      <c r="C516" s="38"/>
      <c r="D516" s="86" t="str">
        <f>INDEX(Cad_Natureza!$B$3:$C$52,MATCH('2025'!F516,Cad_Natureza!$C$3:$C$52,0),MATCH('2025'!D$2,Cad_Natureza!$B$3:$C$3,0))</f>
        <v>GAST1</v>
      </c>
      <c r="E516" s="84" t="s">
        <v>530</v>
      </c>
      <c r="F516" s="85" t="s">
        <v>742</v>
      </c>
      <c r="G516" s="86" t="s">
        <v>25</v>
      </c>
      <c r="H516" s="87">
        <v>45840</v>
      </c>
      <c r="I516" s="87"/>
      <c r="J516" s="79" t="s">
        <v>185</v>
      </c>
      <c r="K516" s="62">
        <v>-6</v>
      </c>
      <c r="L516" s="68">
        <f t="shared" si="51"/>
        <v>244.0799999999997</v>
      </c>
      <c r="M516" s="38"/>
      <c r="N516" s="44" t="str">
        <f t="shared" si="45"/>
        <v>MCSGAST1CPF - Desp. Lazer e Entretenimento - Bares</v>
      </c>
      <c r="O516" s="44" t="str">
        <f t="shared" si="46"/>
        <v>GAST1CPF - Desp. Lazer e Entretenimento - Bares</v>
      </c>
      <c r="P516" s="44" t="str">
        <f t="shared" si="47"/>
        <v>MCSGAST1CPF - Desp. Lazer e Entretenimento - Bares</v>
      </c>
      <c r="Q516" s="44" t="str">
        <f t="shared" si="48"/>
        <v>MCSGAST1</v>
      </c>
      <c r="R516" s="44" t="str">
        <f t="shared" si="49"/>
        <v>MCSGAST1</v>
      </c>
      <c r="S516" s="38"/>
      <c r="T516" s="45">
        <f t="shared" si="50"/>
        <v>45839</v>
      </c>
      <c r="U516" s="24" t="str">
        <f t="shared" si="52"/>
        <v/>
      </c>
      <c r="V516" s="14" t="s">
        <v>761</v>
      </c>
    </row>
    <row r="517" spans="2:22" s="46" customFormat="1" x14ac:dyDescent="0.25">
      <c r="B517" s="37" t="s">
        <v>25</v>
      </c>
      <c r="C517" s="38"/>
      <c r="D517" s="86" t="str">
        <f>INDEX(Cad_Natureza!$B$3:$C$52,MATCH('2025'!F517,Cad_Natureza!$C$3:$C$52,0),MATCH('2025'!D$2,Cad_Natureza!$B$3:$C$3,0))</f>
        <v>GAST1</v>
      </c>
      <c r="E517" s="84" t="s">
        <v>530</v>
      </c>
      <c r="F517" s="85" t="s">
        <v>742</v>
      </c>
      <c r="G517" s="86" t="s">
        <v>25</v>
      </c>
      <c r="H517" s="87">
        <v>45840</v>
      </c>
      <c r="I517" s="87"/>
      <c r="J517" s="79" t="s">
        <v>185</v>
      </c>
      <c r="K517" s="62">
        <v>-3</v>
      </c>
      <c r="L517" s="68">
        <f t="shared" si="51"/>
        <v>241.0799999999997</v>
      </c>
      <c r="M517" s="38"/>
      <c r="N517" s="44" t="str">
        <f t="shared" si="45"/>
        <v>MCSGAST1CPF - Desp. Lazer e Entretenimento - Bares</v>
      </c>
      <c r="O517" s="44" t="str">
        <f t="shared" si="46"/>
        <v>GAST1CPF - Desp. Lazer e Entretenimento - Bares</v>
      </c>
      <c r="P517" s="44" t="str">
        <f t="shared" si="47"/>
        <v>MCSGAST1CPF - Desp. Lazer e Entretenimento - Bares</v>
      </c>
      <c r="Q517" s="44" t="str">
        <f t="shared" si="48"/>
        <v>MCSGAST1</v>
      </c>
      <c r="R517" s="44" t="str">
        <f t="shared" si="49"/>
        <v>MCSGAST1</v>
      </c>
      <c r="S517" s="38"/>
      <c r="T517" s="45">
        <f t="shared" si="50"/>
        <v>45839</v>
      </c>
      <c r="U517" s="24" t="str">
        <f t="shared" si="52"/>
        <v/>
      </c>
      <c r="V517" s="14" t="s">
        <v>761</v>
      </c>
    </row>
    <row r="518" spans="2:22" s="46" customFormat="1" x14ac:dyDescent="0.25">
      <c r="B518" s="37" t="s">
        <v>25</v>
      </c>
      <c r="C518" s="38"/>
      <c r="D518" s="86" t="str">
        <f>INDEX(Cad_Natureza!$B$3:$C$52,MATCH('2025'!F518,Cad_Natureza!$C$3:$C$52,0),MATCH('2025'!D$2,Cad_Natureza!$B$3:$C$3,0))</f>
        <v>GAST2</v>
      </c>
      <c r="E518" s="84" t="s">
        <v>531</v>
      </c>
      <c r="F518" s="85" t="s">
        <v>743</v>
      </c>
      <c r="G518" s="86" t="s">
        <v>25</v>
      </c>
      <c r="H518" s="87">
        <v>45840</v>
      </c>
      <c r="I518" s="87"/>
      <c r="J518" s="79" t="s">
        <v>180</v>
      </c>
      <c r="K518" s="62">
        <v>-31.5</v>
      </c>
      <c r="L518" s="68">
        <f t="shared" si="51"/>
        <v>209.5799999999997</v>
      </c>
      <c r="M518" s="38"/>
      <c r="N518" s="44" t="str">
        <f t="shared" si="45"/>
        <v>MCSGAST2CPF - Desp. Lazer e Entretenimento - Cigarro</v>
      </c>
      <c r="O518" s="44" t="str">
        <f t="shared" si="46"/>
        <v>GAST2CPF - Desp. Lazer e Entretenimento - Cigarro</v>
      </c>
      <c r="P518" s="44" t="str">
        <f t="shared" si="47"/>
        <v>MCSGAST2CPF - Desp. Lazer e Entretenimento - Cigarro</v>
      </c>
      <c r="Q518" s="44" t="str">
        <f t="shared" si="48"/>
        <v>MCSGAST2</v>
      </c>
      <c r="R518" s="44" t="str">
        <f t="shared" si="49"/>
        <v>MCSGAST2</v>
      </c>
      <c r="S518" s="38"/>
      <c r="T518" s="45">
        <f t="shared" si="50"/>
        <v>45839</v>
      </c>
      <c r="U518" s="24" t="str">
        <f t="shared" si="52"/>
        <v/>
      </c>
      <c r="V518" s="14" t="s">
        <v>761</v>
      </c>
    </row>
    <row r="519" spans="2:22" s="46" customFormat="1" x14ac:dyDescent="0.25">
      <c r="B519" s="37" t="s">
        <v>25</v>
      </c>
      <c r="C519" s="38"/>
      <c r="D519" s="86" t="str">
        <f>INDEX(Cad_Natureza!$B$3:$C$52,MATCH('2025'!F519,Cad_Natureza!$C$3:$C$52,0),MATCH('2025'!D$2,Cad_Natureza!$B$3:$C$3,0))</f>
        <v>FIN2</v>
      </c>
      <c r="E519" s="84" t="s">
        <v>532</v>
      </c>
      <c r="F519" s="85" t="s">
        <v>751</v>
      </c>
      <c r="G519" s="86" t="s">
        <v>25</v>
      </c>
      <c r="H519" s="87">
        <v>45840</v>
      </c>
      <c r="I519" s="87"/>
      <c r="J519" s="79" t="s">
        <v>188</v>
      </c>
      <c r="K519" s="62">
        <v>-28</v>
      </c>
      <c r="L519" s="68">
        <f t="shared" si="51"/>
        <v>181.5799999999997</v>
      </c>
      <c r="M519" s="38"/>
      <c r="N519" s="44" t="str">
        <f t="shared" si="45"/>
        <v>MCSFIN2CPF - Desp. Financeiras - Juros / Tarifas</v>
      </c>
      <c r="O519" s="44" t="str">
        <f t="shared" si="46"/>
        <v>FIN2CPF - Desp. Financeiras - Juros / Tarifas</v>
      </c>
      <c r="P519" s="44" t="str">
        <f t="shared" si="47"/>
        <v>MCSFIN2CPF - Desp. Financeiras - Juros / Tarifas</v>
      </c>
      <c r="Q519" s="44" t="str">
        <f t="shared" si="48"/>
        <v>MCSFIN2</v>
      </c>
      <c r="R519" s="44" t="str">
        <f t="shared" si="49"/>
        <v>MCSFIN2</v>
      </c>
      <c r="S519" s="38"/>
      <c r="T519" s="45">
        <f t="shared" si="50"/>
        <v>45839</v>
      </c>
      <c r="U519" s="24" t="str">
        <f t="shared" si="52"/>
        <v/>
      </c>
      <c r="V519" s="14" t="s">
        <v>761</v>
      </c>
    </row>
    <row r="520" spans="2:22" s="46" customFormat="1" x14ac:dyDescent="0.25">
      <c r="B520" s="37" t="s">
        <v>25</v>
      </c>
      <c r="C520" s="38"/>
      <c r="D520" s="86" t="str">
        <f>INDEX(Cad_Natureza!$B$3:$C$52,MATCH('2025'!F520,Cad_Natureza!$C$3:$C$52,0),MATCH('2025'!D$2,Cad_Natureza!$B$3:$C$3,0))</f>
        <v>OPF1</v>
      </c>
      <c r="E520" s="84" t="s">
        <v>533</v>
      </c>
      <c r="F520" s="85" t="s">
        <v>744</v>
      </c>
      <c r="G520" s="86" t="s">
        <v>25</v>
      </c>
      <c r="H520" s="87">
        <v>45841</v>
      </c>
      <c r="I520" s="87"/>
      <c r="J520" s="79" t="s">
        <v>459</v>
      </c>
      <c r="K520" s="62">
        <v>-2.5</v>
      </c>
      <c r="L520" s="68">
        <f t="shared" si="51"/>
        <v>179.0799999999997</v>
      </c>
      <c r="M520" s="38"/>
      <c r="N520" s="44" t="str">
        <f t="shared" si="45"/>
        <v>MCSOPF1CPF - Desp. Alimentação / Refeição</v>
      </c>
      <c r="O520" s="44" t="str">
        <f t="shared" si="46"/>
        <v>OPF1CPF - Desp. Alimentação / Refeição</v>
      </c>
      <c r="P520" s="44" t="str">
        <f t="shared" si="47"/>
        <v>MCSOPF1CPF - Desp. Alimentação / Refeição</v>
      </c>
      <c r="Q520" s="44" t="str">
        <f t="shared" si="48"/>
        <v>MCSOPF1</v>
      </c>
      <c r="R520" s="44" t="str">
        <f t="shared" si="49"/>
        <v>MCSOPF1</v>
      </c>
      <c r="S520" s="38"/>
      <c r="T520" s="45">
        <f t="shared" si="50"/>
        <v>45839</v>
      </c>
      <c r="U520" s="24" t="str">
        <f t="shared" si="52"/>
        <v/>
      </c>
      <c r="V520" s="14" t="s">
        <v>761</v>
      </c>
    </row>
    <row r="521" spans="2:22" s="46" customFormat="1" x14ac:dyDescent="0.25">
      <c r="B521" s="37" t="s">
        <v>25</v>
      </c>
      <c r="C521" s="38"/>
      <c r="D521" s="63" t="str">
        <f>INDEX(Cad_Natureza!$B$3:$C$52,MATCH('2025'!F521,Cad_Natureza!$C$3:$C$52,0),MATCH('2025'!D$2,Cad_Natureza!$B$3:$C$3,0))</f>
        <v>REC1</v>
      </c>
      <c r="E521" s="64" t="s">
        <v>534</v>
      </c>
      <c r="F521" s="65" t="s">
        <v>745</v>
      </c>
      <c r="G521" s="63" t="s">
        <v>25</v>
      </c>
      <c r="H521" s="66">
        <v>45841</v>
      </c>
      <c r="I521" s="66"/>
      <c r="J521" s="81" t="s">
        <v>34</v>
      </c>
      <c r="K521" s="82">
        <v>3500</v>
      </c>
      <c r="L521" s="68">
        <f t="shared" si="51"/>
        <v>3679.08</v>
      </c>
      <c r="M521" s="38"/>
      <c r="N521" s="44" t="str">
        <f t="shared" si="45"/>
        <v>MCSREC1CPF - Remun. Salário / Pró-Labore</v>
      </c>
      <c r="O521" s="44" t="str">
        <f t="shared" si="46"/>
        <v>REC1CPF - Remun. Salário / Pró-Labore</v>
      </c>
      <c r="P521" s="44" t="str">
        <f t="shared" si="47"/>
        <v>MCSREC1CPF - Remun. Salário / Pró-Labore</v>
      </c>
      <c r="Q521" s="44" t="str">
        <f t="shared" si="48"/>
        <v>MCSREC1</v>
      </c>
      <c r="R521" s="44" t="str">
        <f t="shared" si="49"/>
        <v>MCSREC1</v>
      </c>
      <c r="S521" s="38"/>
      <c r="T521" s="45">
        <f t="shared" si="50"/>
        <v>45839</v>
      </c>
      <c r="U521" s="24" t="str">
        <f t="shared" si="52"/>
        <v/>
      </c>
      <c r="V521" s="14" t="s">
        <v>761</v>
      </c>
    </row>
    <row r="522" spans="2:22" s="46" customFormat="1" x14ac:dyDescent="0.25">
      <c r="B522" s="37" t="s">
        <v>25</v>
      </c>
      <c r="C522" s="38"/>
      <c r="D522" s="86" t="str">
        <f>INDEX(Cad_Natureza!$B$3:$C$52,MATCH('2025'!F522,Cad_Natureza!$C$3:$C$52,0),MATCH('2025'!D$2,Cad_Natureza!$B$3:$C$3,0))</f>
        <v>OPF2</v>
      </c>
      <c r="E522" s="84" t="s">
        <v>535</v>
      </c>
      <c r="F522" s="85" t="s">
        <v>741</v>
      </c>
      <c r="G522" s="86" t="s">
        <v>25</v>
      </c>
      <c r="H522" s="87">
        <v>45841</v>
      </c>
      <c r="I522" s="87"/>
      <c r="J522" s="79" t="s">
        <v>184</v>
      </c>
      <c r="K522" s="62">
        <v>-50</v>
      </c>
      <c r="L522" s="68">
        <f t="shared" si="51"/>
        <v>3629.08</v>
      </c>
      <c r="M522" s="38"/>
      <c r="N522" s="44" t="str">
        <f t="shared" si="45"/>
        <v>MCSOPF2CPF - Desp. Transporte / Combustível</v>
      </c>
      <c r="O522" s="44" t="str">
        <f t="shared" si="46"/>
        <v>OPF2CPF - Desp. Transporte / Combustível</v>
      </c>
      <c r="P522" s="44" t="str">
        <f t="shared" si="47"/>
        <v>MCSOPF2CPF - Desp. Transporte / Combustível</v>
      </c>
      <c r="Q522" s="44" t="str">
        <f t="shared" si="48"/>
        <v>MCSOPF2</v>
      </c>
      <c r="R522" s="44" t="str">
        <f t="shared" si="49"/>
        <v>MCSOPF2</v>
      </c>
      <c r="S522" s="38"/>
      <c r="T522" s="45">
        <f t="shared" si="50"/>
        <v>45839</v>
      </c>
      <c r="U522" s="24" t="str">
        <f t="shared" si="52"/>
        <v/>
      </c>
      <c r="V522" s="14" t="s">
        <v>761</v>
      </c>
    </row>
    <row r="523" spans="2:22" s="46" customFormat="1" x14ac:dyDescent="0.25">
      <c r="B523" s="37" t="s">
        <v>25</v>
      </c>
      <c r="C523" s="38"/>
      <c r="D523" s="86" t="str">
        <f>INDEX(Cad_Natureza!$B$3:$C$52,MATCH('2025'!F523,Cad_Natureza!$C$3:$C$52,0),MATCH('2025'!D$2,Cad_Natureza!$B$3:$C$3,0))</f>
        <v>GAST1</v>
      </c>
      <c r="E523" s="84" t="s">
        <v>536</v>
      </c>
      <c r="F523" s="85" t="s">
        <v>742</v>
      </c>
      <c r="G523" s="86" t="s">
        <v>25</v>
      </c>
      <c r="H523" s="87">
        <v>45841</v>
      </c>
      <c r="I523" s="87"/>
      <c r="J523" s="79" t="s">
        <v>185</v>
      </c>
      <c r="K523" s="62">
        <v>-9</v>
      </c>
      <c r="L523" s="68">
        <f t="shared" si="51"/>
        <v>3620.08</v>
      </c>
      <c r="M523" s="38"/>
      <c r="N523" s="44" t="str">
        <f t="shared" si="45"/>
        <v>MCSGAST1CPF - Desp. Lazer e Entretenimento - Bares</v>
      </c>
      <c r="O523" s="44" t="str">
        <f t="shared" si="46"/>
        <v>GAST1CPF - Desp. Lazer e Entretenimento - Bares</v>
      </c>
      <c r="P523" s="44" t="str">
        <f t="shared" si="47"/>
        <v>MCSGAST1CPF - Desp. Lazer e Entretenimento - Bares</v>
      </c>
      <c r="Q523" s="44" t="str">
        <f t="shared" si="48"/>
        <v>MCSGAST1</v>
      </c>
      <c r="R523" s="44" t="str">
        <f t="shared" si="49"/>
        <v>MCSGAST1</v>
      </c>
      <c r="S523" s="38"/>
      <c r="T523" s="45">
        <f t="shared" si="50"/>
        <v>45839</v>
      </c>
      <c r="U523" s="24" t="str">
        <f t="shared" si="52"/>
        <v/>
      </c>
      <c r="V523" s="14" t="s">
        <v>761</v>
      </c>
    </row>
    <row r="524" spans="2:22" s="46" customFormat="1" x14ac:dyDescent="0.25">
      <c r="B524" s="37" t="s">
        <v>25</v>
      </c>
      <c r="C524" s="38"/>
      <c r="D524" s="86" t="str">
        <f>INDEX(Cad_Natureza!$B$3:$C$52,MATCH('2025'!F524,Cad_Natureza!$C$3:$C$52,0),MATCH('2025'!D$2,Cad_Natureza!$B$3:$C$3,0))</f>
        <v>GAST1</v>
      </c>
      <c r="E524" s="84" t="s">
        <v>537</v>
      </c>
      <c r="F524" s="85" t="s">
        <v>742</v>
      </c>
      <c r="G524" s="86" t="s">
        <v>25</v>
      </c>
      <c r="H524" s="87">
        <v>45841</v>
      </c>
      <c r="I524" s="87"/>
      <c r="J524" s="79" t="s">
        <v>185</v>
      </c>
      <c r="K524" s="62">
        <v>-8</v>
      </c>
      <c r="L524" s="68">
        <f t="shared" si="51"/>
        <v>3612.08</v>
      </c>
      <c r="M524" s="38"/>
      <c r="N524" s="44" t="str">
        <f t="shared" si="45"/>
        <v>MCSGAST1CPF - Desp. Lazer e Entretenimento - Bares</v>
      </c>
      <c r="O524" s="44" t="str">
        <f t="shared" si="46"/>
        <v>GAST1CPF - Desp. Lazer e Entretenimento - Bares</v>
      </c>
      <c r="P524" s="44" t="str">
        <f t="shared" si="47"/>
        <v>MCSGAST1CPF - Desp. Lazer e Entretenimento - Bares</v>
      </c>
      <c r="Q524" s="44" t="str">
        <f t="shared" si="48"/>
        <v>MCSGAST1</v>
      </c>
      <c r="R524" s="44" t="str">
        <f t="shared" si="49"/>
        <v>MCSGAST1</v>
      </c>
      <c r="S524" s="38"/>
      <c r="T524" s="45">
        <f t="shared" si="50"/>
        <v>45839</v>
      </c>
      <c r="U524" s="24" t="str">
        <f t="shared" si="52"/>
        <v/>
      </c>
      <c r="V524" s="14" t="s">
        <v>761</v>
      </c>
    </row>
    <row r="525" spans="2:22" s="46" customFormat="1" x14ac:dyDescent="0.25">
      <c r="B525" s="37" t="s">
        <v>25</v>
      </c>
      <c r="C525" s="38"/>
      <c r="D525" s="86" t="str">
        <f>INDEX(Cad_Natureza!$B$3:$C$52,MATCH('2025'!F525,Cad_Natureza!$C$3:$C$52,0),MATCH('2025'!D$2,Cad_Natureza!$B$3:$C$3,0))</f>
        <v>GAST1</v>
      </c>
      <c r="E525" s="84" t="s">
        <v>537</v>
      </c>
      <c r="F525" s="85" t="s">
        <v>742</v>
      </c>
      <c r="G525" s="86" t="s">
        <v>25</v>
      </c>
      <c r="H525" s="87">
        <v>45841</v>
      </c>
      <c r="I525" s="87"/>
      <c r="J525" s="79" t="s">
        <v>185</v>
      </c>
      <c r="K525" s="62">
        <v>-8</v>
      </c>
      <c r="L525" s="68">
        <f t="shared" si="51"/>
        <v>3604.08</v>
      </c>
      <c r="M525" s="38"/>
      <c r="N525" s="44" t="str">
        <f t="shared" si="45"/>
        <v>MCSGAST1CPF - Desp. Lazer e Entretenimento - Bares</v>
      </c>
      <c r="O525" s="44" t="str">
        <f t="shared" si="46"/>
        <v>GAST1CPF - Desp. Lazer e Entretenimento - Bares</v>
      </c>
      <c r="P525" s="44" t="str">
        <f t="shared" si="47"/>
        <v>MCSGAST1CPF - Desp. Lazer e Entretenimento - Bares</v>
      </c>
      <c r="Q525" s="44" t="str">
        <f t="shared" si="48"/>
        <v>MCSGAST1</v>
      </c>
      <c r="R525" s="44" t="str">
        <f t="shared" si="49"/>
        <v>MCSGAST1</v>
      </c>
      <c r="S525" s="38"/>
      <c r="T525" s="45">
        <f t="shared" si="50"/>
        <v>45839</v>
      </c>
      <c r="U525" s="24" t="str">
        <f t="shared" si="52"/>
        <v/>
      </c>
      <c r="V525" s="14" t="s">
        <v>761</v>
      </c>
    </row>
    <row r="526" spans="2:22" s="46" customFormat="1" x14ac:dyDescent="0.25">
      <c r="B526" s="37" t="s">
        <v>25</v>
      </c>
      <c r="C526" s="38"/>
      <c r="D526" s="86" t="str">
        <f>INDEX(Cad_Natureza!$B$3:$C$52,MATCH('2025'!F526,Cad_Natureza!$C$3:$C$52,0),MATCH('2025'!D$2,Cad_Natureza!$B$3:$C$3,0))</f>
        <v>DESP2</v>
      </c>
      <c r="E526" s="84" t="s">
        <v>538</v>
      </c>
      <c r="F526" s="85" t="s">
        <v>739</v>
      </c>
      <c r="G526" s="86" t="s">
        <v>25</v>
      </c>
      <c r="H526" s="87">
        <v>45842</v>
      </c>
      <c r="I526" s="87"/>
      <c r="J526" s="79" t="s">
        <v>455</v>
      </c>
      <c r="K526" s="62">
        <v>-118.26</v>
      </c>
      <c r="L526" s="68">
        <f t="shared" si="51"/>
        <v>3485.8199999999997</v>
      </c>
      <c r="M526" s="38"/>
      <c r="N526" s="44" t="str">
        <f t="shared" ref="N526:N589" si="53">B526&amp;D526&amp;F526</f>
        <v>MCSDESP2CPF - Desp. Telefone / Internet</v>
      </c>
      <c r="O526" s="44" t="str">
        <f t="shared" ref="O526:O589" si="54">D526&amp;F526</f>
        <v>DESP2CPF - Desp. Telefone / Internet</v>
      </c>
      <c r="P526" s="44" t="str">
        <f t="shared" ref="P526:P589" si="55">"MCS"&amp;D526&amp;F526</f>
        <v>MCSDESP2CPF - Desp. Telefone / Internet</v>
      </c>
      <c r="Q526" s="44" t="str">
        <f t="shared" ref="Q526:Q589" si="56">"MCS"&amp;D526</f>
        <v>MCSDESP2</v>
      </c>
      <c r="R526" s="44" t="str">
        <f t="shared" ref="R526:R589" si="57">B526&amp;D526</f>
        <v>MCSDESP2</v>
      </c>
      <c r="S526" s="38"/>
      <c r="T526" s="45">
        <f t="shared" ref="T526:T589" si="58">(1&amp;"/"&amp;MONTH(H526)&amp;"/"&amp;YEAR(H526))*1</f>
        <v>45839</v>
      </c>
      <c r="U526" s="24" t="str">
        <f t="shared" si="52"/>
        <v/>
      </c>
      <c r="V526" s="14" t="s">
        <v>761</v>
      </c>
    </row>
    <row r="527" spans="2:22" s="46" customFormat="1" x14ac:dyDescent="0.25">
      <c r="B527" s="37" t="s">
        <v>25</v>
      </c>
      <c r="C527" s="38"/>
      <c r="D527" s="86" t="str">
        <f>INDEX(Cad_Natureza!$B$3:$C$52,MATCH('2025'!F527,Cad_Natureza!$C$3:$C$52,0),MATCH('2025'!D$2,Cad_Natureza!$B$3:$C$3,0))</f>
        <v>GAST2</v>
      </c>
      <c r="E527" s="84" t="s">
        <v>539</v>
      </c>
      <c r="F527" s="85" t="s">
        <v>743</v>
      </c>
      <c r="G527" s="86" t="s">
        <v>25</v>
      </c>
      <c r="H527" s="87">
        <v>45842</v>
      </c>
      <c r="I527" s="87"/>
      <c r="J527" s="79" t="s">
        <v>180</v>
      </c>
      <c r="K527" s="62">
        <v>-35</v>
      </c>
      <c r="L527" s="68">
        <f t="shared" si="51"/>
        <v>3450.8199999999997</v>
      </c>
      <c r="M527" s="38"/>
      <c r="N527" s="44" t="str">
        <f t="shared" si="53"/>
        <v>MCSGAST2CPF - Desp. Lazer e Entretenimento - Cigarro</v>
      </c>
      <c r="O527" s="44" t="str">
        <f t="shared" si="54"/>
        <v>GAST2CPF - Desp. Lazer e Entretenimento - Cigarro</v>
      </c>
      <c r="P527" s="44" t="str">
        <f t="shared" si="55"/>
        <v>MCSGAST2CPF - Desp. Lazer e Entretenimento - Cigarro</v>
      </c>
      <c r="Q527" s="44" t="str">
        <f t="shared" si="56"/>
        <v>MCSGAST2</v>
      </c>
      <c r="R527" s="44" t="str">
        <f t="shared" si="57"/>
        <v>MCSGAST2</v>
      </c>
      <c r="S527" s="38"/>
      <c r="T527" s="45">
        <f t="shared" si="58"/>
        <v>45839</v>
      </c>
      <c r="U527" s="24" t="str">
        <f t="shared" si="52"/>
        <v/>
      </c>
      <c r="V527" s="14" t="s">
        <v>761</v>
      </c>
    </row>
    <row r="528" spans="2:22" s="46" customFormat="1" x14ac:dyDescent="0.25">
      <c r="B528" s="37" t="s">
        <v>25</v>
      </c>
      <c r="C528" s="38"/>
      <c r="D528" s="86" t="str">
        <f>INDEX(Cad_Natureza!$B$3:$C$52,MATCH('2025'!F528,Cad_Natureza!$C$3:$C$52,0),MATCH('2025'!D$2,Cad_Natureza!$B$3:$C$3,0))</f>
        <v>GAST1</v>
      </c>
      <c r="E528" s="84" t="s">
        <v>540</v>
      </c>
      <c r="F528" s="85" t="s">
        <v>742</v>
      </c>
      <c r="G528" s="86" t="s">
        <v>25</v>
      </c>
      <c r="H528" s="87">
        <v>45842</v>
      </c>
      <c r="I528" s="87"/>
      <c r="J528" s="79" t="s">
        <v>185</v>
      </c>
      <c r="K528" s="62">
        <v>-13</v>
      </c>
      <c r="L528" s="68">
        <f t="shared" si="51"/>
        <v>3437.8199999999997</v>
      </c>
      <c r="M528" s="38"/>
      <c r="N528" s="44" t="str">
        <f t="shared" si="53"/>
        <v>MCSGAST1CPF - Desp. Lazer e Entretenimento - Bares</v>
      </c>
      <c r="O528" s="44" t="str">
        <f t="shared" si="54"/>
        <v>GAST1CPF - Desp. Lazer e Entretenimento - Bares</v>
      </c>
      <c r="P528" s="44" t="str">
        <f t="shared" si="55"/>
        <v>MCSGAST1CPF - Desp. Lazer e Entretenimento - Bares</v>
      </c>
      <c r="Q528" s="44" t="str">
        <f t="shared" si="56"/>
        <v>MCSGAST1</v>
      </c>
      <c r="R528" s="44" t="str">
        <f t="shared" si="57"/>
        <v>MCSGAST1</v>
      </c>
      <c r="S528" s="38"/>
      <c r="T528" s="45">
        <f t="shared" si="58"/>
        <v>45839</v>
      </c>
      <c r="U528" s="24" t="str">
        <f t="shared" si="52"/>
        <v/>
      </c>
      <c r="V528" s="14" t="s">
        <v>761</v>
      </c>
    </row>
    <row r="529" spans="2:22" s="46" customFormat="1" x14ac:dyDescent="0.25">
      <c r="B529" s="37" t="s">
        <v>25</v>
      </c>
      <c r="C529" s="38"/>
      <c r="D529" s="86" t="str">
        <f>INDEX(Cad_Natureza!$B$3:$C$52,MATCH('2025'!F529,Cad_Natureza!$C$3:$C$52,0),MATCH('2025'!D$2,Cad_Natureza!$B$3:$C$3,0))</f>
        <v>GAST1</v>
      </c>
      <c r="E529" s="84" t="s">
        <v>541</v>
      </c>
      <c r="F529" s="85" t="s">
        <v>742</v>
      </c>
      <c r="G529" s="86" t="s">
        <v>25</v>
      </c>
      <c r="H529" s="87">
        <v>45842</v>
      </c>
      <c r="I529" s="87"/>
      <c r="J529" s="79" t="s">
        <v>180</v>
      </c>
      <c r="K529" s="62">
        <v>-23</v>
      </c>
      <c r="L529" s="68">
        <f t="shared" si="51"/>
        <v>3414.8199999999997</v>
      </c>
      <c r="M529" s="38"/>
      <c r="N529" s="44" t="str">
        <f t="shared" si="53"/>
        <v>MCSGAST1CPF - Desp. Lazer e Entretenimento - Bares</v>
      </c>
      <c r="O529" s="44" t="str">
        <f t="shared" si="54"/>
        <v>GAST1CPF - Desp. Lazer e Entretenimento - Bares</v>
      </c>
      <c r="P529" s="44" t="str">
        <f t="shared" si="55"/>
        <v>MCSGAST1CPF - Desp. Lazer e Entretenimento - Bares</v>
      </c>
      <c r="Q529" s="44" t="str">
        <f t="shared" si="56"/>
        <v>MCSGAST1</v>
      </c>
      <c r="R529" s="44" t="str">
        <f t="shared" si="57"/>
        <v>MCSGAST1</v>
      </c>
      <c r="S529" s="38"/>
      <c r="T529" s="45">
        <f t="shared" si="58"/>
        <v>45839</v>
      </c>
      <c r="U529" s="24" t="str">
        <f t="shared" si="52"/>
        <v/>
      </c>
      <c r="V529" s="14" t="s">
        <v>761</v>
      </c>
    </row>
    <row r="530" spans="2:22" s="46" customFormat="1" x14ac:dyDescent="0.25">
      <c r="B530" s="37" t="s">
        <v>25</v>
      </c>
      <c r="C530" s="38"/>
      <c r="D530" s="86" t="str">
        <f>INDEX(Cad_Natureza!$B$3:$C$52,MATCH('2025'!F530,Cad_Natureza!$C$3:$C$52,0),MATCH('2025'!D$2,Cad_Natureza!$B$3:$C$3,0))</f>
        <v>GAST1</v>
      </c>
      <c r="E530" s="84" t="s">
        <v>542</v>
      </c>
      <c r="F530" s="85" t="s">
        <v>742</v>
      </c>
      <c r="G530" s="86" t="s">
        <v>25</v>
      </c>
      <c r="H530" s="87">
        <v>45845</v>
      </c>
      <c r="I530" s="87"/>
      <c r="J530" s="79" t="s">
        <v>185</v>
      </c>
      <c r="K530" s="62">
        <v>-5</v>
      </c>
      <c r="L530" s="68">
        <f t="shared" si="51"/>
        <v>3409.8199999999997</v>
      </c>
      <c r="M530" s="38"/>
      <c r="N530" s="44" t="str">
        <f t="shared" si="53"/>
        <v>MCSGAST1CPF - Desp. Lazer e Entretenimento - Bares</v>
      </c>
      <c r="O530" s="44" t="str">
        <f t="shared" si="54"/>
        <v>GAST1CPF - Desp. Lazer e Entretenimento - Bares</v>
      </c>
      <c r="P530" s="44" t="str">
        <f t="shared" si="55"/>
        <v>MCSGAST1CPF - Desp. Lazer e Entretenimento - Bares</v>
      </c>
      <c r="Q530" s="44" t="str">
        <f t="shared" si="56"/>
        <v>MCSGAST1</v>
      </c>
      <c r="R530" s="44" t="str">
        <f t="shared" si="57"/>
        <v>MCSGAST1</v>
      </c>
      <c r="S530" s="38"/>
      <c r="T530" s="45">
        <f t="shared" si="58"/>
        <v>45839</v>
      </c>
      <c r="U530" s="24" t="str">
        <f t="shared" si="52"/>
        <v/>
      </c>
      <c r="V530" s="14" t="s">
        <v>761</v>
      </c>
    </row>
    <row r="531" spans="2:22" s="46" customFormat="1" x14ac:dyDescent="0.25">
      <c r="B531" s="37" t="s">
        <v>25</v>
      </c>
      <c r="C531" s="38"/>
      <c r="D531" s="86" t="str">
        <f>INDEX(Cad_Natureza!$B$3:$C$52,MATCH('2025'!F531,Cad_Natureza!$C$3:$C$52,0),MATCH('2025'!D$2,Cad_Natureza!$B$3:$C$3,0))</f>
        <v>GAST1</v>
      </c>
      <c r="E531" s="84" t="s">
        <v>542</v>
      </c>
      <c r="F531" s="85" t="s">
        <v>742</v>
      </c>
      <c r="G531" s="86" t="s">
        <v>25</v>
      </c>
      <c r="H531" s="87">
        <v>45845</v>
      </c>
      <c r="I531" s="87"/>
      <c r="J531" s="79" t="s">
        <v>185</v>
      </c>
      <c r="K531" s="62">
        <v>-5</v>
      </c>
      <c r="L531" s="68">
        <f t="shared" si="51"/>
        <v>3404.8199999999997</v>
      </c>
      <c r="M531" s="38"/>
      <c r="N531" s="44" t="str">
        <f t="shared" si="53"/>
        <v>MCSGAST1CPF - Desp. Lazer e Entretenimento - Bares</v>
      </c>
      <c r="O531" s="44" t="str">
        <f t="shared" si="54"/>
        <v>GAST1CPF - Desp. Lazer e Entretenimento - Bares</v>
      </c>
      <c r="P531" s="44" t="str">
        <f t="shared" si="55"/>
        <v>MCSGAST1CPF - Desp. Lazer e Entretenimento - Bares</v>
      </c>
      <c r="Q531" s="44" t="str">
        <f t="shared" si="56"/>
        <v>MCSGAST1</v>
      </c>
      <c r="R531" s="44" t="str">
        <f t="shared" si="57"/>
        <v>MCSGAST1</v>
      </c>
      <c r="S531" s="38"/>
      <c r="T531" s="45">
        <f t="shared" si="58"/>
        <v>45839</v>
      </c>
      <c r="U531" s="24" t="str">
        <f t="shared" si="52"/>
        <v/>
      </c>
      <c r="V531" s="14" t="s">
        <v>761</v>
      </c>
    </row>
    <row r="532" spans="2:22" s="46" customFormat="1" x14ac:dyDescent="0.25">
      <c r="B532" s="37" t="s">
        <v>25</v>
      </c>
      <c r="C532" s="38"/>
      <c r="D532" s="86" t="str">
        <f>INDEX(Cad_Natureza!$B$3:$C$52,MATCH('2025'!F532,Cad_Natureza!$C$3:$C$52,0),MATCH('2025'!D$2,Cad_Natureza!$B$3:$C$3,0))</f>
        <v>GAST1</v>
      </c>
      <c r="E532" s="84" t="s">
        <v>543</v>
      </c>
      <c r="F532" s="85" t="s">
        <v>742</v>
      </c>
      <c r="G532" s="86" t="s">
        <v>25</v>
      </c>
      <c r="H532" s="87">
        <v>45845</v>
      </c>
      <c r="I532" s="87"/>
      <c r="J532" s="79" t="s">
        <v>185</v>
      </c>
      <c r="K532" s="62">
        <v>-15</v>
      </c>
      <c r="L532" s="68">
        <f t="shared" si="51"/>
        <v>3389.8199999999997</v>
      </c>
      <c r="M532" s="38"/>
      <c r="N532" s="44" t="str">
        <f t="shared" si="53"/>
        <v>MCSGAST1CPF - Desp. Lazer e Entretenimento - Bares</v>
      </c>
      <c r="O532" s="44" t="str">
        <f t="shared" si="54"/>
        <v>GAST1CPF - Desp. Lazer e Entretenimento - Bares</v>
      </c>
      <c r="P532" s="44" t="str">
        <f t="shared" si="55"/>
        <v>MCSGAST1CPF - Desp. Lazer e Entretenimento - Bares</v>
      </c>
      <c r="Q532" s="44" t="str">
        <f t="shared" si="56"/>
        <v>MCSGAST1</v>
      </c>
      <c r="R532" s="44" t="str">
        <f t="shared" si="57"/>
        <v>MCSGAST1</v>
      </c>
      <c r="S532" s="38"/>
      <c r="T532" s="45">
        <f t="shared" si="58"/>
        <v>45839</v>
      </c>
      <c r="U532" s="24" t="str">
        <f t="shared" si="52"/>
        <v/>
      </c>
      <c r="V532" s="14" t="s">
        <v>761</v>
      </c>
    </row>
    <row r="533" spans="2:22" s="46" customFormat="1" x14ac:dyDescent="0.25">
      <c r="B533" s="37" t="s">
        <v>25</v>
      </c>
      <c r="C533" s="38"/>
      <c r="D533" s="86" t="str">
        <f>INDEX(Cad_Natureza!$B$3:$C$52,MATCH('2025'!F533,Cad_Natureza!$C$3:$C$52,0),MATCH('2025'!D$2,Cad_Natureza!$B$3:$C$3,0))</f>
        <v>GAST1</v>
      </c>
      <c r="E533" s="84" t="s">
        <v>543</v>
      </c>
      <c r="F533" s="85" t="s">
        <v>742</v>
      </c>
      <c r="G533" s="86" t="s">
        <v>25</v>
      </c>
      <c r="H533" s="87">
        <v>45845</v>
      </c>
      <c r="I533" s="87"/>
      <c r="J533" s="79" t="s">
        <v>185</v>
      </c>
      <c r="K533" s="62">
        <v>-5.5</v>
      </c>
      <c r="L533" s="68">
        <f t="shared" si="51"/>
        <v>3384.3199999999997</v>
      </c>
      <c r="M533" s="38"/>
      <c r="N533" s="44" t="str">
        <f t="shared" si="53"/>
        <v>MCSGAST1CPF - Desp. Lazer e Entretenimento - Bares</v>
      </c>
      <c r="O533" s="44" t="str">
        <f t="shared" si="54"/>
        <v>GAST1CPF - Desp. Lazer e Entretenimento - Bares</v>
      </c>
      <c r="P533" s="44" t="str">
        <f t="shared" si="55"/>
        <v>MCSGAST1CPF - Desp. Lazer e Entretenimento - Bares</v>
      </c>
      <c r="Q533" s="44" t="str">
        <f t="shared" si="56"/>
        <v>MCSGAST1</v>
      </c>
      <c r="R533" s="44" t="str">
        <f t="shared" si="57"/>
        <v>MCSGAST1</v>
      </c>
      <c r="S533" s="38"/>
      <c r="T533" s="45">
        <f t="shared" si="58"/>
        <v>45839</v>
      </c>
      <c r="U533" s="24" t="str">
        <f t="shared" si="52"/>
        <v/>
      </c>
      <c r="V533" s="14" t="s">
        <v>761</v>
      </c>
    </row>
    <row r="534" spans="2:22" s="46" customFormat="1" x14ac:dyDescent="0.25">
      <c r="B534" s="37" t="s">
        <v>25</v>
      </c>
      <c r="C534" s="38"/>
      <c r="D534" s="86" t="str">
        <f>INDEX(Cad_Natureza!$B$3:$C$52,MATCH('2025'!F534,Cad_Natureza!$C$3:$C$52,0),MATCH('2025'!D$2,Cad_Natureza!$B$3:$C$3,0))</f>
        <v>GAST1</v>
      </c>
      <c r="E534" s="84" t="s">
        <v>543</v>
      </c>
      <c r="F534" s="85" t="s">
        <v>742</v>
      </c>
      <c r="G534" s="86" t="s">
        <v>25</v>
      </c>
      <c r="H534" s="87">
        <v>45845</v>
      </c>
      <c r="I534" s="87"/>
      <c r="J534" s="79" t="s">
        <v>185</v>
      </c>
      <c r="K534" s="62">
        <v>-11</v>
      </c>
      <c r="L534" s="68">
        <f t="shared" si="51"/>
        <v>3373.3199999999997</v>
      </c>
      <c r="M534" s="38"/>
      <c r="N534" s="44" t="str">
        <f t="shared" si="53"/>
        <v>MCSGAST1CPF - Desp. Lazer e Entretenimento - Bares</v>
      </c>
      <c r="O534" s="44" t="str">
        <f t="shared" si="54"/>
        <v>GAST1CPF - Desp. Lazer e Entretenimento - Bares</v>
      </c>
      <c r="P534" s="44" t="str">
        <f t="shared" si="55"/>
        <v>MCSGAST1CPF - Desp. Lazer e Entretenimento - Bares</v>
      </c>
      <c r="Q534" s="44" t="str">
        <f t="shared" si="56"/>
        <v>MCSGAST1</v>
      </c>
      <c r="R534" s="44" t="str">
        <f t="shared" si="57"/>
        <v>MCSGAST1</v>
      </c>
      <c r="S534" s="38"/>
      <c r="T534" s="45">
        <f t="shared" si="58"/>
        <v>45839</v>
      </c>
      <c r="U534" s="24" t="str">
        <f t="shared" si="52"/>
        <v/>
      </c>
      <c r="V534" s="14" t="s">
        <v>761</v>
      </c>
    </row>
    <row r="535" spans="2:22" s="46" customFormat="1" x14ac:dyDescent="0.25">
      <c r="B535" s="37" t="s">
        <v>25</v>
      </c>
      <c r="C535" s="38"/>
      <c r="D535" s="86" t="str">
        <f>INDEX(Cad_Natureza!$B$3:$C$52,MATCH('2025'!F535,Cad_Natureza!$C$3:$C$52,0),MATCH('2025'!D$2,Cad_Natureza!$B$3:$C$3,0))</f>
        <v>GAST1</v>
      </c>
      <c r="E535" s="84" t="s">
        <v>543</v>
      </c>
      <c r="F535" s="85" t="s">
        <v>742</v>
      </c>
      <c r="G535" s="86" t="s">
        <v>25</v>
      </c>
      <c r="H535" s="87">
        <v>45845</v>
      </c>
      <c r="I535" s="87"/>
      <c r="J535" s="79" t="s">
        <v>185</v>
      </c>
      <c r="K535" s="62">
        <v>-5.5</v>
      </c>
      <c r="L535" s="68">
        <f t="shared" si="51"/>
        <v>3367.8199999999997</v>
      </c>
      <c r="M535" s="38"/>
      <c r="N535" s="44" t="str">
        <f t="shared" si="53"/>
        <v>MCSGAST1CPF - Desp. Lazer e Entretenimento - Bares</v>
      </c>
      <c r="O535" s="44" t="str">
        <f t="shared" si="54"/>
        <v>GAST1CPF - Desp. Lazer e Entretenimento - Bares</v>
      </c>
      <c r="P535" s="44" t="str">
        <f t="shared" si="55"/>
        <v>MCSGAST1CPF - Desp. Lazer e Entretenimento - Bares</v>
      </c>
      <c r="Q535" s="44" t="str">
        <f t="shared" si="56"/>
        <v>MCSGAST1</v>
      </c>
      <c r="R535" s="44" t="str">
        <f t="shared" si="57"/>
        <v>MCSGAST1</v>
      </c>
      <c r="S535" s="38"/>
      <c r="T535" s="45">
        <f t="shared" si="58"/>
        <v>45839</v>
      </c>
      <c r="U535" s="24" t="str">
        <f t="shared" si="52"/>
        <v/>
      </c>
      <c r="V535" s="14" t="s">
        <v>761</v>
      </c>
    </row>
    <row r="536" spans="2:22" s="46" customFormat="1" x14ac:dyDescent="0.25">
      <c r="B536" s="37" t="s">
        <v>25</v>
      </c>
      <c r="C536" s="38"/>
      <c r="D536" s="86" t="str">
        <f>INDEX(Cad_Natureza!$B$3:$C$52,MATCH('2025'!F536,Cad_Natureza!$C$3:$C$52,0),MATCH('2025'!D$2,Cad_Natureza!$B$3:$C$3,0))</f>
        <v>GAST1</v>
      </c>
      <c r="E536" s="84" t="s">
        <v>544</v>
      </c>
      <c r="F536" s="85" t="s">
        <v>742</v>
      </c>
      <c r="G536" s="86" t="s">
        <v>25</v>
      </c>
      <c r="H536" s="87">
        <v>45845</v>
      </c>
      <c r="I536" s="87"/>
      <c r="J536" s="79" t="s">
        <v>563</v>
      </c>
      <c r="K536" s="62">
        <v>-10</v>
      </c>
      <c r="L536" s="68">
        <f t="shared" si="51"/>
        <v>3357.8199999999997</v>
      </c>
      <c r="M536" s="38"/>
      <c r="N536" s="44" t="str">
        <f t="shared" si="53"/>
        <v>MCSGAST1CPF - Desp. Lazer e Entretenimento - Bares</v>
      </c>
      <c r="O536" s="44" t="str">
        <f t="shared" si="54"/>
        <v>GAST1CPF - Desp. Lazer e Entretenimento - Bares</v>
      </c>
      <c r="P536" s="44" t="str">
        <f t="shared" si="55"/>
        <v>MCSGAST1CPF - Desp. Lazer e Entretenimento - Bares</v>
      </c>
      <c r="Q536" s="44" t="str">
        <f t="shared" si="56"/>
        <v>MCSGAST1</v>
      </c>
      <c r="R536" s="44" t="str">
        <f t="shared" si="57"/>
        <v>MCSGAST1</v>
      </c>
      <c r="S536" s="38"/>
      <c r="T536" s="45">
        <f t="shared" si="58"/>
        <v>45839</v>
      </c>
      <c r="U536" s="24" t="str">
        <f t="shared" si="52"/>
        <v/>
      </c>
      <c r="V536" s="14" t="s">
        <v>761</v>
      </c>
    </row>
    <row r="537" spans="2:22" s="46" customFormat="1" x14ac:dyDescent="0.25">
      <c r="B537" s="37" t="s">
        <v>25</v>
      </c>
      <c r="C537" s="38"/>
      <c r="D537" s="86" t="str">
        <f>INDEX(Cad_Natureza!$B$3:$C$52,MATCH('2025'!F537,Cad_Natureza!$C$3:$C$52,0),MATCH('2025'!D$2,Cad_Natureza!$B$3:$C$3,0))</f>
        <v>GAST1</v>
      </c>
      <c r="E537" s="84" t="s">
        <v>545</v>
      </c>
      <c r="F537" s="85" t="s">
        <v>742</v>
      </c>
      <c r="G537" s="86" t="s">
        <v>25</v>
      </c>
      <c r="H537" s="87">
        <v>45845</v>
      </c>
      <c r="I537" s="87"/>
      <c r="J537" s="79" t="s">
        <v>566</v>
      </c>
      <c r="K537" s="62">
        <v>-60</v>
      </c>
      <c r="L537" s="68">
        <f t="shared" si="51"/>
        <v>3297.8199999999997</v>
      </c>
      <c r="M537" s="38"/>
      <c r="N537" s="44" t="str">
        <f t="shared" si="53"/>
        <v>MCSGAST1CPF - Desp. Lazer e Entretenimento - Bares</v>
      </c>
      <c r="O537" s="44" t="str">
        <f t="shared" si="54"/>
        <v>GAST1CPF - Desp. Lazer e Entretenimento - Bares</v>
      </c>
      <c r="P537" s="44" t="str">
        <f t="shared" si="55"/>
        <v>MCSGAST1CPF - Desp. Lazer e Entretenimento - Bares</v>
      </c>
      <c r="Q537" s="44" t="str">
        <f t="shared" si="56"/>
        <v>MCSGAST1</v>
      </c>
      <c r="R537" s="44" t="str">
        <f t="shared" si="57"/>
        <v>MCSGAST1</v>
      </c>
      <c r="S537" s="38"/>
      <c r="T537" s="45">
        <f t="shared" si="58"/>
        <v>45839</v>
      </c>
      <c r="U537" s="24" t="str">
        <f t="shared" si="52"/>
        <v/>
      </c>
      <c r="V537" s="14" t="s">
        <v>761</v>
      </c>
    </row>
    <row r="538" spans="2:22" s="46" customFormat="1" x14ac:dyDescent="0.25">
      <c r="B538" s="37" t="s">
        <v>25</v>
      </c>
      <c r="C538" s="38"/>
      <c r="D538" s="86" t="str">
        <f>INDEX(Cad_Natureza!$B$3:$C$52,MATCH('2025'!F538,Cad_Natureza!$C$3:$C$52,0),MATCH('2025'!D$2,Cad_Natureza!$B$3:$C$3,0))</f>
        <v>OUG1</v>
      </c>
      <c r="E538" s="84" t="s">
        <v>546</v>
      </c>
      <c r="F538" s="85" t="s">
        <v>748</v>
      </c>
      <c r="G538" s="86" t="s">
        <v>25</v>
      </c>
      <c r="H538" s="87">
        <v>45845</v>
      </c>
      <c r="I538" s="87"/>
      <c r="J538" s="79" t="s">
        <v>562</v>
      </c>
      <c r="K538" s="62">
        <v>-10</v>
      </c>
      <c r="L538" s="68">
        <f t="shared" si="51"/>
        <v>3287.8199999999997</v>
      </c>
      <c r="M538" s="38"/>
      <c r="N538" s="44" t="str">
        <f t="shared" si="53"/>
        <v>MCSOUG1CPF - Outros gastos</v>
      </c>
      <c r="O538" s="44" t="str">
        <f t="shared" si="54"/>
        <v>OUG1CPF - Outros gastos</v>
      </c>
      <c r="P538" s="44" t="str">
        <f t="shared" si="55"/>
        <v>MCSOUG1CPF - Outros gastos</v>
      </c>
      <c r="Q538" s="44" t="str">
        <f t="shared" si="56"/>
        <v>MCSOUG1</v>
      </c>
      <c r="R538" s="44" t="str">
        <f t="shared" si="57"/>
        <v>MCSOUG1</v>
      </c>
      <c r="S538" s="38"/>
      <c r="T538" s="45">
        <f t="shared" si="58"/>
        <v>45839</v>
      </c>
      <c r="U538" s="24" t="str">
        <f t="shared" si="52"/>
        <v/>
      </c>
      <c r="V538" s="14" t="s">
        <v>761</v>
      </c>
    </row>
    <row r="539" spans="2:22" s="46" customFormat="1" x14ac:dyDescent="0.25">
      <c r="B539" s="37" t="s">
        <v>25</v>
      </c>
      <c r="C539" s="38"/>
      <c r="D539" s="86" t="str">
        <f>INDEX(Cad_Natureza!$B$3:$C$52,MATCH('2025'!F539,Cad_Natureza!$C$3:$C$52,0),MATCH('2025'!D$2,Cad_Natureza!$B$3:$C$3,0))</f>
        <v>OPF2</v>
      </c>
      <c r="E539" s="84" t="s">
        <v>547</v>
      </c>
      <c r="F539" s="85" t="s">
        <v>741</v>
      </c>
      <c r="G539" s="86" t="s">
        <v>25</v>
      </c>
      <c r="H539" s="87">
        <v>45845</v>
      </c>
      <c r="I539" s="87"/>
      <c r="J539" s="79" t="s">
        <v>184</v>
      </c>
      <c r="K539" s="62">
        <v>-50</v>
      </c>
      <c r="L539" s="68">
        <f t="shared" si="51"/>
        <v>3237.8199999999997</v>
      </c>
      <c r="M539" s="38"/>
      <c r="N539" s="44" t="str">
        <f t="shared" si="53"/>
        <v>MCSOPF2CPF - Desp. Transporte / Combustível</v>
      </c>
      <c r="O539" s="44" t="str">
        <f t="shared" si="54"/>
        <v>OPF2CPF - Desp. Transporte / Combustível</v>
      </c>
      <c r="P539" s="44" t="str">
        <f t="shared" si="55"/>
        <v>MCSOPF2CPF - Desp. Transporte / Combustível</v>
      </c>
      <c r="Q539" s="44" t="str">
        <f t="shared" si="56"/>
        <v>MCSOPF2</v>
      </c>
      <c r="R539" s="44" t="str">
        <f t="shared" si="57"/>
        <v>MCSOPF2</v>
      </c>
      <c r="S539" s="38"/>
      <c r="T539" s="45">
        <f t="shared" si="58"/>
        <v>45839</v>
      </c>
      <c r="U539" s="24" t="str">
        <f t="shared" si="52"/>
        <v/>
      </c>
      <c r="V539" s="14" t="s">
        <v>761</v>
      </c>
    </row>
    <row r="540" spans="2:22" s="46" customFormat="1" x14ac:dyDescent="0.25">
      <c r="B540" s="37" t="s">
        <v>25</v>
      </c>
      <c r="C540" s="38"/>
      <c r="D540" s="86" t="str">
        <f>INDEX(Cad_Natureza!$B$3:$C$52,MATCH('2025'!F540,Cad_Natureza!$C$3:$C$52,0),MATCH('2025'!D$2,Cad_Natureza!$B$3:$C$3,0))</f>
        <v>GAST1</v>
      </c>
      <c r="E540" s="84" t="s">
        <v>548</v>
      </c>
      <c r="F540" s="85" t="s">
        <v>742</v>
      </c>
      <c r="G540" s="86" t="s">
        <v>25</v>
      </c>
      <c r="H540" s="87">
        <v>45845</v>
      </c>
      <c r="I540" s="87"/>
      <c r="J540" s="79" t="s">
        <v>561</v>
      </c>
      <c r="K540" s="62">
        <v>-8.3000000000000007</v>
      </c>
      <c r="L540" s="68">
        <f t="shared" si="51"/>
        <v>3229.5199999999995</v>
      </c>
      <c r="M540" s="38"/>
      <c r="N540" s="44" t="str">
        <f t="shared" si="53"/>
        <v>MCSGAST1CPF - Desp. Lazer e Entretenimento - Bares</v>
      </c>
      <c r="O540" s="44" t="str">
        <f t="shared" si="54"/>
        <v>GAST1CPF - Desp. Lazer e Entretenimento - Bares</v>
      </c>
      <c r="P540" s="44" t="str">
        <f t="shared" si="55"/>
        <v>MCSGAST1CPF - Desp. Lazer e Entretenimento - Bares</v>
      </c>
      <c r="Q540" s="44" t="str">
        <f t="shared" si="56"/>
        <v>MCSGAST1</v>
      </c>
      <c r="R540" s="44" t="str">
        <f t="shared" si="57"/>
        <v>MCSGAST1</v>
      </c>
      <c r="S540" s="38"/>
      <c r="T540" s="45">
        <f t="shared" si="58"/>
        <v>45839</v>
      </c>
      <c r="U540" s="24" t="str">
        <f t="shared" si="52"/>
        <v/>
      </c>
      <c r="V540" s="14" t="s">
        <v>761</v>
      </c>
    </row>
    <row r="541" spans="2:22" s="46" customFormat="1" x14ac:dyDescent="0.25">
      <c r="B541" s="37" t="s">
        <v>25</v>
      </c>
      <c r="C541" s="38"/>
      <c r="D541" s="63" t="str">
        <f>INDEX(Cad_Natureza!$B$3:$C$52,MATCH('2025'!F541,Cad_Natureza!$C$3:$C$52,0),MATCH('2025'!D$2,Cad_Natureza!$B$3:$C$3,0))</f>
        <v>REC5</v>
      </c>
      <c r="E541" s="64" t="s">
        <v>549</v>
      </c>
      <c r="F541" s="65" t="s">
        <v>740</v>
      </c>
      <c r="G541" s="63" t="s">
        <v>25</v>
      </c>
      <c r="H541" s="66">
        <v>45845</v>
      </c>
      <c r="I541" s="66"/>
      <c r="J541" s="67" t="s">
        <v>561</v>
      </c>
      <c r="K541" s="68">
        <v>8.3000000000000007</v>
      </c>
      <c r="L541" s="68">
        <f t="shared" si="51"/>
        <v>3237.8199999999997</v>
      </c>
      <c r="M541" s="38"/>
      <c r="N541" s="44" t="str">
        <f t="shared" si="53"/>
        <v>MCSREC5CPF - Outras receitas</v>
      </c>
      <c r="O541" s="44" t="str">
        <f t="shared" si="54"/>
        <v>REC5CPF - Outras receitas</v>
      </c>
      <c r="P541" s="44" t="str">
        <f t="shared" si="55"/>
        <v>MCSREC5CPF - Outras receitas</v>
      </c>
      <c r="Q541" s="44" t="str">
        <f t="shared" si="56"/>
        <v>MCSREC5</v>
      </c>
      <c r="R541" s="44" t="str">
        <f t="shared" si="57"/>
        <v>MCSREC5</v>
      </c>
      <c r="S541" s="38"/>
      <c r="T541" s="45">
        <f t="shared" si="58"/>
        <v>45839</v>
      </c>
      <c r="U541" s="24" t="str">
        <f t="shared" si="52"/>
        <v/>
      </c>
      <c r="V541" s="14" t="s">
        <v>761</v>
      </c>
    </row>
    <row r="542" spans="2:22" s="46" customFormat="1" x14ac:dyDescent="0.25">
      <c r="B542" s="37" t="s">
        <v>25</v>
      </c>
      <c r="C542" s="38"/>
      <c r="D542" s="86" t="str">
        <f>INDEX(Cad_Natureza!$B$3:$C$52,MATCH('2025'!F542,Cad_Natureza!$C$3:$C$52,0),MATCH('2025'!D$2,Cad_Natureza!$B$3:$C$3,0))</f>
        <v>GAST1</v>
      </c>
      <c r="E542" s="84" t="s">
        <v>548</v>
      </c>
      <c r="F542" s="85" t="s">
        <v>742</v>
      </c>
      <c r="G542" s="86" t="s">
        <v>25</v>
      </c>
      <c r="H542" s="87">
        <v>45845</v>
      </c>
      <c r="I542" s="87"/>
      <c r="J542" s="79" t="s">
        <v>561</v>
      </c>
      <c r="K542" s="62">
        <v>-8.3000000000000007</v>
      </c>
      <c r="L542" s="68">
        <f t="shared" si="51"/>
        <v>3229.5199999999995</v>
      </c>
      <c r="M542" s="38"/>
      <c r="N542" s="44" t="str">
        <f t="shared" si="53"/>
        <v>MCSGAST1CPF - Desp. Lazer e Entretenimento - Bares</v>
      </c>
      <c r="O542" s="44" t="str">
        <f t="shared" si="54"/>
        <v>GAST1CPF - Desp. Lazer e Entretenimento - Bares</v>
      </c>
      <c r="P542" s="44" t="str">
        <f t="shared" si="55"/>
        <v>MCSGAST1CPF - Desp. Lazer e Entretenimento - Bares</v>
      </c>
      <c r="Q542" s="44" t="str">
        <f t="shared" si="56"/>
        <v>MCSGAST1</v>
      </c>
      <c r="R542" s="44" t="str">
        <f t="shared" si="57"/>
        <v>MCSGAST1</v>
      </c>
      <c r="S542" s="38"/>
      <c r="T542" s="45">
        <f t="shared" si="58"/>
        <v>45839</v>
      </c>
      <c r="U542" s="24" t="str">
        <f t="shared" si="52"/>
        <v/>
      </c>
      <c r="V542" s="14" t="s">
        <v>761</v>
      </c>
    </row>
    <row r="543" spans="2:22" s="46" customFormat="1" x14ac:dyDescent="0.25">
      <c r="B543" s="37" t="s">
        <v>25</v>
      </c>
      <c r="C543" s="38"/>
      <c r="D543" s="86" t="str">
        <f>INDEX(Cad_Natureza!$B$3:$C$52,MATCH('2025'!F543,Cad_Natureza!$C$3:$C$52,0),MATCH('2025'!D$2,Cad_Natureza!$B$3:$C$3,0))</f>
        <v>GAST1</v>
      </c>
      <c r="E543" s="84" t="s">
        <v>550</v>
      </c>
      <c r="F543" s="85" t="s">
        <v>742</v>
      </c>
      <c r="G543" s="86" t="s">
        <v>25</v>
      </c>
      <c r="H543" s="87">
        <v>45845</v>
      </c>
      <c r="I543" s="87"/>
      <c r="J543" s="79" t="s">
        <v>561</v>
      </c>
      <c r="K543" s="62">
        <v>-8</v>
      </c>
      <c r="L543" s="68">
        <f t="shared" si="51"/>
        <v>3221.5199999999995</v>
      </c>
      <c r="M543" s="38"/>
      <c r="N543" s="44" t="str">
        <f t="shared" si="53"/>
        <v>MCSGAST1CPF - Desp. Lazer e Entretenimento - Bares</v>
      </c>
      <c r="O543" s="44" t="str">
        <f t="shared" si="54"/>
        <v>GAST1CPF - Desp. Lazer e Entretenimento - Bares</v>
      </c>
      <c r="P543" s="44" t="str">
        <f t="shared" si="55"/>
        <v>MCSGAST1CPF - Desp. Lazer e Entretenimento - Bares</v>
      </c>
      <c r="Q543" s="44" t="str">
        <f t="shared" si="56"/>
        <v>MCSGAST1</v>
      </c>
      <c r="R543" s="44" t="str">
        <f t="shared" si="57"/>
        <v>MCSGAST1</v>
      </c>
      <c r="S543" s="38"/>
      <c r="T543" s="45">
        <f t="shared" si="58"/>
        <v>45839</v>
      </c>
      <c r="U543" s="24" t="str">
        <f t="shared" si="52"/>
        <v/>
      </c>
      <c r="V543" s="14" t="s">
        <v>761</v>
      </c>
    </row>
    <row r="544" spans="2:22" s="46" customFormat="1" x14ac:dyDescent="0.25">
      <c r="B544" s="37" t="s">
        <v>25</v>
      </c>
      <c r="C544" s="38"/>
      <c r="D544" s="86" t="str">
        <f>INDEX(Cad_Natureza!$B$3:$C$52,MATCH('2025'!F544,Cad_Natureza!$C$3:$C$52,0),MATCH('2025'!D$2,Cad_Natureza!$B$3:$C$3,0))</f>
        <v>GAST1</v>
      </c>
      <c r="E544" s="84" t="s">
        <v>542</v>
      </c>
      <c r="F544" s="85" t="s">
        <v>742</v>
      </c>
      <c r="G544" s="86" t="s">
        <v>25</v>
      </c>
      <c r="H544" s="87">
        <v>45845</v>
      </c>
      <c r="I544" s="87"/>
      <c r="J544" s="79" t="s">
        <v>185</v>
      </c>
      <c r="K544" s="62">
        <v>-5</v>
      </c>
      <c r="L544" s="68">
        <f t="shared" si="51"/>
        <v>3216.5199999999995</v>
      </c>
      <c r="M544" s="38"/>
      <c r="N544" s="44" t="str">
        <f t="shared" si="53"/>
        <v>MCSGAST1CPF - Desp. Lazer e Entretenimento - Bares</v>
      </c>
      <c r="O544" s="44" t="str">
        <f t="shared" si="54"/>
        <v>GAST1CPF - Desp. Lazer e Entretenimento - Bares</v>
      </c>
      <c r="P544" s="44" t="str">
        <f t="shared" si="55"/>
        <v>MCSGAST1CPF - Desp. Lazer e Entretenimento - Bares</v>
      </c>
      <c r="Q544" s="44" t="str">
        <f t="shared" si="56"/>
        <v>MCSGAST1</v>
      </c>
      <c r="R544" s="44" t="str">
        <f t="shared" si="57"/>
        <v>MCSGAST1</v>
      </c>
      <c r="S544" s="38"/>
      <c r="T544" s="45">
        <f t="shared" si="58"/>
        <v>45839</v>
      </c>
      <c r="U544" s="24" t="str">
        <f t="shared" si="52"/>
        <v/>
      </c>
      <c r="V544" s="14" t="s">
        <v>761</v>
      </c>
    </row>
    <row r="545" spans="2:22" s="46" customFormat="1" x14ac:dyDescent="0.25">
      <c r="B545" s="37" t="s">
        <v>25</v>
      </c>
      <c r="C545" s="38"/>
      <c r="D545" s="86" t="str">
        <f>INDEX(Cad_Natureza!$B$3:$C$52,MATCH('2025'!F545,Cad_Natureza!$C$3:$C$52,0),MATCH('2025'!D$2,Cad_Natureza!$B$3:$C$3,0))</f>
        <v>GAST1</v>
      </c>
      <c r="E545" s="84" t="s">
        <v>543</v>
      </c>
      <c r="F545" s="85" t="s">
        <v>742</v>
      </c>
      <c r="G545" s="86" t="s">
        <v>25</v>
      </c>
      <c r="H545" s="87">
        <v>45845</v>
      </c>
      <c r="I545" s="87"/>
      <c r="J545" s="79" t="s">
        <v>185</v>
      </c>
      <c r="K545" s="62">
        <v>-20</v>
      </c>
      <c r="L545" s="68">
        <f t="shared" si="51"/>
        <v>3196.5199999999995</v>
      </c>
      <c r="M545" s="38"/>
      <c r="N545" s="44" t="str">
        <f t="shared" si="53"/>
        <v>MCSGAST1CPF - Desp. Lazer e Entretenimento - Bares</v>
      </c>
      <c r="O545" s="44" t="str">
        <f t="shared" si="54"/>
        <v>GAST1CPF - Desp. Lazer e Entretenimento - Bares</v>
      </c>
      <c r="P545" s="44" t="str">
        <f t="shared" si="55"/>
        <v>MCSGAST1CPF - Desp. Lazer e Entretenimento - Bares</v>
      </c>
      <c r="Q545" s="44" t="str">
        <f t="shared" si="56"/>
        <v>MCSGAST1</v>
      </c>
      <c r="R545" s="44" t="str">
        <f t="shared" si="57"/>
        <v>MCSGAST1</v>
      </c>
      <c r="S545" s="38"/>
      <c r="T545" s="45">
        <f t="shared" si="58"/>
        <v>45839</v>
      </c>
      <c r="U545" s="24" t="str">
        <f t="shared" si="52"/>
        <v/>
      </c>
      <c r="V545" s="14" t="s">
        <v>761</v>
      </c>
    </row>
    <row r="546" spans="2:22" s="46" customFormat="1" x14ac:dyDescent="0.25">
      <c r="B546" s="37" t="s">
        <v>25</v>
      </c>
      <c r="C546" s="38"/>
      <c r="D546" s="86" t="str">
        <f>INDEX(Cad_Natureza!$B$3:$C$52,MATCH('2025'!F546,Cad_Natureza!$C$3:$C$52,0),MATCH('2025'!D$2,Cad_Natureza!$B$3:$C$3,0))</f>
        <v>GAST1</v>
      </c>
      <c r="E546" s="84" t="s">
        <v>543</v>
      </c>
      <c r="F546" s="85" t="s">
        <v>742</v>
      </c>
      <c r="G546" s="86" t="s">
        <v>25</v>
      </c>
      <c r="H546" s="87">
        <v>45845</v>
      </c>
      <c r="I546" s="87"/>
      <c r="J546" s="79" t="s">
        <v>185</v>
      </c>
      <c r="K546" s="62">
        <v>-5.5</v>
      </c>
      <c r="L546" s="68">
        <f t="shared" si="51"/>
        <v>3191.0199999999995</v>
      </c>
      <c r="M546" s="38"/>
      <c r="N546" s="44" t="str">
        <f t="shared" si="53"/>
        <v>MCSGAST1CPF - Desp. Lazer e Entretenimento - Bares</v>
      </c>
      <c r="O546" s="44" t="str">
        <f t="shared" si="54"/>
        <v>GAST1CPF - Desp. Lazer e Entretenimento - Bares</v>
      </c>
      <c r="P546" s="44" t="str">
        <f t="shared" si="55"/>
        <v>MCSGAST1CPF - Desp. Lazer e Entretenimento - Bares</v>
      </c>
      <c r="Q546" s="44" t="str">
        <f t="shared" si="56"/>
        <v>MCSGAST1</v>
      </c>
      <c r="R546" s="44" t="str">
        <f t="shared" si="57"/>
        <v>MCSGAST1</v>
      </c>
      <c r="S546" s="38"/>
      <c r="T546" s="45">
        <f t="shared" si="58"/>
        <v>45839</v>
      </c>
      <c r="U546" s="24" t="str">
        <f t="shared" si="52"/>
        <v/>
      </c>
      <c r="V546" s="14" t="s">
        <v>761</v>
      </c>
    </row>
    <row r="547" spans="2:22" s="46" customFormat="1" x14ac:dyDescent="0.25">
      <c r="B547" s="37" t="s">
        <v>25</v>
      </c>
      <c r="C547" s="38"/>
      <c r="D547" s="86" t="str">
        <f>INDEX(Cad_Natureza!$B$3:$C$52,MATCH('2025'!F547,Cad_Natureza!$C$3:$C$52,0),MATCH('2025'!D$2,Cad_Natureza!$B$3:$C$3,0))</f>
        <v>GAST1</v>
      </c>
      <c r="E547" s="84" t="s">
        <v>543</v>
      </c>
      <c r="F547" s="85" t="s">
        <v>742</v>
      </c>
      <c r="G547" s="86" t="s">
        <v>25</v>
      </c>
      <c r="H547" s="87">
        <v>45845</v>
      </c>
      <c r="I547" s="87"/>
      <c r="J547" s="79" t="s">
        <v>185</v>
      </c>
      <c r="K547" s="62">
        <v>-5.5</v>
      </c>
      <c r="L547" s="68">
        <f t="shared" si="51"/>
        <v>3185.5199999999995</v>
      </c>
      <c r="M547" s="38"/>
      <c r="N547" s="44" t="str">
        <f t="shared" si="53"/>
        <v>MCSGAST1CPF - Desp. Lazer e Entretenimento - Bares</v>
      </c>
      <c r="O547" s="44" t="str">
        <f t="shared" si="54"/>
        <v>GAST1CPF - Desp. Lazer e Entretenimento - Bares</v>
      </c>
      <c r="P547" s="44" t="str">
        <f t="shared" si="55"/>
        <v>MCSGAST1CPF - Desp. Lazer e Entretenimento - Bares</v>
      </c>
      <c r="Q547" s="44" t="str">
        <f t="shared" si="56"/>
        <v>MCSGAST1</v>
      </c>
      <c r="R547" s="44" t="str">
        <f t="shared" si="57"/>
        <v>MCSGAST1</v>
      </c>
      <c r="S547" s="38"/>
      <c r="T547" s="45">
        <f t="shared" si="58"/>
        <v>45839</v>
      </c>
      <c r="U547" s="24" t="str">
        <f t="shared" si="52"/>
        <v/>
      </c>
      <c r="V547" s="14" t="s">
        <v>761</v>
      </c>
    </row>
    <row r="548" spans="2:22" s="46" customFormat="1" x14ac:dyDescent="0.25">
      <c r="B548" s="37" t="s">
        <v>25</v>
      </c>
      <c r="C548" s="38"/>
      <c r="D548" s="86" t="str">
        <f>INDEX(Cad_Natureza!$B$3:$C$52,MATCH('2025'!F548,Cad_Natureza!$C$3:$C$52,0),MATCH('2025'!D$2,Cad_Natureza!$B$3:$C$3,0))</f>
        <v>GAST1</v>
      </c>
      <c r="E548" s="84" t="s">
        <v>551</v>
      </c>
      <c r="F548" s="85" t="s">
        <v>742</v>
      </c>
      <c r="G548" s="86" t="s">
        <v>25</v>
      </c>
      <c r="H548" s="87">
        <v>45845</v>
      </c>
      <c r="I548" s="87"/>
      <c r="J548" s="79" t="s">
        <v>185</v>
      </c>
      <c r="K548" s="62">
        <v>-11</v>
      </c>
      <c r="L548" s="68">
        <f t="shared" si="51"/>
        <v>3174.5199999999995</v>
      </c>
      <c r="M548" s="38"/>
      <c r="N548" s="44" t="str">
        <f t="shared" si="53"/>
        <v>MCSGAST1CPF - Desp. Lazer e Entretenimento - Bares</v>
      </c>
      <c r="O548" s="44" t="str">
        <f t="shared" si="54"/>
        <v>GAST1CPF - Desp. Lazer e Entretenimento - Bares</v>
      </c>
      <c r="P548" s="44" t="str">
        <f t="shared" si="55"/>
        <v>MCSGAST1CPF - Desp. Lazer e Entretenimento - Bares</v>
      </c>
      <c r="Q548" s="44" t="str">
        <f t="shared" si="56"/>
        <v>MCSGAST1</v>
      </c>
      <c r="R548" s="44" t="str">
        <f t="shared" si="57"/>
        <v>MCSGAST1</v>
      </c>
      <c r="S548" s="38"/>
      <c r="T548" s="45">
        <f t="shared" si="58"/>
        <v>45839</v>
      </c>
      <c r="U548" s="24" t="str">
        <f t="shared" si="52"/>
        <v/>
      </c>
      <c r="V548" s="14" t="s">
        <v>761</v>
      </c>
    </row>
    <row r="549" spans="2:22" s="46" customFormat="1" x14ac:dyDescent="0.25">
      <c r="B549" s="37" t="s">
        <v>25</v>
      </c>
      <c r="C549" s="38"/>
      <c r="D549" s="86" t="str">
        <f>INDEX(Cad_Natureza!$B$3:$C$52,MATCH('2025'!F549,Cad_Natureza!$C$3:$C$52,0),MATCH('2025'!D$2,Cad_Natureza!$B$3:$C$3,0))</f>
        <v>GAST1</v>
      </c>
      <c r="E549" s="84" t="s">
        <v>551</v>
      </c>
      <c r="F549" s="85" t="s">
        <v>742</v>
      </c>
      <c r="G549" s="86" t="s">
        <v>25</v>
      </c>
      <c r="H549" s="87">
        <v>45845</v>
      </c>
      <c r="I549" s="87"/>
      <c r="J549" s="79" t="s">
        <v>185</v>
      </c>
      <c r="K549" s="62">
        <v>-11</v>
      </c>
      <c r="L549" s="68">
        <f t="shared" si="51"/>
        <v>3163.5199999999995</v>
      </c>
      <c r="M549" s="38"/>
      <c r="N549" s="44" t="str">
        <f t="shared" si="53"/>
        <v>MCSGAST1CPF - Desp. Lazer e Entretenimento - Bares</v>
      </c>
      <c r="O549" s="44" t="str">
        <f t="shared" si="54"/>
        <v>GAST1CPF - Desp. Lazer e Entretenimento - Bares</v>
      </c>
      <c r="P549" s="44" t="str">
        <f t="shared" si="55"/>
        <v>MCSGAST1CPF - Desp. Lazer e Entretenimento - Bares</v>
      </c>
      <c r="Q549" s="44" t="str">
        <f t="shared" si="56"/>
        <v>MCSGAST1</v>
      </c>
      <c r="R549" s="44" t="str">
        <f t="shared" si="57"/>
        <v>MCSGAST1</v>
      </c>
      <c r="S549" s="38"/>
      <c r="T549" s="45">
        <f t="shared" si="58"/>
        <v>45839</v>
      </c>
      <c r="U549" s="24" t="str">
        <f t="shared" si="52"/>
        <v/>
      </c>
      <c r="V549" s="14" t="s">
        <v>761</v>
      </c>
    </row>
    <row r="550" spans="2:22" s="46" customFormat="1" x14ac:dyDescent="0.25">
      <c r="B550" s="37" t="s">
        <v>25</v>
      </c>
      <c r="C550" s="38"/>
      <c r="D550" s="86" t="str">
        <f>INDEX(Cad_Natureza!$B$3:$C$52,MATCH('2025'!F550,Cad_Natureza!$C$3:$C$52,0),MATCH('2025'!D$2,Cad_Natureza!$B$3:$C$3,0))</f>
        <v>GAST1</v>
      </c>
      <c r="E550" s="84" t="s">
        <v>551</v>
      </c>
      <c r="F550" s="85" t="s">
        <v>742</v>
      </c>
      <c r="G550" s="86" t="s">
        <v>25</v>
      </c>
      <c r="H550" s="87">
        <v>45845</v>
      </c>
      <c r="I550" s="87"/>
      <c r="J550" s="79" t="s">
        <v>185</v>
      </c>
      <c r="K550" s="62">
        <v>-11</v>
      </c>
      <c r="L550" s="68">
        <f t="shared" si="51"/>
        <v>3152.5199999999995</v>
      </c>
      <c r="M550" s="38"/>
      <c r="N550" s="44" t="str">
        <f t="shared" si="53"/>
        <v>MCSGAST1CPF - Desp. Lazer e Entretenimento - Bares</v>
      </c>
      <c r="O550" s="44" t="str">
        <f t="shared" si="54"/>
        <v>GAST1CPF - Desp. Lazer e Entretenimento - Bares</v>
      </c>
      <c r="P550" s="44" t="str">
        <f t="shared" si="55"/>
        <v>MCSGAST1CPF - Desp. Lazer e Entretenimento - Bares</v>
      </c>
      <c r="Q550" s="44" t="str">
        <f t="shared" si="56"/>
        <v>MCSGAST1</v>
      </c>
      <c r="R550" s="44" t="str">
        <f t="shared" si="57"/>
        <v>MCSGAST1</v>
      </c>
      <c r="S550" s="38"/>
      <c r="T550" s="45">
        <f t="shared" si="58"/>
        <v>45839</v>
      </c>
      <c r="U550" s="24" t="str">
        <f t="shared" si="52"/>
        <v/>
      </c>
      <c r="V550" s="14" t="s">
        <v>761</v>
      </c>
    </row>
    <row r="551" spans="2:22" s="46" customFormat="1" x14ac:dyDescent="0.25">
      <c r="B551" s="37" t="s">
        <v>25</v>
      </c>
      <c r="C551" s="38"/>
      <c r="D551" s="86" t="str">
        <f>INDEX(Cad_Natureza!$B$3:$C$52,MATCH('2025'!F551,Cad_Natureza!$C$3:$C$52,0),MATCH('2025'!D$2,Cad_Natureza!$B$3:$C$3,0))</f>
        <v>GAST1</v>
      </c>
      <c r="E551" s="84" t="s">
        <v>552</v>
      </c>
      <c r="F551" s="85" t="s">
        <v>742</v>
      </c>
      <c r="G551" s="86" t="s">
        <v>25</v>
      </c>
      <c r="H551" s="87">
        <v>45845</v>
      </c>
      <c r="I551" s="87"/>
      <c r="J551" s="79" t="s">
        <v>185</v>
      </c>
      <c r="K551" s="62">
        <v>-5</v>
      </c>
      <c r="L551" s="68">
        <f t="shared" si="51"/>
        <v>3147.5199999999995</v>
      </c>
      <c r="M551" s="38"/>
      <c r="N551" s="44" t="str">
        <f t="shared" si="53"/>
        <v>MCSGAST1CPF - Desp. Lazer e Entretenimento - Bares</v>
      </c>
      <c r="O551" s="44" t="str">
        <f t="shared" si="54"/>
        <v>GAST1CPF - Desp. Lazer e Entretenimento - Bares</v>
      </c>
      <c r="P551" s="44" t="str">
        <f t="shared" si="55"/>
        <v>MCSGAST1CPF - Desp. Lazer e Entretenimento - Bares</v>
      </c>
      <c r="Q551" s="44" t="str">
        <f t="shared" si="56"/>
        <v>MCSGAST1</v>
      </c>
      <c r="R551" s="44" t="str">
        <f t="shared" si="57"/>
        <v>MCSGAST1</v>
      </c>
      <c r="S551" s="38"/>
      <c r="T551" s="45">
        <f t="shared" si="58"/>
        <v>45839</v>
      </c>
      <c r="U551" s="24" t="str">
        <f t="shared" si="52"/>
        <v/>
      </c>
      <c r="V551" s="14" t="s">
        <v>761</v>
      </c>
    </row>
    <row r="552" spans="2:22" s="46" customFormat="1" x14ac:dyDescent="0.25">
      <c r="B552" s="37" t="s">
        <v>25</v>
      </c>
      <c r="C552" s="38"/>
      <c r="D552" s="86" t="str">
        <f>INDEX(Cad_Natureza!$B$3:$C$52,MATCH('2025'!F552,Cad_Natureza!$C$3:$C$52,0),MATCH('2025'!D$2,Cad_Natureza!$B$3:$C$3,0))</f>
        <v>GAST1</v>
      </c>
      <c r="E552" s="84" t="s">
        <v>553</v>
      </c>
      <c r="F552" s="85" t="s">
        <v>742</v>
      </c>
      <c r="G552" s="86" t="s">
        <v>25</v>
      </c>
      <c r="H552" s="87">
        <v>45845</v>
      </c>
      <c r="I552" s="87"/>
      <c r="J552" s="79" t="s">
        <v>185</v>
      </c>
      <c r="K552" s="62">
        <v>-4.5</v>
      </c>
      <c r="L552" s="68">
        <f t="shared" si="51"/>
        <v>3143.0199999999995</v>
      </c>
      <c r="M552" s="38"/>
      <c r="N552" s="44" t="str">
        <f t="shared" si="53"/>
        <v>MCSGAST1CPF - Desp. Lazer e Entretenimento - Bares</v>
      </c>
      <c r="O552" s="44" t="str">
        <f t="shared" si="54"/>
        <v>GAST1CPF - Desp. Lazer e Entretenimento - Bares</v>
      </c>
      <c r="P552" s="44" t="str">
        <f t="shared" si="55"/>
        <v>MCSGAST1CPF - Desp. Lazer e Entretenimento - Bares</v>
      </c>
      <c r="Q552" s="44" t="str">
        <f t="shared" si="56"/>
        <v>MCSGAST1</v>
      </c>
      <c r="R552" s="44" t="str">
        <f t="shared" si="57"/>
        <v>MCSGAST1</v>
      </c>
      <c r="S552" s="38"/>
      <c r="T552" s="45">
        <f t="shared" si="58"/>
        <v>45839</v>
      </c>
      <c r="U552" s="24" t="str">
        <f t="shared" si="52"/>
        <v/>
      </c>
      <c r="V552" s="14" t="s">
        <v>761</v>
      </c>
    </row>
    <row r="553" spans="2:22" s="46" customFormat="1" x14ac:dyDescent="0.25">
      <c r="B553" s="37" t="s">
        <v>25</v>
      </c>
      <c r="C553" s="38"/>
      <c r="D553" s="86" t="str">
        <f>INDEX(Cad_Natureza!$B$3:$C$52,MATCH('2025'!F553,Cad_Natureza!$C$3:$C$52,0),MATCH('2025'!D$2,Cad_Natureza!$B$3:$C$3,0))</f>
        <v>OPF2</v>
      </c>
      <c r="E553" s="84" t="s">
        <v>554</v>
      </c>
      <c r="F553" s="85" t="s">
        <v>741</v>
      </c>
      <c r="G553" s="86" t="s">
        <v>25</v>
      </c>
      <c r="H553" s="87">
        <v>45845</v>
      </c>
      <c r="I553" s="87"/>
      <c r="J553" s="79" t="s">
        <v>184</v>
      </c>
      <c r="K553" s="62">
        <v>-50</v>
      </c>
      <c r="L553" s="68">
        <f t="shared" si="51"/>
        <v>3093.0199999999995</v>
      </c>
      <c r="M553" s="38"/>
      <c r="N553" s="44" t="str">
        <f t="shared" si="53"/>
        <v>MCSOPF2CPF - Desp. Transporte / Combustível</v>
      </c>
      <c r="O553" s="44" t="str">
        <f t="shared" si="54"/>
        <v>OPF2CPF - Desp. Transporte / Combustível</v>
      </c>
      <c r="P553" s="44" t="str">
        <f t="shared" si="55"/>
        <v>MCSOPF2CPF - Desp. Transporte / Combustível</v>
      </c>
      <c r="Q553" s="44" t="str">
        <f t="shared" si="56"/>
        <v>MCSOPF2</v>
      </c>
      <c r="R553" s="44" t="str">
        <f t="shared" si="57"/>
        <v>MCSOPF2</v>
      </c>
      <c r="S553" s="38"/>
      <c r="T553" s="45">
        <f t="shared" si="58"/>
        <v>45839</v>
      </c>
      <c r="U553" s="24" t="str">
        <f t="shared" si="52"/>
        <v/>
      </c>
      <c r="V553" s="14" t="s">
        <v>761</v>
      </c>
    </row>
    <row r="554" spans="2:22" s="46" customFormat="1" x14ac:dyDescent="0.25">
      <c r="B554" s="37" t="s">
        <v>25</v>
      </c>
      <c r="C554" s="38"/>
      <c r="D554" s="86" t="str">
        <f>INDEX(Cad_Natureza!$B$3:$C$52,MATCH('2025'!F554,Cad_Natureza!$C$3:$C$52,0),MATCH('2025'!D$2,Cad_Natureza!$B$3:$C$3,0))</f>
        <v>GAST1</v>
      </c>
      <c r="E554" s="84" t="s">
        <v>555</v>
      </c>
      <c r="F554" s="85" t="s">
        <v>742</v>
      </c>
      <c r="G554" s="86" t="s">
        <v>25</v>
      </c>
      <c r="H554" s="87">
        <v>45845</v>
      </c>
      <c r="I554" s="87"/>
      <c r="J554" s="79" t="s">
        <v>561</v>
      </c>
      <c r="K554" s="62">
        <v>-33</v>
      </c>
      <c r="L554" s="68">
        <f t="shared" si="51"/>
        <v>3060.0199999999995</v>
      </c>
      <c r="M554" s="38"/>
      <c r="N554" s="44" t="str">
        <f t="shared" si="53"/>
        <v>MCSGAST1CPF - Desp. Lazer e Entretenimento - Bares</v>
      </c>
      <c r="O554" s="44" t="str">
        <f t="shared" si="54"/>
        <v>GAST1CPF - Desp. Lazer e Entretenimento - Bares</v>
      </c>
      <c r="P554" s="44" t="str">
        <f t="shared" si="55"/>
        <v>MCSGAST1CPF - Desp. Lazer e Entretenimento - Bares</v>
      </c>
      <c r="Q554" s="44" t="str">
        <f t="shared" si="56"/>
        <v>MCSGAST1</v>
      </c>
      <c r="R554" s="44" t="str">
        <f t="shared" si="57"/>
        <v>MCSGAST1</v>
      </c>
      <c r="S554" s="38"/>
      <c r="T554" s="45">
        <f t="shared" si="58"/>
        <v>45839</v>
      </c>
      <c r="U554" s="24" t="str">
        <f t="shared" si="52"/>
        <v/>
      </c>
      <c r="V554" s="14" t="s">
        <v>761</v>
      </c>
    </row>
    <row r="555" spans="2:22" s="46" customFormat="1" x14ac:dyDescent="0.25">
      <c r="B555" s="37" t="s">
        <v>25</v>
      </c>
      <c r="C555" s="38"/>
      <c r="D555" s="86" t="str">
        <f>INDEX(Cad_Natureza!$B$3:$C$52,MATCH('2025'!F555,Cad_Natureza!$C$3:$C$52,0),MATCH('2025'!D$2,Cad_Natureza!$B$3:$C$3,0))</f>
        <v>GAST1</v>
      </c>
      <c r="E555" s="84" t="s">
        <v>556</v>
      </c>
      <c r="F555" s="85" t="s">
        <v>742</v>
      </c>
      <c r="G555" s="86" t="s">
        <v>25</v>
      </c>
      <c r="H555" s="87">
        <v>45845</v>
      </c>
      <c r="I555" s="87"/>
      <c r="J555" s="79" t="s">
        <v>561</v>
      </c>
      <c r="K555" s="62">
        <v>-6</v>
      </c>
      <c r="L555" s="68">
        <f t="shared" si="51"/>
        <v>3054.0199999999995</v>
      </c>
      <c r="M555" s="38"/>
      <c r="N555" s="44" t="str">
        <f t="shared" si="53"/>
        <v>MCSGAST1CPF - Desp. Lazer e Entretenimento - Bares</v>
      </c>
      <c r="O555" s="44" t="str">
        <f t="shared" si="54"/>
        <v>GAST1CPF - Desp. Lazer e Entretenimento - Bares</v>
      </c>
      <c r="P555" s="44" t="str">
        <f t="shared" si="55"/>
        <v>MCSGAST1CPF - Desp. Lazer e Entretenimento - Bares</v>
      </c>
      <c r="Q555" s="44" t="str">
        <f t="shared" si="56"/>
        <v>MCSGAST1</v>
      </c>
      <c r="R555" s="44" t="str">
        <f t="shared" si="57"/>
        <v>MCSGAST1</v>
      </c>
      <c r="S555" s="38"/>
      <c r="T555" s="45">
        <f t="shared" si="58"/>
        <v>45839</v>
      </c>
      <c r="U555" s="24" t="str">
        <f t="shared" si="52"/>
        <v/>
      </c>
      <c r="V555" s="14" t="s">
        <v>761</v>
      </c>
    </row>
    <row r="556" spans="2:22" s="46" customFormat="1" x14ac:dyDescent="0.25">
      <c r="B556" s="37" t="s">
        <v>25</v>
      </c>
      <c r="C556" s="38"/>
      <c r="D556" s="86" t="str">
        <f>INDEX(Cad_Natureza!$B$3:$C$52,MATCH('2025'!F556,Cad_Natureza!$C$3:$C$52,0),MATCH('2025'!D$2,Cad_Natureza!$B$3:$C$3,0))</f>
        <v>OPF1</v>
      </c>
      <c r="E556" s="84" t="s">
        <v>557</v>
      </c>
      <c r="F556" s="85" t="s">
        <v>744</v>
      </c>
      <c r="G556" s="86" t="s">
        <v>25</v>
      </c>
      <c r="H556" s="87">
        <v>45845</v>
      </c>
      <c r="I556" s="87"/>
      <c r="J556" s="79" t="s">
        <v>564</v>
      </c>
      <c r="K556" s="62">
        <v>-115</v>
      </c>
      <c r="L556" s="68">
        <f t="shared" si="51"/>
        <v>2939.0199999999995</v>
      </c>
      <c r="M556" s="38"/>
      <c r="N556" s="44" t="str">
        <f t="shared" si="53"/>
        <v>MCSOPF1CPF - Desp. Alimentação / Refeição</v>
      </c>
      <c r="O556" s="44" t="str">
        <f t="shared" si="54"/>
        <v>OPF1CPF - Desp. Alimentação / Refeição</v>
      </c>
      <c r="P556" s="44" t="str">
        <f t="shared" si="55"/>
        <v>MCSOPF1CPF - Desp. Alimentação / Refeição</v>
      </c>
      <c r="Q556" s="44" t="str">
        <f t="shared" si="56"/>
        <v>MCSOPF1</v>
      </c>
      <c r="R556" s="44" t="str">
        <f t="shared" si="57"/>
        <v>MCSOPF1</v>
      </c>
      <c r="S556" s="38"/>
      <c r="T556" s="45">
        <f t="shared" si="58"/>
        <v>45839</v>
      </c>
      <c r="U556" s="24" t="str">
        <f t="shared" si="52"/>
        <v/>
      </c>
      <c r="V556" s="14" t="s">
        <v>761</v>
      </c>
    </row>
    <row r="557" spans="2:22" s="46" customFormat="1" x14ac:dyDescent="0.25">
      <c r="B557" s="37" t="s">
        <v>25</v>
      </c>
      <c r="C557" s="38"/>
      <c r="D557" s="86" t="str">
        <f>INDEX(Cad_Natureza!$B$3:$C$52,MATCH('2025'!F557,Cad_Natureza!$C$3:$C$52,0),MATCH('2025'!D$2,Cad_Natureza!$B$3:$C$3,0))</f>
        <v>PENS3</v>
      </c>
      <c r="E557" s="84" t="s">
        <v>558</v>
      </c>
      <c r="F557" s="85" t="s">
        <v>746</v>
      </c>
      <c r="G557" s="86" t="s">
        <v>25</v>
      </c>
      <c r="H557" s="87">
        <v>45845</v>
      </c>
      <c r="I557" s="87"/>
      <c r="J557" s="78" t="s">
        <v>587</v>
      </c>
      <c r="K557" s="62">
        <v>-519.03</v>
      </c>
      <c r="L557" s="68">
        <f t="shared" si="51"/>
        <v>2419.9899999999998</v>
      </c>
      <c r="M557" s="38"/>
      <c r="N557" s="44" t="str">
        <f t="shared" si="53"/>
        <v>MCSPENS3CPF - Pensão - Plano de saúde</v>
      </c>
      <c r="O557" s="44" t="str">
        <f t="shared" si="54"/>
        <v>PENS3CPF - Pensão - Plano de saúde</v>
      </c>
      <c r="P557" s="44" t="str">
        <f t="shared" si="55"/>
        <v>MCSPENS3CPF - Pensão - Plano de saúde</v>
      </c>
      <c r="Q557" s="44" t="str">
        <f t="shared" si="56"/>
        <v>MCSPENS3</v>
      </c>
      <c r="R557" s="44" t="str">
        <f t="shared" si="57"/>
        <v>MCSPENS3</v>
      </c>
      <c r="S557" s="38"/>
      <c r="T557" s="45">
        <f t="shared" si="58"/>
        <v>45839</v>
      </c>
      <c r="U557" s="24" t="str">
        <f t="shared" si="52"/>
        <v/>
      </c>
      <c r="V557" s="14" t="s">
        <v>731</v>
      </c>
    </row>
    <row r="558" spans="2:22" s="46" customFormat="1" x14ac:dyDescent="0.25">
      <c r="B558" s="37" t="s">
        <v>25</v>
      </c>
      <c r="C558" s="38"/>
      <c r="D558" s="86" t="str">
        <f>INDEX(Cad_Natureza!$B$3:$C$52,MATCH('2025'!F558,Cad_Natureza!$C$3:$C$52,0),MATCH('2025'!D$2,Cad_Natureza!$B$3:$C$3,0))</f>
        <v>FIN1</v>
      </c>
      <c r="E558" s="84" t="s">
        <v>559</v>
      </c>
      <c r="F558" s="85" t="s">
        <v>713</v>
      </c>
      <c r="G558" s="86" t="s">
        <v>25</v>
      </c>
      <c r="H558" s="87">
        <v>45846</v>
      </c>
      <c r="I558" s="87"/>
      <c r="J558" s="79" t="s">
        <v>353</v>
      </c>
      <c r="K558" s="62">
        <v>-127.18</v>
      </c>
      <c r="L558" s="68">
        <f t="shared" si="51"/>
        <v>2292.81</v>
      </c>
      <c r="M558" s="38"/>
      <c r="N558" s="44" t="str">
        <f t="shared" si="53"/>
        <v>MCSFIN1CPF - Desp. Financeiras - Empréstimos</v>
      </c>
      <c r="O558" s="44" t="str">
        <f t="shared" si="54"/>
        <v>FIN1CPF - Desp. Financeiras - Empréstimos</v>
      </c>
      <c r="P558" s="44" t="str">
        <f t="shared" si="55"/>
        <v>MCSFIN1CPF - Desp. Financeiras - Empréstimos</v>
      </c>
      <c r="Q558" s="44" t="str">
        <f t="shared" si="56"/>
        <v>MCSFIN1</v>
      </c>
      <c r="R558" s="44" t="str">
        <f t="shared" si="57"/>
        <v>MCSFIN1</v>
      </c>
      <c r="S558" s="38"/>
      <c r="T558" s="45">
        <f t="shared" si="58"/>
        <v>45839</v>
      </c>
      <c r="U558" s="24" t="str">
        <f t="shared" si="52"/>
        <v/>
      </c>
      <c r="V558" s="14" t="s">
        <v>761</v>
      </c>
    </row>
    <row r="559" spans="2:22" s="46" customFormat="1" x14ac:dyDescent="0.25">
      <c r="B559" s="37" t="s">
        <v>25</v>
      </c>
      <c r="C559" s="38"/>
      <c r="D559" s="86" t="str">
        <f>INDEX(Cad_Natureza!$B$3:$C$52,MATCH('2025'!F559,Cad_Natureza!$C$3:$C$52,0),MATCH('2025'!D$2,Cad_Natureza!$B$3:$C$3,0))</f>
        <v>PENS4</v>
      </c>
      <c r="E559" s="84" t="s">
        <v>560</v>
      </c>
      <c r="F559" s="85" t="s">
        <v>749</v>
      </c>
      <c r="G559" s="86" t="s">
        <v>25</v>
      </c>
      <c r="H559" s="87">
        <v>45846</v>
      </c>
      <c r="I559" s="87"/>
      <c r="J559" s="78" t="s">
        <v>588</v>
      </c>
      <c r="K559" s="62">
        <v>-300</v>
      </c>
      <c r="L559" s="68">
        <f t="shared" si="51"/>
        <v>1992.81</v>
      </c>
      <c r="M559" s="38"/>
      <c r="N559" s="44" t="str">
        <f t="shared" si="53"/>
        <v>MCSPENS4CPF - Pensão - Supermercado</v>
      </c>
      <c r="O559" s="44" t="str">
        <f t="shared" si="54"/>
        <v>PENS4CPF - Pensão - Supermercado</v>
      </c>
      <c r="P559" s="44" t="str">
        <f t="shared" si="55"/>
        <v>MCSPENS4CPF - Pensão - Supermercado</v>
      </c>
      <c r="Q559" s="44" t="str">
        <f t="shared" si="56"/>
        <v>MCSPENS4</v>
      </c>
      <c r="R559" s="44" t="str">
        <f t="shared" si="57"/>
        <v>MCSPENS4</v>
      </c>
      <c r="S559" s="38"/>
      <c r="T559" s="45">
        <f t="shared" si="58"/>
        <v>45839</v>
      </c>
      <c r="U559" s="24" t="str">
        <f t="shared" si="52"/>
        <v/>
      </c>
      <c r="V559" s="14" t="s">
        <v>731</v>
      </c>
    </row>
    <row r="560" spans="2:22" s="46" customFormat="1" x14ac:dyDescent="0.25">
      <c r="B560" s="37" t="s">
        <v>25</v>
      </c>
      <c r="C560" s="38"/>
      <c r="D560" s="86" t="str">
        <f>INDEX(Cad_Natureza!$B$3:$C$52,MATCH('2025'!F560,Cad_Natureza!$C$3:$C$52,0),MATCH('2025'!D$2,Cad_Natureza!$B$3:$C$3,0))</f>
        <v>PENS1</v>
      </c>
      <c r="E560" s="84" t="s">
        <v>560</v>
      </c>
      <c r="F560" s="85" t="s">
        <v>717</v>
      </c>
      <c r="G560" s="86" t="s">
        <v>25</v>
      </c>
      <c r="H560" s="87">
        <v>45846</v>
      </c>
      <c r="I560" s="87"/>
      <c r="J560" s="78" t="s">
        <v>589</v>
      </c>
      <c r="K560" s="62">
        <v>-600</v>
      </c>
      <c r="L560" s="68">
        <f t="shared" si="51"/>
        <v>1392.81</v>
      </c>
      <c r="M560" s="38"/>
      <c r="N560" s="44" t="str">
        <f t="shared" si="53"/>
        <v>MCSPENS1CPF - Pensão - Aluguel</v>
      </c>
      <c r="O560" s="44" t="str">
        <f t="shared" si="54"/>
        <v>PENS1CPF - Pensão - Aluguel</v>
      </c>
      <c r="P560" s="44" t="str">
        <f t="shared" si="55"/>
        <v>MCSPENS1CPF - Pensão - Aluguel</v>
      </c>
      <c r="Q560" s="44" t="str">
        <f t="shared" si="56"/>
        <v>MCSPENS1</v>
      </c>
      <c r="R560" s="44" t="str">
        <f t="shared" si="57"/>
        <v>MCSPENS1</v>
      </c>
      <c r="S560" s="38"/>
      <c r="T560" s="45">
        <f t="shared" si="58"/>
        <v>45839</v>
      </c>
      <c r="U560" s="24" t="str">
        <f t="shared" si="52"/>
        <v/>
      </c>
      <c r="V560" s="14" t="s">
        <v>731</v>
      </c>
    </row>
    <row r="561" spans="2:22" s="46" customFormat="1" x14ac:dyDescent="0.25">
      <c r="B561" s="37" t="s">
        <v>25</v>
      </c>
      <c r="C561" s="38"/>
      <c r="D561" s="63" t="str">
        <f>INDEX(Cad_Natureza!$B$3:$C$52,MATCH('2025'!F561,Cad_Natureza!$C$3:$C$52,0),MATCH('2025'!D$2,Cad_Natureza!$B$3:$C$3,0))</f>
        <v>REC6</v>
      </c>
      <c r="E561" s="64" t="s">
        <v>574</v>
      </c>
      <c r="F561" s="65" t="s">
        <v>755</v>
      </c>
      <c r="G561" s="63" t="s">
        <v>25</v>
      </c>
      <c r="H561" s="66">
        <v>45847</v>
      </c>
      <c r="I561" s="66"/>
      <c r="J561" s="81" t="s">
        <v>759</v>
      </c>
      <c r="K561" s="68">
        <v>105</v>
      </c>
      <c r="L561" s="68">
        <v>1497.81</v>
      </c>
      <c r="M561" s="38"/>
      <c r="N561" s="44" t="str">
        <f t="shared" si="53"/>
        <v>MCSREC6CPF - Pensão - Outras receitas</v>
      </c>
      <c r="O561" s="44" t="str">
        <f t="shared" si="54"/>
        <v>REC6CPF - Pensão - Outras receitas</v>
      </c>
      <c r="P561" s="44" t="str">
        <f t="shared" si="55"/>
        <v>MCSREC6CPF - Pensão - Outras receitas</v>
      </c>
      <c r="Q561" s="44" t="str">
        <f t="shared" si="56"/>
        <v>MCSREC6</v>
      </c>
      <c r="R561" s="44" t="str">
        <f t="shared" si="57"/>
        <v>MCSREC6</v>
      </c>
      <c r="S561" s="38"/>
      <c r="T561" s="45">
        <f t="shared" si="58"/>
        <v>45839</v>
      </c>
      <c r="U561" s="24" t="str">
        <f t="shared" si="52"/>
        <v/>
      </c>
      <c r="V561" s="14" t="s">
        <v>731</v>
      </c>
    </row>
    <row r="562" spans="2:22" s="46" customFormat="1" x14ac:dyDescent="0.25">
      <c r="B562" s="37" t="s">
        <v>25</v>
      </c>
      <c r="C562" s="38"/>
      <c r="D562" s="86" t="str">
        <f>INDEX(Cad_Natureza!$B$3:$C$52,MATCH('2025'!F562,Cad_Natureza!$C$3:$C$52,0),MATCH('2025'!D$2,Cad_Natureza!$B$3:$C$3,0))</f>
        <v>PENS6</v>
      </c>
      <c r="E562" s="84" t="s">
        <v>616</v>
      </c>
      <c r="F562" s="85" t="s">
        <v>37</v>
      </c>
      <c r="G562" s="86" t="s">
        <v>25</v>
      </c>
      <c r="H562" s="87">
        <v>45847</v>
      </c>
      <c r="I562" s="87"/>
      <c r="J562" s="78" t="s">
        <v>196</v>
      </c>
      <c r="K562" s="62">
        <v>-95</v>
      </c>
      <c r="L562" s="68">
        <v>1402.81</v>
      </c>
      <c r="M562" s="38"/>
      <c r="N562" s="44" t="str">
        <f t="shared" si="53"/>
        <v>MCSPENS6CPF - Pensão - Farmácia e Saúde</v>
      </c>
      <c r="O562" s="44" t="str">
        <f t="shared" si="54"/>
        <v>PENS6CPF - Pensão - Farmácia e Saúde</v>
      </c>
      <c r="P562" s="44" t="str">
        <f t="shared" si="55"/>
        <v>MCSPENS6CPF - Pensão - Farmácia e Saúde</v>
      </c>
      <c r="Q562" s="44" t="str">
        <f t="shared" si="56"/>
        <v>MCSPENS6</v>
      </c>
      <c r="R562" s="44" t="str">
        <f t="shared" si="57"/>
        <v>MCSPENS6</v>
      </c>
      <c r="S562" s="38"/>
      <c r="T562" s="45">
        <f t="shared" si="58"/>
        <v>45839</v>
      </c>
      <c r="U562" s="24" t="str">
        <f t="shared" si="52"/>
        <v/>
      </c>
      <c r="V562" s="14" t="s">
        <v>731</v>
      </c>
    </row>
    <row r="563" spans="2:22" s="46" customFormat="1" x14ac:dyDescent="0.25">
      <c r="B563" s="37" t="s">
        <v>25</v>
      </c>
      <c r="C563" s="38"/>
      <c r="D563" s="86" t="str">
        <f>INDEX(Cad_Natureza!$B$3:$C$52,MATCH('2025'!F563,Cad_Natureza!$C$3:$C$52,0),MATCH('2025'!D$2,Cad_Natureza!$B$3:$C$3,0))</f>
        <v>OPF2</v>
      </c>
      <c r="E563" s="84" t="s">
        <v>617</v>
      </c>
      <c r="F563" s="85" t="s">
        <v>741</v>
      </c>
      <c r="G563" s="86" t="s">
        <v>25</v>
      </c>
      <c r="H563" s="87">
        <v>45848</v>
      </c>
      <c r="I563" s="87"/>
      <c r="J563" s="79" t="s">
        <v>184</v>
      </c>
      <c r="K563" s="62">
        <v>-50</v>
      </c>
      <c r="L563" s="68">
        <v>1352.81</v>
      </c>
      <c r="M563" s="38"/>
      <c r="N563" s="44" t="str">
        <f t="shared" si="53"/>
        <v>MCSOPF2CPF - Desp. Transporte / Combustível</v>
      </c>
      <c r="O563" s="44" t="str">
        <f t="shared" si="54"/>
        <v>OPF2CPF - Desp. Transporte / Combustível</v>
      </c>
      <c r="P563" s="44" t="str">
        <f t="shared" si="55"/>
        <v>MCSOPF2CPF - Desp. Transporte / Combustível</v>
      </c>
      <c r="Q563" s="44" t="str">
        <f t="shared" si="56"/>
        <v>MCSOPF2</v>
      </c>
      <c r="R563" s="44" t="str">
        <f t="shared" si="57"/>
        <v>MCSOPF2</v>
      </c>
      <c r="S563" s="38"/>
      <c r="T563" s="45">
        <f t="shared" si="58"/>
        <v>45839</v>
      </c>
      <c r="U563" s="24" t="str">
        <f t="shared" si="52"/>
        <v/>
      </c>
      <c r="V563" s="14" t="s">
        <v>761</v>
      </c>
    </row>
    <row r="564" spans="2:22" s="46" customFormat="1" x14ac:dyDescent="0.25">
      <c r="B564" s="37" t="s">
        <v>25</v>
      </c>
      <c r="C564" s="38"/>
      <c r="D564" s="86" t="str">
        <f>INDEX(Cad_Natureza!$B$3:$C$52,MATCH('2025'!F564,Cad_Natureza!$C$3:$C$52,0),MATCH('2025'!D$2,Cad_Natureza!$B$3:$C$3,0))</f>
        <v>GAST1</v>
      </c>
      <c r="E564" s="84" t="s">
        <v>618</v>
      </c>
      <c r="F564" s="85" t="s">
        <v>742</v>
      </c>
      <c r="G564" s="86" t="s">
        <v>25</v>
      </c>
      <c r="H564" s="87">
        <v>45848</v>
      </c>
      <c r="I564" s="87"/>
      <c r="J564" s="79" t="s">
        <v>185</v>
      </c>
      <c r="K564" s="62">
        <v>-26.5</v>
      </c>
      <c r="L564" s="68">
        <v>1326.31</v>
      </c>
      <c r="M564" s="38"/>
      <c r="N564" s="44" t="str">
        <f t="shared" si="53"/>
        <v>MCSGAST1CPF - Desp. Lazer e Entretenimento - Bares</v>
      </c>
      <c r="O564" s="44" t="str">
        <f t="shared" si="54"/>
        <v>GAST1CPF - Desp. Lazer e Entretenimento - Bares</v>
      </c>
      <c r="P564" s="44" t="str">
        <f t="shared" si="55"/>
        <v>MCSGAST1CPF - Desp. Lazer e Entretenimento - Bares</v>
      </c>
      <c r="Q564" s="44" t="str">
        <f t="shared" si="56"/>
        <v>MCSGAST1</v>
      </c>
      <c r="R564" s="44" t="str">
        <f t="shared" si="57"/>
        <v>MCSGAST1</v>
      </c>
      <c r="S564" s="38"/>
      <c r="T564" s="45">
        <f t="shared" si="58"/>
        <v>45839</v>
      </c>
      <c r="U564" s="24" t="str">
        <f t="shared" si="52"/>
        <v/>
      </c>
      <c r="V564" s="14" t="s">
        <v>761</v>
      </c>
    </row>
    <row r="565" spans="2:22" s="46" customFormat="1" x14ac:dyDescent="0.25">
      <c r="B565" s="37" t="s">
        <v>25</v>
      </c>
      <c r="C565" s="38"/>
      <c r="D565" s="86" t="str">
        <f>INDEX(Cad_Natureza!$B$3:$C$52,MATCH('2025'!F565,Cad_Natureza!$C$3:$C$52,0),MATCH('2025'!D$2,Cad_Natureza!$B$3:$C$3,0))</f>
        <v>GAST1</v>
      </c>
      <c r="E565" s="84" t="s">
        <v>619</v>
      </c>
      <c r="F565" s="85" t="s">
        <v>742</v>
      </c>
      <c r="G565" s="86" t="s">
        <v>25</v>
      </c>
      <c r="H565" s="87">
        <v>45849</v>
      </c>
      <c r="I565" s="87"/>
      <c r="J565" s="79" t="s">
        <v>185</v>
      </c>
      <c r="K565" s="62">
        <v>-10</v>
      </c>
      <c r="L565" s="68">
        <v>1316.31</v>
      </c>
      <c r="M565" s="38"/>
      <c r="N565" s="44" t="str">
        <f t="shared" si="53"/>
        <v>MCSGAST1CPF - Desp. Lazer e Entretenimento - Bares</v>
      </c>
      <c r="O565" s="44" t="str">
        <f t="shared" si="54"/>
        <v>GAST1CPF - Desp. Lazer e Entretenimento - Bares</v>
      </c>
      <c r="P565" s="44" t="str">
        <f t="shared" si="55"/>
        <v>MCSGAST1CPF - Desp. Lazer e Entretenimento - Bares</v>
      </c>
      <c r="Q565" s="44" t="str">
        <f t="shared" si="56"/>
        <v>MCSGAST1</v>
      </c>
      <c r="R565" s="44" t="str">
        <f t="shared" si="57"/>
        <v>MCSGAST1</v>
      </c>
      <c r="S565" s="38"/>
      <c r="T565" s="45">
        <f t="shared" si="58"/>
        <v>45839</v>
      </c>
      <c r="U565" s="24" t="str">
        <f t="shared" si="52"/>
        <v/>
      </c>
      <c r="V565" s="14" t="s">
        <v>761</v>
      </c>
    </row>
    <row r="566" spans="2:22" s="46" customFormat="1" x14ac:dyDescent="0.25">
      <c r="B566" s="37" t="s">
        <v>25</v>
      </c>
      <c r="C566" s="38"/>
      <c r="D566" s="86" t="str">
        <f>INDEX(Cad_Natureza!$B$3:$C$52,MATCH('2025'!F566,Cad_Natureza!$C$3:$C$52,0),MATCH('2025'!D$2,Cad_Natureza!$B$3:$C$3,0))</f>
        <v>GAST2</v>
      </c>
      <c r="E566" s="84" t="s">
        <v>620</v>
      </c>
      <c r="F566" s="85" t="s">
        <v>743</v>
      </c>
      <c r="G566" s="86" t="s">
        <v>25</v>
      </c>
      <c r="H566" s="87">
        <v>45852</v>
      </c>
      <c r="I566" s="87"/>
      <c r="J566" s="79" t="s">
        <v>180</v>
      </c>
      <c r="K566" s="62">
        <v>-35</v>
      </c>
      <c r="L566" s="68">
        <v>1281.31</v>
      </c>
      <c r="M566" s="38"/>
      <c r="N566" s="44" t="str">
        <f t="shared" si="53"/>
        <v>MCSGAST2CPF - Desp. Lazer e Entretenimento - Cigarro</v>
      </c>
      <c r="O566" s="44" t="str">
        <f t="shared" si="54"/>
        <v>GAST2CPF - Desp. Lazer e Entretenimento - Cigarro</v>
      </c>
      <c r="P566" s="44" t="str">
        <f t="shared" si="55"/>
        <v>MCSGAST2CPF - Desp. Lazer e Entretenimento - Cigarro</v>
      </c>
      <c r="Q566" s="44" t="str">
        <f t="shared" si="56"/>
        <v>MCSGAST2</v>
      </c>
      <c r="R566" s="44" t="str">
        <f t="shared" si="57"/>
        <v>MCSGAST2</v>
      </c>
      <c r="S566" s="38"/>
      <c r="T566" s="45">
        <f t="shared" si="58"/>
        <v>45839</v>
      </c>
      <c r="U566" s="24" t="str">
        <f t="shared" si="52"/>
        <v/>
      </c>
      <c r="V566" s="14" t="s">
        <v>761</v>
      </c>
    </row>
    <row r="567" spans="2:22" s="46" customFormat="1" x14ac:dyDescent="0.25">
      <c r="B567" s="37" t="s">
        <v>25</v>
      </c>
      <c r="C567" s="38"/>
      <c r="D567" s="86" t="str">
        <f>INDEX(Cad_Natureza!$B$3:$C$52,MATCH('2025'!F567,Cad_Natureza!$C$3:$C$52,0),MATCH('2025'!D$2,Cad_Natureza!$B$3:$C$3,0))</f>
        <v>GAST1</v>
      </c>
      <c r="E567" s="84" t="s">
        <v>621</v>
      </c>
      <c r="F567" s="85" t="s">
        <v>742</v>
      </c>
      <c r="G567" s="86" t="s">
        <v>25</v>
      </c>
      <c r="H567" s="87">
        <v>45852</v>
      </c>
      <c r="I567" s="87"/>
      <c r="J567" s="79" t="s">
        <v>867</v>
      </c>
      <c r="K567" s="62">
        <v>-5</v>
      </c>
      <c r="L567" s="68">
        <v>1276.31</v>
      </c>
      <c r="M567" s="38"/>
      <c r="N567" s="44" t="str">
        <f t="shared" si="53"/>
        <v>MCSGAST1CPF - Desp. Lazer e Entretenimento - Bares</v>
      </c>
      <c r="O567" s="44" t="str">
        <f t="shared" si="54"/>
        <v>GAST1CPF - Desp. Lazer e Entretenimento - Bares</v>
      </c>
      <c r="P567" s="44" t="str">
        <f t="shared" si="55"/>
        <v>MCSGAST1CPF - Desp. Lazer e Entretenimento - Bares</v>
      </c>
      <c r="Q567" s="44" t="str">
        <f t="shared" si="56"/>
        <v>MCSGAST1</v>
      </c>
      <c r="R567" s="44" t="str">
        <f t="shared" si="57"/>
        <v>MCSGAST1</v>
      </c>
      <c r="S567" s="38"/>
      <c r="T567" s="45">
        <f t="shared" si="58"/>
        <v>45839</v>
      </c>
      <c r="U567" s="24" t="str">
        <f t="shared" si="52"/>
        <v/>
      </c>
      <c r="V567" s="14" t="s">
        <v>761</v>
      </c>
    </row>
    <row r="568" spans="2:22" s="46" customFormat="1" x14ac:dyDescent="0.25">
      <c r="B568" s="37" t="s">
        <v>25</v>
      </c>
      <c r="C568" s="38"/>
      <c r="D568" s="86" t="str">
        <f>INDEX(Cad_Natureza!$B$3:$C$52,MATCH('2025'!F568,Cad_Natureza!$C$3:$C$52,0),MATCH('2025'!D$2,Cad_Natureza!$B$3:$C$3,0))</f>
        <v>GAST1</v>
      </c>
      <c r="E568" s="84" t="s">
        <v>622</v>
      </c>
      <c r="F568" s="85" t="s">
        <v>742</v>
      </c>
      <c r="G568" s="86" t="s">
        <v>25</v>
      </c>
      <c r="H568" s="87">
        <v>45852</v>
      </c>
      <c r="I568" s="87"/>
      <c r="J568" s="79" t="s">
        <v>867</v>
      </c>
      <c r="K568" s="62">
        <v>-10</v>
      </c>
      <c r="L568" s="68">
        <v>1266.31</v>
      </c>
      <c r="M568" s="38"/>
      <c r="N568" s="44" t="str">
        <f t="shared" si="53"/>
        <v>MCSGAST1CPF - Desp. Lazer e Entretenimento - Bares</v>
      </c>
      <c r="O568" s="44" t="str">
        <f t="shared" si="54"/>
        <v>GAST1CPF - Desp. Lazer e Entretenimento - Bares</v>
      </c>
      <c r="P568" s="44" t="str">
        <f t="shared" si="55"/>
        <v>MCSGAST1CPF - Desp. Lazer e Entretenimento - Bares</v>
      </c>
      <c r="Q568" s="44" t="str">
        <f t="shared" si="56"/>
        <v>MCSGAST1</v>
      </c>
      <c r="R568" s="44" t="str">
        <f t="shared" si="57"/>
        <v>MCSGAST1</v>
      </c>
      <c r="S568" s="38"/>
      <c r="T568" s="45">
        <f t="shared" si="58"/>
        <v>45839</v>
      </c>
      <c r="U568" s="24" t="str">
        <f t="shared" si="52"/>
        <v/>
      </c>
      <c r="V568" s="14" t="s">
        <v>761</v>
      </c>
    </row>
    <row r="569" spans="2:22" s="46" customFormat="1" x14ac:dyDescent="0.25">
      <c r="B569" s="37" t="s">
        <v>25</v>
      </c>
      <c r="C569" s="38"/>
      <c r="D569" s="86" t="str">
        <f>INDEX(Cad_Natureza!$B$3:$C$52,MATCH('2025'!F569,Cad_Natureza!$C$3:$C$52,0),MATCH('2025'!D$2,Cad_Natureza!$B$3:$C$3,0))</f>
        <v>GAST1</v>
      </c>
      <c r="E569" s="84" t="s">
        <v>622</v>
      </c>
      <c r="F569" s="85" t="s">
        <v>742</v>
      </c>
      <c r="G569" s="86" t="s">
        <v>25</v>
      </c>
      <c r="H569" s="87">
        <v>45852</v>
      </c>
      <c r="I569" s="87"/>
      <c r="J569" s="79" t="s">
        <v>867</v>
      </c>
      <c r="K569" s="62">
        <v>-5</v>
      </c>
      <c r="L569" s="68">
        <v>1261.31</v>
      </c>
      <c r="M569" s="38"/>
      <c r="N569" s="44" t="str">
        <f t="shared" si="53"/>
        <v>MCSGAST1CPF - Desp. Lazer e Entretenimento - Bares</v>
      </c>
      <c r="O569" s="44" t="str">
        <f t="shared" si="54"/>
        <v>GAST1CPF - Desp. Lazer e Entretenimento - Bares</v>
      </c>
      <c r="P569" s="44" t="str">
        <f t="shared" si="55"/>
        <v>MCSGAST1CPF - Desp. Lazer e Entretenimento - Bares</v>
      </c>
      <c r="Q569" s="44" t="str">
        <f t="shared" si="56"/>
        <v>MCSGAST1</v>
      </c>
      <c r="R569" s="44" t="str">
        <f t="shared" si="57"/>
        <v>MCSGAST1</v>
      </c>
      <c r="S569" s="38"/>
      <c r="T569" s="45">
        <f t="shared" si="58"/>
        <v>45839</v>
      </c>
      <c r="U569" s="24" t="str">
        <f t="shared" si="52"/>
        <v/>
      </c>
      <c r="V569" s="14" t="s">
        <v>761</v>
      </c>
    </row>
    <row r="570" spans="2:22" s="46" customFormat="1" x14ac:dyDescent="0.25">
      <c r="B570" s="37" t="s">
        <v>25</v>
      </c>
      <c r="C570" s="38"/>
      <c r="D570" s="86" t="str">
        <f>INDEX(Cad_Natureza!$B$3:$C$52,MATCH('2025'!F570,Cad_Natureza!$C$3:$C$52,0),MATCH('2025'!D$2,Cad_Natureza!$B$3:$C$3,0))</f>
        <v>GAST1</v>
      </c>
      <c r="E570" s="84" t="s">
        <v>622</v>
      </c>
      <c r="F570" s="85" t="s">
        <v>742</v>
      </c>
      <c r="G570" s="86" t="s">
        <v>25</v>
      </c>
      <c r="H570" s="87">
        <v>45852</v>
      </c>
      <c r="I570" s="87"/>
      <c r="J570" s="79" t="s">
        <v>867</v>
      </c>
      <c r="K570" s="62">
        <v>-4</v>
      </c>
      <c r="L570" s="68">
        <v>1257.31</v>
      </c>
      <c r="M570" s="38"/>
      <c r="N570" s="44" t="str">
        <f t="shared" si="53"/>
        <v>MCSGAST1CPF - Desp. Lazer e Entretenimento - Bares</v>
      </c>
      <c r="O570" s="44" t="str">
        <f t="shared" si="54"/>
        <v>GAST1CPF - Desp. Lazer e Entretenimento - Bares</v>
      </c>
      <c r="P570" s="44" t="str">
        <f t="shared" si="55"/>
        <v>MCSGAST1CPF - Desp. Lazer e Entretenimento - Bares</v>
      </c>
      <c r="Q570" s="44" t="str">
        <f t="shared" si="56"/>
        <v>MCSGAST1</v>
      </c>
      <c r="R570" s="44" t="str">
        <f t="shared" si="57"/>
        <v>MCSGAST1</v>
      </c>
      <c r="S570" s="38"/>
      <c r="T570" s="45">
        <f t="shared" si="58"/>
        <v>45839</v>
      </c>
      <c r="U570" s="24" t="str">
        <f t="shared" si="52"/>
        <v/>
      </c>
      <c r="V570" s="14" t="s">
        <v>761</v>
      </c>
    </row>
    <row r="571" spans="2:22" s="46" customFormat="1" x14ac:dyDescent="0.25">
      <c r="B571" s="37" t="s">
        <v>25</v>
      </c>
      <c r="C571" s="38"/>
      <c r="D571" s="86" t="str">
        <f>INDEX(Cad_Natureza!$B$3:$C$52,MATCH('2025'!F571,Cad_Natureza!$C$3:$C$52,0),MATCH('2025'!D$2,Cad_Natureza!$B$3:$C$3,0))</f>
        <v>GAST1</v>
      </c>
      <c r="E571" s="84" t="s">
        <v>622</v>
      </c>
      <c r="F571" s="85" t="s">
        <v>742</v>
      </c>
      <c r="G571" s="86" t="s">
        <v>25</v>
      </c>
      <c r="H571" s="87">
        <v>45852</v>
      </c>
      <c r="I571" s="87"/>
      <c r="J571" s="79" t="s">
        <v>867</v>
      </c>
      <c r="K571" s="62">
        <v>-5</v>
      </c>
      <c r="L571" s="68">
        <v>1252.31</v>
      </c>
      <c r="M571" s="38"/>
      <c r="N571" s="44" t="str">
        <f t="shared" si="53"/>
        <v>MCSGAST1CPF - Desp. Lazer e Entretenimento - Bares</v>
      </c>
      <c r="O571" s="44" t="str">
        <f t="shared" si="54"/>
        <v>GAST1CPF - Desp. Lazer e Entretenimento - Bares</v>
      </c>
      <c r="P571" s="44" t="str">
        <f t="shared" si="55"/>
        <v>MCSGAST1CPF - Desp. Lazer e Entretenimento - Bares</v>
      </c>
      <c r="Q571" s="44" t="str">
        <f t="shared" si="56"/>
        <v>MCSGAST1</v>
      </c>
      <c r="R571" s="44" t="str">
        <f t="shared" si="57"/>
        <v>MCSGAST1</v>
      </c>
      <c r="S571" s="38"/>
      <c r="T571" s="45">
        <f t="shared" si="58"/>
        <v>45839</v>
      </c>
      <c r="U571" s="24" t="str">
        <f t="shared" si="52"/>
        <v/>
      </c>
      <c r="V571" s="14" t="s">
        <v>761</v>
      </c>
    </row>
    <row r="572" spans="2:22" s="46" customFormat="1" x14ac:dyDescent="0.25">
      <c r="B572" s="37" t="s">
        <v>25</v>
      </c>
      <c r="C572" s="38"/>
      <c r="D572" s="86" t="str">
        <f>INDEX(Cad_Natureza!$B$3:$C$52,MATCH('2025'!F572,Cad_Natureza!$C$3:$C$52,0),MATCH('2025'!D$2,Cad_Natureza!$B$3:$C$3,0))</f>
        <v>GAST1</v>
      </c>
      <c r="E572" s="84" t="s">
        <v>622</v>
      </c>
      <c r="F572" s="85" t="s">
        <v>742</v>
      </c>
      <c r="G572" s="86" t="s">
        <v>25</v>
      </c>
      <c r="H572" s="87">
        <v>45852</v>
      </c>
      <c r="I572" s="87"/>
      <c r="J572" s="79" t="s">
        <v>867</v>
      </c>
      <c r="K572" s="62">
        <v>-8</v>
      </c>
      <c r="L572" s="68">
        <v>1244.31</v>
      </c>
      <c r="M572" s="38"/>
      <c r="N572" s="44" t="str">
        <f t="shared" si="53"/>
        <v>MCSGAST1CPF - Desp. Lazer e Entretenimento - Bares</v>
      </c>
      <c r="O572" s="44" t="str">
        <f t="shared" si="54"/>
        <v>GAST1CPF - Desp. Lazer e Entretenimento - Bares</v>
      </c>
      <c r="P572" s="44" t="str">
        <f t="shared" si="55"/>
        <v>MCSGAST1CPF - Desp. Lazer e Entretenimento - Bares</v>
      </c>
      <c r="Q572" s="44" t="str">
        <f t="shared" si="56"/>
        <v>MCSGAST1</v>
      </c>
      <c r="R572" s="44" t="str">
        <f t="shared" si="57"/>
        <v>MCSGAST1</v>
      </c>
      <c r="S572" s="38"/>
      <c r="T572" s="45">
        <f t="shared" si="58"/>
        <v>45839</v>
      </c>
      <c r="U572" s="24" t="str">
        <f t="shared" si="52"/>
        <v/>
      </c>
      <c r="V572" s="14" t="s">
        <v>761</v>
      </c>
    </row>
    <row r="573" spans="2:22" s="46" customFormat="1" x14ac:dyDescent="0.25">
      <c r="B573" s="37" t="s">
        <v>25</v>
      </c>
      <c r="C573" s="38"/>
      <c r="D573" s="86" t="str">
        <f>INDEX(Cad_Natureza!$B$3:$C$52,MATCH('2025'!F573,Cad_Natureza!$C$3:$C$52,0),MATCH('2025'!D$2,Cad_Natureza!$B$3:$C$3,0))</f>
        <v>GAST1</v>
      </c>
      <c r="E573" s="84" t="s">
        <v>622</v>
      </c>
      <c r="F573" s="85" t="s">
        <v>742</v>
      </c>
      <c r="G573" s="86" t="s">
        <v>25</v>
      </c>
      <c r="H573" s="87">
        <v>45852</v>
      </c>
      <c r="I573" s="87"/>
      <c r="J573" s="79" t="s">
        <v>867</v>
      </c>
      <c r="K573" s="62">
        <v>-5</v>
      </c>
      <c r="L573" s="68">
        <v>1239.31</v>
      </c>
      <c r="M573" s="38"/>
      <c r="N573" s="44" t="str">
        <f t="shared" si="53"/>
        <v>MCSGAST1CPF - Desp. Lazer e Entretenimento - Bares</v>
      </c>
      <c r="O573" s="44" t="str">
        <f t="shared" si="54"/>
        <v>GAST1CPF - Desp. Lazer e Entretenimento - Bares</v>
      </c>
      <c r="P573" s="44" t="str">
        <f t="shared" si="55"/>
        <v>MCSGAST1CPF - Desp. Lazer e Entretenimento - Bares</v>
      </c>
      <c r="Q573" s="44" t="str">
        <f t="shared" si="56"/>
        <v>MCSGAST1</v>
      </c>
      <c r="R573" s="44" t="str">
        <f t="shared" si="57"/>
        <v>MCSGAST1</v>
      </c>
      <c r="S573" s="38"/>
      <c r="T573" s="45">
        <f t="shared" si="58"/>
        <v>45839</v>
      </c>
      <c r="U573" s="24" t="str">
        <f t="shared" si="52"/>
        <v/>
      </c>
      <c r="V573" s="14" t="s">
        <v>761</v>
      </c>
    </row>
    <row r="574" spans="2:22" s="46" customFormat="1" x14ac:dyDescent="0.25">
      <c r="B574" s="37" t="s">
        <v>25</v>
      </c>
      <c r="C574" s="38"/>
      <c r="D574" s="86" t="str">
        <f>INDEX(Cad_Natureza!$B$3:$C$52,MATCH('2025'!F574,Cad_Natureza!$C$3:$C$52,0),MATCH('2025'!D$2,Cad_Natureza!$B$3:$C$3,0))</f>
        <v>GAST1</v>
      </c>
      <c r="E574" s="84" t="s">
        <v>623</v>
      </c>
      <c r="F574" s="85" t="s">
        <v>742</v>
      </c>
      <c r="G574" s="86" t="s">
        <v>25</v>
      </c>
      <c r="H574" s="87">
        <v>45852</v>
      </c>
      <c r="I574" s="87"/>
      <c r="J574" s="79" t="s">
        <v>821</v>
      </c>
      <c r="K574" s="62">
        <v>-5</v>
      </c>
      <c r="L574" s="68">
        <v>1234.31</v>
      </c>
      <c r="M574" s="38"/>
      <c r="N574" s="44" t="str">
        <f t="shared" si="53"/>
        <v>MCSGAST1CPF - Desp. Lazer e Entretenimento - Bares</v>
      </c>
      <c r="O574" s="44" t="str">
        <f t="shared" si="54"/>
        <v>GAST1CPF - Desp. Lazer e Entretenimento - Bares</v>
      </c>
      <c r="P574" s="44" t="str">
        <f t="shared" si="55"/>
        <v>MCSGAST1CPF - Desp. Lazer e Entretenimento - Bares</v>
      </c>
      <c r="Q574" s="44" t="str">
        <f t="shared" si="56"/>
        <v>MCSGAST1</v>
      </c>
      <c r="R574" s="44" t="str">
        <f t="shared" si="57"/>
        <v>MCSGAST1</v>
      </c>
      <c r="S574" s="38"/>
      <c r="T574" s="45">
        <f t="shared" si="58"/>
        <v>45839</v>
      </c>
      <c r="U574" s="24" t="str">
        <f t="shared" si="52"/>
        <v/>
      </c>
      <c r="V574" s="14" t="s">
        <v>761</v>
      </c>
    </row>
    <row r="575" spans="2:22" s="46" customFormat="1" x14ac:dyDescent="0.25">
      <c r="B575" s="37" t="s">
        <v>25</v>
      </c>
      <c r="C575" s="38"/>
      <c r="D575" s="86" t="str">
        <f>INDEX(Cad_Natureza!$B$3:$C$52,MATCH('2025'!F575,Cad_Natureza!$C$3:$C$52,0),MATCH('2025'!D$2,Cad_Natureza!$B$3:$C$3,0))</f>
        <v>GAST1</v>
      </c>
      <c r="E575" s="84" t="s">
        <v>623</v>
      </c>
      <c r="F575" s="85" t="s">
        <v>742</v>
      </c>
      <c r="G575" s="86" t="s">
        <v>25</v>
      </c>
      <c r="H575" s="87">
        <v>45852</v>
      </c>
      <c r="I575" s="87"/>
      <c r="J575" s="79" t="s">
        <v>821</v>
      </c>
      <c r="K575" s="62">
        <v>-5</v>
      </c>
      <c r="L575" s="68">
        <v>1229.31</v>
      </c>
      <c r="M575" s="38"/>
      <c r="N575" s="44" t="str">
        <f t="shared" si="53"/>
        <v>MCSGAST1CPF - Desp. Lazer e Entretenimento - Bares</v>
      </c>
      <c r="O575" s="44" t="str">
        <f t="shared" si="54"/>
        <v>GAST1CPF - Desp. Lazer e Entretenimento - Bares</v>
      </c>
      <c r="P575" s="44" t="str">
        <f t="shared" si="55"/>
        <v>MCSGAST1CPF - Desp. Lazer e Entretenimento - Bares</v>
      </c>
      <c r="Q575" s="44" t="str">
        <f t="shared" si="56"/>
        <v>MCSGAST1</v>
      </c>
      <c r="R575" s="44" t="str">
        <f t="shared" si="57"/>
        <v>MCSGAST1</v>
      </c>
      <c r="S575" s="38"/>
      <c r="T575" s="45">
        <f t="shared" si="58"/>
        <v>45839</v>
      </c>
      <c r="U575" s="24" t="str">
        <f t="shared" si="52"/>
        <v/>
      </c>
      <c r="V575" s="14" t="s">
        <v>761</v>
      </c>
    </row>
    <row r="576" spans="2:22" s="46" customFormat="1" x14ac:dyDescent="0.25">
      <c r="B576" s="37" t="s">
        <v>25</v>
      </c>
      <c r="C576" s="38"/>
      <c r="D576" s="86" t="str">
        <f>INDEX(Cad_Natureza!$B$3:$C$52,MATCH('2025'!F576,Cad_Natureza!$C$3:$C$52,0),MATCH('2025'!D$2,Cad_Natureza!$B$3:$C$3,0))</f>
        <v>GAST1</v>
      </c>
      <c r="E576" s="84" t="s">
        <v>623</v>
      </c>
      <c r="F576" s="85" t="s">
        <v>742</v>
      </c>
      <c r="G576" s="86" t="s">
        <v>25</v>
      </c>
      <c r="H576" s="87">
        <v>45852</v>
      </c>
      <c r="I576" s="87"/>
      <c r="J576" s="79" t="s">
        <v>821</v>
      </c>
      <c r="K576" s="62">
        <v>-5</v>
      </c>
      <c r="L576" s="68">
        <v>1224.31</v>
      </c>
      <c r="M576" s="38"/>
      <c r="N576" s="44" t="str">
        <f t="shared" si="53"/>
        <v>MCSGAST1CPF - Desp. Lazer e Entretenimento - Bares</v>
      </c>
      <c r="O576" s="44" t="str">
        <f t="shared" si="54"/>
        <v>GAST1CPF - Desp. Lazer e Entretenimento - Bares</v>
      </c>
      <c r="P576" s="44" t="str">
        <f t="shared" si="55"/>
        <v>MCSGAST1CPF - Desp. Lazer e Entretenimento - Bares</v>
      </c>
      <c r="Q576" s="44" t="str">
        <f t="shared" si="56"/>
        <v>MCSGAST1</v>
      </c>
      <c r="R576" s="44" t="str">
        <f t="shared" si="57"/>
        <v>MCSGAST1</v>
      </c>
      <c r="S576" s="38"/>
      <c r="T576" s="45">
        <f t="shared" si="58"/>
        <v>45839</v>
      </c>
      <c r="U576" s="24" t="str">
        <f t="shared" si="52"/>
        <v/>
      </c>
      <c r="V576" s="14" t="s">
        <v>761</v>
      </c>
    </row>
    <row r="577" spans="2:22" s="46" customFormat="1" x14ac:dyDescent="0.25">
      <c r="B577" s="37" t="s">
        <v>25</v>
      </c>
      <c r="C577" s="38"/>
      <c r="D577" s="86" t="str">
        <f>INDEX(Cad_Natureza!$B$3:$C$52,MATCH('2025'!F577,Cad_Natureza!$C$3:$C$52,0),MATCH('2025'!D$2,Cad_Natureza!$B$3:$C$3,0))</f>
        <v>FIN3</v>
      </c>
      <c r="E577" s="84" t="s">
        <v>571</v>
      </c>
      <c r="F577" s="85" t="s">
        <v>939</v>
      </c>
      <c r="G577" s="86" t="s">
        <v>25</v>
      </c>
      <c r="H577" s="87">
        <v>45852</v>
      </c>
      <c r="I577" s="87"/>
      <c r="J577" s="79" t="s">
        <v>572</v>
      </c>
      <c r="K577" s="62">
        <v>-538.03</v>
      </c>
      <c r="L577" s="68">
        <v>686.28</v>
      </c>
      <c r="M577" s="38"/>
      <c r="N577" s="44" t="str">
        <f t="shared" si="53"/>
        <v>MCSFIN3CPF - Desp. Financeiras - Empréstimos bancários</v>
      </c>
      <c r="O577" s="44" t="str">
        <f t="shared" si="54"/>
        <v>FIN3CPF - Desp. Financeiras - Empréstimos bancários</v>
      </c>
      <c r="P577" s="44" t="str">
        <f t="shared" si="55"/>
        <v>MCSFIN3CPF - Desp. Financeiras - Empréstimos bancários</v>
      </c>
      <c r="Q577" s="44" t="str">
        <f t="shared" si="56"/>
        <v>MCSFIN3</v>
      </c>
      <c r="R577" s="44" t="str">
        <f t="shared" si="57"/>
        <v>MCSFIN3</v>
      </c>
      <c r="S577" s="38"/>
      <c r="T577" s="45">
        <f t="shared" si="58"/>
        <v>45839</v>
      </c>
      <c r="U577" s="24" t="str">
        <f t="shared" si="52"/>
        <v/>
      </c>
      <c r="V577" s="14" t="s">
        <v>761</v>
      </c>
    </row>
    <row r="578" spans="2:22" s="46" customFormat="1" x14ac:dyDescent="0.25">
      <c r="B578" s="37" t="s">
        <v>25</v>
      </c>
      <c r="C578" s="38"/>
      <c r="D578" s="86" t="str">
        <f>INDEX(Cad_Natureza!$B$3:$C$52,MATCH('2025'!F578,Cad_Natureza!$C$3:$C$52,0),MATCH('2025'!D$2,Cad_Natureza!$B$3:$C$3,0))</f>
        <v>OPF2</v>
      </c>
      <c r="E578" s="84" t="s">
        <v>624</v>
      </c>
      <c r="F578" s="85" t="s">
        <v>741</v>
      </c>
      <c r="G578" s="86" t="s">
        <v>25</v>
      </c>
      <c r="H578" s="87">
        <v>45852</v>
      </c>
      <c r="I578" s="87"/>
      <c r="J578" s="79" t="s">
        <v>184</v>
      </c>
      <c r="K578" s="62">
        <v>-50</v>
      </c>
      <c r="L578" s="68">
        <v>636.28</v>
      </c>
      <c r="M578" s="38"/>
      <c r="N578" s="44" t="str">
        <f t="shared" si="53"/>
        <v>MCSOPF2CPF - Desp. Transporte / Combustível</v>
      </c>
      <c r="O578" s="44" t="str">
        <f t="shared" si="54"/>
        <v>OPF2CPF - Desp. Transporte / Combustível</v>
      </c>
      <c r="P578" s="44" t="str">
        <f t="shared" si="55"/>
        <v>MCSOPF2CPF - Desp. Transporte / Combustível</v>
      </c>
      <c r="Q578" s="44" t="str">
        <f t="shared" si="56"/>
        <v>MCSOPF2</v>
      </c>
      <c r="R578" s="44" t="str">
        <f t="shared" si="57"/>
        <v>MCSOPF2</v>
      </c>
      <c r="S578" s="38"/>
      <c r="T578" s="45">
        <f t="shared" si="58"/>
        <v>45839</v>
      </c>
      <c r="U578" s="24" t="str">
        <f t="shared" si="52"/>
        <v/>
      </c>
      <c r="V578" s="14" t="s">
        <v>761</v>
      </c>
    </row>
    <row r="579" spans="2:22" s="46" customFormat="1" x14ac:dyDescent="0.25">
      <c r="B579" s="37" t="s">
        <v>25</v>
      </c>
      <c r="C579" s="38"/>
      <c r="D579" s="86" t="str">
        <f>INDEX(Cad_Natureza!$B$3:$C$52,MATCH('2025'!F579,Cad_Natureza!$C$3:$C$52,0),MATCH('2025'!D$2,Cad_Natureza!$B$3:$C$3,0))</f>
        <v>OPF1</v>
      </c>
      <c r="E579" s="84" t="s">
        <v>625</v>
      </c>
      <c r="F579" s="85" t="s">
        <v>744</v>
      </c>
      <c r="G579" s="86" t="s">
        <v>25</v>
      </c>
      <c r="H579" s="87">
        <v>45853</v>
      </c>
      <c r="I579" s="87"/>
      <c r="J579" s="79" t="s">
        <v>564</v>
      </c>
      <c r="K579" s="62">
        <v>-92</v>
      </c>
      <c r="L579" s="68">
        <v>544.28</v>
      </c>
      <c r="M579" s="38"/>
      <c r="N579" s="44" t="str">
        <f t="shared" si="53"/>
        <v>MCSOPF1CPF - Desp. Alimentação / Refeição</v>
      </c>
      <c r="O579" s="44" t="str">
        <f t="shared" si="54"/>
        <v>OPF1CPF - Desp. Alimentação / Refeição</v>
      </c>
      <c r="P579" s="44" t="str">
        <f t="shared" si="55"/>
        <v>MCSOPF1CPF - Desp. Alimentação / Refeição</v>
      </c>
      <c r="Q579" s="44" t="str">
        <f t="shared" si="56"/>
        <v>MCSOPF1</v>
      </c>
      <c r="R579" s="44" t="str">
        <f t="shared" si="57"/>
        <v>MCSOPF1</v>
      </c>
      <c r="S579" s="38"/>
      <c r="T579" s="45">
        <f t="shared" si="58"/>
        <v>45839</v>
      </c>
      <c r="U579" s="24" t="str">
        <f t="shared" ref="U579:U642" si="59">IF(I579="","",(1&amp;"/"&amp;MONTH(I579)&amp;"/"&amp;YEAR(I579))*1)</f>
        <v/>
      </c>
      <c r="V579" s="14" t="s">
        <v>761</v>
      </c>
    </row>
    <row r="580" spans="2:22" s="46" customFormat="1" x14ac:dyDescent="0.25">
      <c r="B580" s="37" t="s">
        <v>25</v>
      </c>
      <c r="C580" s="38"/>
      <c r="D580" s="86" t="str">
        <f>INDEX(Cad_Natureza!$B$3:$C$52,MATCH('2025'!F580,Cad_Natureza!$C$3:$C$52,0),MATCH('2025'!D$2,Cad_Natureza!$B$3:$C$3,0))</f>
        <v>DESP2</v>
      </c>
      <c r="E580" s="84" t="s">
        <v>222</v>
      </c>
      <c r="F580" s="85" t="s">
        <v>739</v>
      </c>
      <c r="G580" s="86" t="s">
        <v>25</v>
      </c>
      <c r="H580" s="87">
        <v>45853</v>
      </c>
      <c r="I580" s="87"/>
      <c r="J580" s="79" t="s">
        <v>355</v>
      </c>
      <c r="K580" s="62">
        <v>-95.9</v>
      </c>
      <c r="L580" s="68">
        <v>448.38</v>
      </c>
      <c r="M580" s="38"/>
      <c r="N580" s="44" t="str">
        <f t="shared" si="53"/>
        <v>MCSDESP2CPF - Desp. Telefone / Internet</v>
      </c>
      <c r="O580" s="44" t="str">
        <f t="shared" si="54"/>
        <v>DESP2CPF - Desp. Telefone / Internet</v>
      </c>
      <c r="P580" s="44" t="str">
        <f t="shared" si="55"/>
        <v>MCSDESP2CPF - Desp. Telefone / Internet</v>
      </c>
      <c r="Q580" s="44" t="str">
        <f t="shared" si="56"/>
        <v>MCSDESP2</v>
      </c>
      <c r="R580" s="44" t="str">
        <f t="shared" si="57"/>
        <v>MCSDESP2</v>
      </c>
      <c r="S580" s="38"/>
      <c r="T580" s="45">
        <f t="shared" si="58"/>
        <v>45839</v>
      </c>
      <c r="U580" s="24" t="str">
        <f t="shared" si="59"/>
        <v/>
      </c>
      <c r="V580" s="14" t="s">
        <v>761</v>
      </c>
    </row>
    <row r="581" spans="2:22" s="46" customFormat="1" x14ac:dyDescent="0.25">
      <c r="B581" s="37" t="s">
        <v>25</v>
      </c>
      <c r="C581" s="38"/>
      <c r="D581" s="86" t="str">
        <f>INDEX(Cad_Natureza!$B$3:$C$52,MATCH('2025'!F581,Cad_Natureza!$C$3:$C$52,0),MATCH('2025'!D$2,Cad_Natureza!$B$3:$C$3,0))</f>
        <v>OPF2</v>
      </c>
      <c r="E581" s="84" t="s">
        <v>626</v>
      </c>
      <c r="F581" s="85" t="s">
        <v>741</v>
      </c>
      <c r="G581" s="86" t="s">
        <v>25</v>
      </c>
      <c r="H581" s="87">
        <v>45854</v>
      </c>
      <c r="I581" s="87"/>
      <c r="J581" s="79" t="s">
        <v>184</v>
      </c>
      <c r="K581" s="62">
        <v>-50</v>
      </c>
      <c r="L581" s="68">
        <v>398.38</v>
      </c>
      <c r="M581" s="38"/>
      <c r="N581" s="44" t="str">
        <f t="shared" si="53"/>
        <v>MCSOPF2CPF - Desp. Transporte / Combustível</v>
      </c>
      <c r="O581" s="44" t="str">
        <f t="shared" si="54"/>
        <v>OPF2CPF - Desp. Transporte / Combustível</v>
      </c>
      <c r="P581" s="44" t="str">
        <f t="shared" si="55"/>
        <v>MCSOPF2CPF - Desp. Transporte / Combustível</v>
      </c>
      <c r="Q581" s="44" t="str">
        <f t="shared" si="56"/>
        <v>MCSOPF2</v>
      </c>
      <c r="R581" s="44" t="str">
        <f t="shared" si="57"/>
        <v>MCSOPF2</v>
      </c>
      <c r="S581" s="38"/>
      <c r="T581" s="45">
        <f t="shared" si="58"/>
        <v>45839</v>
      </c>
      <c r="U581" s="24" t="str">
        <f t="shared" si="59"/>
        <v/>
      </c>
      <c r="V581" s="14" t="s">
        <v>761</v>
      </c>
    </row>
    <row r="582" spans="2:22" s="46" customFormat="1" x14ac:dyDescent="0.25">
      <c r="B582" s="37" t="s">
        <v>25</v>
      </c>
      <c r="C582" s="38"/>
      <c r="D582" s="63" t="str">
        <f>INDEX(Cad_Natureza!$B$3:$C$52,MATCH('2025'!F582,Cad_Natureza!$C$3:$C$52,0),MATCH('2025'!D$2,Cad_Natureza!$B$3:$C$3,0))</f>
        <v>REC5</v>
      </c>
      <c r="E582" s="64" t="s">
        <v>627</v>
      </c>
      <c r="F582" s="65" t="s">
        <v>740</v>
      </c>
      <c r="G582" s="63" t="s">
        <v>25</v>
      </c>
      <c r="H582" s="66">
        <v>45855</v>
      </c>
      <c r="I582" s="66"/>
      <c r="J582" s="67" t="s">
        <v>672</v>
      </c>
      <c r="K582" s="68">
        <v>6.5</v>
      </c>
      <c r="L582" s="68">
        <v>404.88</v>
      </c>
      <c r="M582" s="38"/>
      <c r="N582" s="44" t="str">
        <f t="shared" si="53"/>
        <v>MCSREC5CPF - Outras receitas</v>
      </c>
      <c r="O582" s="44" t="str">
        <f t="shared" si="54"/>
        <v>REC5CPF - Outras receitas</v>
      </c>
      <c r="P582" s="44" t="str">
        <f t="shared" si="55"/>
        <v>MCSREC5CPF - Outras receitas</v>
      </c>
      <c r="Q582" s="44" t="str">
        <f t="shared" si="56"/>
        <v>MCSREC5</v>
      </c>
      <c r="R582" s="44" t="str">
        <f t="shared" si="57"/>
        <v>MCSREC5</v>
      </c>
      <c r="S582" s="38"/>
      <c r="T582" s="45">
        <f t="shared" si="58"/>
        <v>45839</v>
      </c>
      <c r="U582" s="24" t="str">
        <f t="shared" si="59"/>
        <v/>
      </c>
      <c r="V582" s="14" t="s">
        <v>761</v>
      </c>
    </row>
    <row r="583" spans="2:22" s="46" customFormat="1" x14ac:dyDescent="0.25">
      <c r="B583" s="37" t="s">
        <v>25</v>
      </c>
      <c r="C583" s="38"/>
      <c r="D583" s="86" t="str">
        <f>INDEX(Cad_Natureza!$B$3:$C$52,MATCH('2025'!F583,Cad_Natureza!$C$3:$C$52,0),MATCH('2025'!D$2,Cad_Natureza!$B$3:$C$3,0))</f>
        <v>OPF1</v>
      </c>
      <c r="E583" s="84" t="s">
        <v>628</v>
      </c>
      <c r="F583" s="85" t="s">
        <v>744</v>
      </c>
      <c r="G583" s="86" t="s">
        <v>25</v>
      </c>
      <c r="H583" s="87">
        <v>45855</v>
      </c>
      <c r="I583" s="87"/>
      <c r="J583" s="79" t="s">
        <v>459</v>
      </c>
      <c r="K583" s="62">
        <v>-13.32</v>
      </c>
      <c r="L583" s="68">
        <v>391.56</v>
      </c>
      <c r="M583" s="38"/>
      <c r="N583" s="44" t="str">
        <f t="shared" si="53"/>
        <v>MCSOPF1CPF - Desp. Alimentação / Refeição</v>
      </c>
      <c r="O583" s="44" t="str">
        <f t="shared" si="54"/>
        <v>OPF1CPF - Desp. Alimentação / Refeição</v>
      </c>
      <c r="P583" s="44" t="str">
        <f t="shared" si="55"/>
        <v>MCSOPF1CPF - Desp. Alimentação / Refeição</v>
      </c>
      <c r="Q583" s="44" t="str">
        <f t="shared" si="56"/>
        <v>MCSOPF1</v>
      </c>
      <c r="R583" s="44" t="str">
        <f t="shared" si="57"/>
        <v>MCSOPF1</v>
      </c>
      <c r="S583" s="38"/>
      <c r="T583" s="45">
        <f t="shared" si="58"/>
        <v>45839</v>
      </c>
      <c r="U583" s="24" t="str">
        <f t="shared" si="59"/>
        <v/>
      </c>
      <c r="V583" s="14" t="s">
        <v>761</v>
      </c>
    </row>
    <row r="584" spans="2:22" s="46" customFormat="1" x14ac:dyDescent="0.25">
      <c r="B584" s="37" t="s">
        <v>25</v>
      </c>
      <c r="C584" s="38"/>
      <c r="D584" s="63" t="str">
        <f>INDEX(Cad_Natureza!$B$3:$C$52,MATCH('2025'!F584,Cad_Natureza!$C$3:$C$52,0),MATCH('2025'!D$2,Cad_Natureza!$B$3:$C$3,0))</f>
        <v>REC5</v>
      </c>
      <c r="E584" s="64" t="s">
        <v>629</v>
      </c>
      <c r="F584" s="65" t="s">
        <v>740</v>
      </c>
      <c r="G584" s="63" t="s">
        <v>25</v>
      </c>
      <c r="H584" s="66">
        <v>45855</v>
      </c>
      <c r="I584" s="66"/>
      <c r="J584" s="67" t="s">
        <v>673</v>
      </c>
      <c r="K584" s="68">
        <v>30</v>
      </c>
      <c r="L584" s="68">
        <v>421.56</v>
      </c>
      <c r="M584" s="38"/>
      <c r="N584" s="44" t="str">
        <f t="shared" si="53"/>
        <v>MCSREC5CPF - Outras receitas</v>
      </c>
      <c r="O584" s="44" t="str">
        <f t="shared" si="54"/>
        <v>REC5CPF - Outras receitas</v>
      </c>
      <c r="P584" s="44" t="str">
        <f t="shared" si="55"/>
        <v>MCSREC5CPF - Outras receitas</v>
      </c>
      <c r="Q584" s="44" t="str">
        <f t="shared" si="56"/>
        <v>MCSREC5</v>
      </c>
      <c r="R584" s="44" t="str">
        <f t="shared" si="57"/>
        <v>MCSREC5</v>
      </c>
      <c r="S584" s="38"/>
      <c r="T584" s="45">
        <f t="shared" si="58"/>
        <v>45839</v>
      </c>
      <c r="U584" s="24" t="str">
        <f t="shared" si="59"/>
        <v/>
      </c>
      <c r="V584" s="14" t="s">
        <v>761</v>
      </c>
    </row>
    <row r="585" spans="2:22" s="46" customFormat="1" x14ac:dyDescent="0.25">
      <c r="B585" s="37" t="s">
        <v>25</v>
      </c>
      <c r="C585" s="38"/>
      <c r="D585" s="86" t="str">
        <f>INDEX(Cad_Natureza!$B$3:$C$52,MATCH('2025'!F585,Cad_Natureza!$C$3:$C$52,0),MATCH('2025'!D$2,Cad_Natureza!$B$3:$C$3,0))</f>
        <v>OPF1</v>
      </c>
      <c r="E585" s="84" t="s">
        <v>630</v>
      </c>
      <c r="F585" s="85" t="s">
        <v>744</v>
      </c>
      <c r="G585" s="86" t="s">
        <v>25</v>
      </c>
      <c r="H585" s="87">
        <v>45856</v>
      </c>
      <c r="I585" s="87"/>
      <c r="J585" s="79" t="s">
        <v>459</v>
      </c>
      <c r="K585" s="62">
        <v>-14</v>
      </c>
      <c r="L585" s="68">
        <v>407.56</v>
      </c>
      <c r="M585" s="38"/>
      <c r="N585" s="44" t="str">
        <f t="shared" si="53"/>
        <v>MCSOPF1CPF - Desp. Alimentação / Refeição</v>
      </c>
      <c r="O585" s="44" t="str">
        <f t="shared" si="54"/>
        <v>OPF1CPF - Desp. Alimentação / Refeição</v>
      </c>
      <c r="P585" s="44" t="str">
        <f t="shared" si="55"/>
        <v>MCSOPF1CPF - Desp. Alimentação / Refeição</v>
      </c>
      <c r="Q585" s="44" t="str">
        <f t="shared" si="56"/>
        <v>MCSOPF1</v>
      </c>
      <c r="R585" s="44" t="str">
        <f t="shared" si="57"/>
        <v>MCSOPF1</v>
      </c>
      <c r="S585" s="38"/>
      <c r="T585" s="45">
        <f t="shared" si="58"/>
        <v>45839</v>
      </c>
      <c r="U585" s="24" t="str">
        <f t="shared" si="59"/>
        <v/>
      </c>
      <c r="V585" s="14" t="s">
        <v>761</v>
      </c>
    </row>
    <row r="586" spans="2:22" s="46" customFormat="1" x14ac:dyDescent="0.25">
      <c r="B586" s="37" t="s">
        <v>25</v>
      </c>
      <c r="C586" s="38"/>
      <c r="D586" s="86" t="str">
        <f>INDEX(Cad_Natureza!$B$3:$C$52,MATCH('2025'!F586,Cad_Natureza!$C$3:$C$52,0),MATCH('2025'!D$2,Cad_Natureza!$B$3:$C$3,0))</f>
        <v>GAST2</v>
      </c>
      <c r="E586" s="84" t="s">
        <v>631</v>
      </c>
      <c r="F586" s="85" t="s">
        <v>743</v>
      </c>
      <c r="G586" s="86" t="s">
        <v>25</v>
      </c>
      <c r="H586" s="87">
        <v>45856</v>
      </c>
      <c r="I586" s="87"/>
      <c r="J586" s="79" t="s">
        <v>180</v>
      </c>
      <c r="K586" s="62">
        <v>-35</v>
      </c>
      <c r="L586" s="68">
        <v>372.56</v>
      </c>
      <c r="M586" s="38"/>
      <c r="N586" s="44" t="str">
        <f t="shared" si="53"/>
        <v>MCSGAST2CPF - Desp. Lazer e Entretenimento - Cigarro</v>
      </c>
      <c r="O586" s="44" t="str">
        <f t="shared" si="54"/>
        <v>GAST2CPF - Desp. Lazer e Entretenimento - Cigarro</v>
      </c>
      <c r="P586" s="44" t="str">
        <f t="shared" si="55"/>
        <v>MCSGAST2CPF - Desp. Lazer e Entretenimento - Cigarro</v>
      </c>
      <c r="Q586" s="44" t="str">
        <f t="shared" si="56"/>
        <v>MCSGAST2</v>
      </c>
      <c r="R586" s="44" t="str">
        <f t="shared" si="57"/>
        <v>MCSGAST2</v>
      </c>
      <c r="S586" s="38"/>
      <c r="T586" s="45">
        <f t="shared" si="58"/>
        <v>45839</v>
      </c>
      <c r="U586" s="24" t="str">
        <f t="shared" si="59"/>
        <v/>
      </c>
      <c r="V586" s="14" t="s">
        <v>761</v>
      </c>
    </row>
    <row r="587" spans="2:22" s="46" customFormat="1" x14ac:dyDescent="0.25">
      <c r="B587" s="37" t="s">
        <v>25</v>
      </c>
      <c r="C587" s="38"/>
      <c r="D587" s="86" t="str">
        <f>INDEX(Cad_Natureza!$B$3:$C$52,MATCH('2025'!F587,Cad_Natureza!$C$3:$C$52,0),MATCH('2025'!D$2,Cad_Natureza!$B$3:$C$3,0))</f>
        <v>OPF2</v>
      </c>
      <c r="E587" s="84" t="s">
        <v>632</v>
      </c>
      <c r="F587" s="85" t="s">
        <v>741</v>
      </c>
      <c r="G587" s="86" t="s">
        <v>25</v>
      </c>
      <c r="H587" s="87">
        <v>45856</v>
      </c>
      <c r="I587" s="87"/>
      <c r="J587" s="79" t="s">
        <v>184</v>
      </c>
      <c r="K587" s="62">
        <v>-50</v>
      </c>
      <c r="L587" s="68">
        <v>322.56</v>
      </c>
      <c r="M587" s="38"/>
      <c r="N587" s="44" t="str">
        <f t="shared" si="53"/>
        <v>MCSOPF2CPF - Desp. Transporte / Combustível</v>
      </c>
      <c r="O587" s="44" t="str">
        <f t="shared" si="54"/>
        <v>OPF2CPF - Desp. Transporte / Combustível</v>
      </c>
      <c r="P587" s="44" t="str">
        <f t="shared" si="55"/>
        <v>MCSOPF2CPF - Desp. Transporte / Combustível</v>
      </c>
      <c r="Q587" s="44" t="str">
        <f t="shared" si="56"/>
        <v>MCSOPF2</v>
      </c>
      <c r="R587" s="44" t="str">
        <f t="shared" si="57"/>
        <v>MCSOPF2</v>
      </c>
      <c r="S587" s="38"/>
      <c r="T587" s="45">
        <f t="shared" si="58"/>
        <v>45839</v>
      </c>
      <c r="U587" s="24" t="str">
        <f t="shared" si="59"/>
        <v/>
      </c>
      <c r="V587" s="14" t="s">
        <v>761</v>
      </c>
    </row>
    <row r="588" spans="2:22" s="46" customFormat="1" x14ac:dyDescent="0.25">
      <c r="B588" s="37" t="s">
        <v>25</v>
      </c>
      <c r="C588" s="38"/>
      <c r="D588" s="86" t="str">
        <f>INDEX(Cad_Natureza!$B$3:$C$52,MATCH('2025'!F588,Cad_Natureza!$C$3:$C$52,0),MATCH('2025'!D$2,Cad_Natureza!$B$3:$C$3,0))</f>
        <v>OPF1</v>
      </c>
      <c r="E588" s="84" t="s">
        <v>633</v>
      </c>
      <c r="F588" s="85" t="s">
        <v>744</v>
      </c>
      <c r="G588" s="86" t="s">
        <v>25</v>
      </c>
      <c r="H588" s="87">
        <v>45856</v>
      </c>
      <c r="I588" s="87"/>
      <c r="J588" s="79" t="s">
        <v>459</v>
      </c>
      <c r="K588" s="62">
        <v>-4.5</v>
      </c>
      <c r="L588" s="68">
        <v>318.06</v>
      </c>
      <c r="M588" s="38"/>
      <c r="N588" s="44" t="str">
        <f t="shared" si="53"/>
        <v>MCSOPF1CPF - Desp. Alimentação / Refeição</v>
      </c>
      <c r="O588" s="44" t="str">
        <f t="shared" si="54"/>
        <v>OPF1CPF - Desp. Alimentação / Refeição</v>
      </c>
      <c r="P588" s="44" t="str">
        <f t="shared" si="55"/>
        <v>MCSOPF1CPF - Desp. Alimentação / Refeição</v>
      </c>
      <c r="Q588" s="44" t="str">
        <f t="shared" si="56"/>
        <v>MCSOPF1</v>
      </c>
      <c r="R588" s="44" t="str">
        <f t="shared" si="57"/>
        <v>MCSOPF1</v>
      </c>
      <c r="S588" s="38"/>
      <c r="T588" s="45">
        <f t="shared" si="58"/>
        <v>45839</v>
      </c>
      <c r="U588" s="24" t="str">
        <f t="shared" si="59"/>
        <v/>
      </c>
      <c r="V588" s="14" t="s">
        <v>761</v>
      </c>
    </row>
    <row r="589" spans="2:22" s="46" customFormat="1" x14ac:dyDescent="0.25">
      <c r="B589" s="37" t="s">
        <v>25</v>
      </c>
      <c r="C589" s="38"/>
      <c r="D589" s="86" t="str">
        <f>INDEX(Cad_Natureza!$B$3:$C$52,MATCH('2025'!F589,Cad_Natureza!$C$3:$C$52,0),MATCH('2025'!D$2,Cad_Natureza!$B$3:$C$3,0))</f>
        <v>GAST1</v>
      </c>
      <c r="E589" s="84" t="s">
        <v>634</v>
      </c>
      <c r="F589" s="85" t="s">
        <v>742</v>
      </c>
      <c r="G589" s="86" t="s">
        <v>25</v>
      </c>
      <c r="H589" s="87">
        <v>45856</v>
      </c>
      <c r="I589" s="87"/>
      <c r="J589" s="79" t="s">
        <v>561</v>
      </c>
      <c r="K589" s="62">
        <v>-3.5</v>
      </c>
      <c r="L589" s="68">
        <v>314.56</v>
      </c>
      <c r="M589" s="38"/>
      <c r="N589" s="44" t="str">
        <f t="shared" si="53"/>
        <v>MCSGAST1CPF - Desp. Lazer e Entretenimento - Bares</v>
      </c>
      <c r="O589" s="44" t="str">
        <f t="shared" si="54"/>
        <v>GAST1CPF - Desp. Lazer e Entretenimento - Bares</v>
      </c>
      <c r="P589" s="44" t="str">
        <f t="shared" si="55"/>
        <v>MCSGAST1CPF - Desp. Lazer e Entretenimento - Bares</v>
      </c>
      <c r="Q589" s="44" t="str">
        <f t="shared" si="56"/>
        <v>MCSGAST1</v>
      </c>
      <c r="R589" s="44" t="str">
        <f t="shared" si="57"/>
        <v>MCSGAST1</v>
      </c>
      <c r="S589" s="38"/>
      <c r="T589" s="45">
        <f t="shared" si="58"/>
        <v>45839</v>
      </c>
      <c r="U589" s="24" t="str">
        <f t="shared" si="59"/>
        <v/>
      </c>
      <c r="V589" s="14" t="s">
        <v>761</v>
      </c>
    </row>
    <row r="590" spans="2:22" s="46" customFormat="1" x14ac:dyDescent="0.25">
      <c r="B590" s="37" t="s">
        <v>25</v>
      </c>
      <c r="C590" s="38"/>
      <c r="D590" s="86" t="str">
        <f>INDEX(Cad_Natureza!$B$3:$C$52,MATCH('2025'!F590,Cad_Natureza!$C$3:$C$52,0),MATCH('2025'!D$2,Cad_Natureza!$B$3:$C$3,0))</f>
        <v>GAST1</v>
      </c>
      <c r="E590" s="84" t="s">
        <v>635</v>
      </c>
      <c r="F590" s="85" t="s">
        <v>742</v>
      </c>
      <c r="G590" s="86" t="s">
        <v>25</v>
      </c>
      <c r="H590" s="87">
        <v>45856</v>
      </c>
      <c r="I590" s="87"/>
      <c r="J590" s="79" t="s">
        <v>561</v>
      </c>
      <c r="K590" s="62">
        <v>-10</v>
      </c>
      <c r="L590" s="68">
        <v>304.56</v>
      </c>
      <c r="M590" s="38"/>
      <c r="N590" s="44" t="str">
        <f t="shared" ref="N590:N653" si="60">B590&amp;D590&amp;F590</f>
        <v>MCSGAST1CPF - Desp. Lazer e Entretenimento - Bares</v>
      </c>
      <c r="O590" s="44" t="str">
        <f t="shared" ref="O590:O653" si="61">D590&amp;F590</f>
        <v>GAST1CPF - Desp. Lazer e Entretenimento - Bares</v>
      </c>
      <c r="P590" s="44" t="str">
        <f t="shared" ref="P590:P653" si="62">"MCS"&amp;D590&amp;F590</f>
        <v>MCSGAST1CPF - Desp. Lazer e Entretenimento - Bares</v>
      </c>
      <c r="Q590" s="44" t="str">
        <f t="shared" ref="Q590:Q653" si="63">"MCS"&amp;D590</f>
        <v>MCSGAST1</v>
      </c>
      <c r="R590" s="44" t="str">
        <f t="shared" ref="R590:R653" si="64">B590&amp;D590</f>
        <v>MCSGAST1</v>
      </c>
      <c r="S590" s="38"/>
      <c r="T590" s="45">
        <f t="shared" ref="T590:T653" si="65">(1&amp;"/"&amp;MONTH(H590)&amp;"/"&amp;YEAR(H590))*1</f>
        <v>45839</v>
      </c>
      <c r="U590" s="24" t="str">
        <f t="shared" si="59"/>
        <v/>
      </c>
      <c r="V590" s="14" t="s">
        <v>761</v>
      </c>
    </row>
    <row r="591" spans="2:22" s="46" customFormat="1" x14ac:dyDescent="0.25">
      <c r="B591" s="37" t="s">
        <v>25</v>
      </c>
      <c r="C591" s="38"/>
      <c r="D591" s="86" t="str">
        <f>INDEX(Cad_Natureza!$B$3:$C$52,MATCH('2025'!F591,Cad_Natureza!$C$3:$C$52,0),MATCH('2025'!D$2,Cad_Natureza!$B$3:$C$3,0))</f>
        <v>GAST1</v>
      </c>
      <c r="E591" s="84" t="s">
        <v>636</v>
      </c>
      <c r="F591" s="85" t="s">
        <v>742</v>
      </c>
      <c r="G591" s="86" t="s">
        <v>25</v>
      </c>
      <c r="H591" s="87">
        <v>45856</v>
      </c>
      <c r="I591" s="87"/>
      <c r="J591" s="79" t="s">
        <v>185</v>
      </c>
      <c r="K591" s="62">
        <v>-5</v>
      </c>
      <c r="L591" s="68">
        <v>299.56</v>
      </c>
      <c r="M591" s="38"/>
      <c r="N591" s="44" t="str">
        <f t="shared" si="60"/>
        <v>MCSGAST1CPF - Desp. Lazer e Entretenimento - Bares</v>
      </c>
      <c r="O591" s="44" t="str">
        <f t="shared" si="61"/>
        <v>GAST1CPF - Desp. Lazer e Entretenimento - Bares</v>
      </c>
      <c r="P591" s="44" t="str">
        <f t="shared" si="62"/>
        <v>MCSGAST1CPF - Desp. Lazer e Entretenimento - Bares</v>
      </c>
      <c r="Q591" s="44" t="str">
        <f t="shared" si="63"/>
        <v>MCSGAST1</v>
      </c>
      <c r="R591" s="44" t="str">
        <f t="shared" si="64"/>
        <v>MCSGAST1</v>
      </c>
      <c r="S591" s="38"/>
      <c r="T591" s="45">
        <f t="shared" si="65"/>
        <v>45839</v>
      </c>
      <c r="U591" s="24" t="str">
        <f t="shared" si="59"/>
        <v/>
      </c>
      <c r="V591" s="14" t="s">
        <v>761</v>
      </c>
    </row>
    <row r="592" spans="2:22" s="46" customFormat="1" x14ac:dyDescent="0.25">
      <c r="B592" s="37" t="s">
        <v>25</v>
      </c>
      <c r="C592" s="38"/>
      <c r="D592" s="86" t="str">
        <f>INDEX(Cad_Natureza!$B$3:$C$52,MATCH('2025'!F592,Cad_Natureza!$C$3:$C$52,0),MATCH('2025'!D$2,Cad_Natureza!$B$3:$C$3,0))</f>
        <v>GAST1</v>
      </c>
      <c r="E592" s="84" t="s">
        <v>637</v>
      </c>
      <c r="F592" s="85" t="s">
        <v>742</v>
      </c>
      <c r="G592" s="86" t="s">
        <v>25</v>
      </c>
      <c r="H592" s="87">
        <v>45859</v>
      </c>
      <c r="I592" s="87"/>
      <c r="J592" s="79" t="s">
        <v>185</v>
      </c>
      <c r="K592" s="62">
        <v>-5</v>
      </c>
      <c r="L592" s="68">
        <v>294.56</v>
      </c>
      <c r="M592" s="38"/>
      <c r="N592" s="44" t="str">
        <f t="shared" si="60"/>
        <v>MCSGAST1CPF - Desp. Lazer e Entretenimento - Bares</v>
      </c>
      <c r="O592" s="44" t="str">
        <f t="shared" si="61"/>
        <v>GAST1CPF - Desp. Lazer e Entretenimento - Bares</v>
      </c>
      <c r="P592" s="44" t="str">
        <f t="shared" si="62"/>
        <v>MCSGAST1CPF - Desp. Lazer e Entretenimento - Bares</v>
      </c>
      <c r="Q592" s="44" t="str">
        <f t="shared" si="63"/>
        <v>MCSGAST1</v>
      </c>
      <c r="R592" s="44" t="str">
        <f t="shared" si="64"/>
        <v>MCSGAST1</v>
      </c>
      <c r="S592" s="38"/>
      <c r="T592" s="45">
        <f t="shared" si="65"/>
        <v>45839</v>
      </c>
      <c r="U592" s="24" t="str">
        <f t="shared" si="59"/>
        <v/>
      </c>
      <c r="V592" s="14" t="s">
        <v>761</v>
      </c>
    </row>
    <row r="593" spans="2:22" s="46" customFormat="1" x14ac:dyDescent="0.25">
      <c r="B593" s="37" t="s">
        <v>25</v>
      </c>
      <c r="C593" s="38"/>
      <c r="D593" s="86" t="str">
        <f>INDEX(Cad_Natureza!$B$3:$C$52,MATCH('2025'!F593,Cad_Natureza!$C$3:$C$52,0),MATCH('2025'!D$2,Cad_Natureza!$B$3:$C$3,0))</f>
        <v>GAST1</v>
      </c>
      <c r="E593" s="84" t="s">
        <v>638</v>
      </c>
      <c r="F593" s="85" t="s">
        <v>742</v>
      </c>
      <c r="G593" s="86" t="s">
        <v>25</v>
      </c>
      <c r="H593" s="87">
        <v>45859</v>
      </c>
      <c r="I593" s="87"/>
      <c r="J593" s="79" t="s">
        <v>185</v>
      </c>
      <c r="K593" s="62">
        <v>-15</v>
      </c>
      <c r="L593" s="68">
        <v>279.56</v>
      </c>
      <c r="M593" s="38"/>
      <c r="N593" s="44" t="str">
        <f t="shared" si="60"/>
        <v>MCSGAST1CPF - Desp. Lazer e Entretenimento - Bares</v>
      </c>
      <c r="O593" s="44" t="str">
        <f t="shared" si="61"/>
        <v>GAST1CPF - Desp. Lazer e Entretenimento - Bares</v>
      </c>
      <c r="P593" s="44" t="str">
        <f t="shared" si="62"/>
        <v>MCSGAST1CPF - Desp. Lazer e Entretenimento - Bares</v>
      </c>
      <c r="Q593" s="44" t="str">
        <f t="shared" si="63"/>
        <v>MCSGAST1</v>
      </c>
      <c r="R593" s="44" t="str">
        <f t="shared" si="64"/>
        <v>MCSGAST1</v>
      </c>
      <c r="S593" s="38"/>
      <c r="T593" s="45">
        <f t="shared" si="65"/>
        <v>45839</v>
      </c>
      <c r="U593" s="24" t="str">
        <f t="shared" si="59"/>
        <v/>
      </c>
      <c r="V593" s="14" t="s">
        <v>761</v>
      </c>
    </row>
    <row r="594" spans="2:22" s="46" customFormat="1" x14ac:dyDescent="0.25">
      <c r="B594" s="37" t="s">
        <v>25</v>
      </c>
      <c r="C594" s="38"/>
      <c r="D594" s="86" t="str">
        <f>INDEX(Cad_Natureza!$B$3:$C$52,MATCH('2025'!F594,Cad_Natureza!$C$3:$C$52,0),MATCH('2025'!D$2,Cad_Natureza!$B$3:$C$3,0))</f>
        <v>GAST1</v>
      </c>
      <c r="E594" s="84" t="s">
        <v>638</v>
      </c>
      <c r="F594" s="85" t="s">
        <v>742</v>
      </c>
      <c r="G594" s="86" t="s">
        <v>25</v>
      </c>
      <c r="H594" s="87">
        <v>45859</v>
      </c>
      <c r="I594" s="87"/>
      <c r="J594" s="79" t="s">
        <v>185</v>
      </c>
      <c r="K594" s="62">
        <v>-11</v>
      </c>
      <c r="L594" s="68">
        <v>268.56</v>
      </c>
      <c r="M594" s="38"/>
      <c r="N594" s="44" t="str">
        <f t="shared" si="60"/>
        <v>MCSGAST1CPF - Desp. Lazer e Entretenimento - Bares</v>
      </c>
      <c r="O594" s="44" t="str">
        <f t="shared" si="61"/>
        <v>GAST1CPF - Desp. Lazer e Entretenimento - Bares</v>
      </c>
      <c r="P594" s="44" t="str">
        <f t="shared" si="62"/>
        <v>MCSGAST1CPF - Desp. Lazer e Entretenimento - Bares</v>
      </c>
      <c r="Q594" s="44" t="str">
        <f t="shared" si="63"/>
        <v>MCSGAST1</v>
      </c>
      <c r="R594" s="44" t="str">
        <f t="shared" si="64"/>
        <v>MCSGAST1</v>
      </c>
      <c r="S594" s="38"/>
      <c r="T594" s="45">
        <f t="shared" si="65"/>
        <v>45839</v>
      </c>
      <c r="U594" s="24" t="str">
        <f t="shared" si="59"/>
        <v/>
      </c>
      <c r="V594" s="14" t="s">
        <v>761</v>
      </c>
    </row>
    <row r="595" spans="2:22" s="46" customFormat="1" x14ac:dyDescent="0.25">
      <c r="B595" s="37" t="s">
        <v>25</v>
      </c>
      <c r="C595" s="38"/>
      <c r="D595" s="86" t="str">
        <f>INDEX(Cad_Natureza!$B$3:$C$52,MATCH('2025'!F595,Cad_Natureza!$C$3:$C$52,0),MATCH('2025'!D$2,Cad_Natureza!$B$3:$C$3,0))</f>
        <v>GAST1</v>
      </c>
      <c r="E595" s="84" t="s">
        <v>639</v>
      </c>
      <c r="F595" s="85" t="s">
        <v>742</v>
      </c>
      <c r="G595" s="86" t="s">
        <v>25</v>
      </c>
      <c r="H595" s="87">
        <v>45859</v>
      </c>
      <c r="I595" s="87"/>
      <c r="J595" s="79" t="s">
        <v>561</v>
      </c>
      <c r="K595" s="62">
        <v>-4</v>
      </c>
      <c r="L595" s="68">
        <v>264.56</v>
      </c>
      <c r="M595" s="38"/>
      <c r="N595" s="44" t="str">
        <f t="shared" si="60"/>
        <v>MCSGAST1CPF - Desp. Lazer e Entretenimento - Bares</v>
      </c>
      <c r="O595" s="44" t="str">
        <f t="shared" si="61"/>
        <v>GAST1CPF - Desp. Lazer e Entretenimento - Bares</v>
      </c>
      <c r="P595" s="44" t="str">
        <f t="shared" si="62"/>
        <v>MCSGAST1CPF - Desp. Lazer e Entretenimento - Bares</v>
      </c>
      <c r="Q595" s="44" t="str">
        <f t="shared" si="63"/>
        <v>MCSGAST1</v>
      </c>
      <c r="R595" s="44" t="str">
        <f t="shared" si="64"/>
        <v>MCSGAST1</v>
      </c>
      <c r="S595" s="38"/>
      <c r="T595" s="45">
        <f t="shared" si="65"/>
        <v>45839</v>
      </c>
      <c r="U595" s="24" t="str">
        <f t="shared" si="59"/>
        <v/>
      </c>
      <c r="V595" s="14" t="s">
        <v>761</v>
      </c>
    </row>
    <row r="596" spans="2:22" s="46" customFormat="1" x14ac:dyDescent="0.25">
      <c r="B596" s="37" t="s">
        <v>25</v>
      </c>
      <c r="C596" s="38"/>
      <c r="D596" s="86" t="str">
        <f>INDEX(Cad_Natureza!$B$3:$C$52,MATCH('2025'!F596,Cad_Natureza!$C$3:$C$52,0),MATCH('2025'!D$2,Cad_Natureza!$B$3:$C$3,0))</f>
        <v>DESP4</v>
      </c>
      <c r="E596" s="84" t="s">
        <v>640</v>
      </c>
      <c r="F596" s="85" t="s">
        <v>753</v>
      </c>
      <c r="G596" s="86" t="s">
        <v>25</v>
      </c>
      <c r="H596" s="87">
        <v>45859</v>
      </c>
      <c r="I596" s="87"/>
      <c r="J596" s="79" t="s">
        <v>567</v>
      </c>
      <c r="K596" s="62">
        <v>-55</v>
      </c>
      <c r="L596" s="68">
        <v>209.56</v>
      </c>
      <c r="M596" s="38"/>
      <c r="N596" s="44" t="str">
        <f t="shared" si="60"/>
        <v>MCSDESP4CPF - Desp. Moradia</v>
      </c>
      <c r="O596" s="44" t="str">
        <f t="shared" si="61"/>
        <v>DESP4CPF - Desp. Moradia</v>
      </c>
      <c r="P596" s="44" t="str">
        <f t="shared" si="62"/>
        <v>MCSDESP4CPF - Desp. Moradia</v>
      </c>
      <c r="Q596" s="44" t="str">
        <f t="shared" si="63"/>
        <v>MCSDESP4</v>
      </c>
      <c r="R596" s="44" t="str">
        <f t="shared" si="64"/>
        <v>MCSDESP4</v>
      </c>
      <c r="S596" s="38"/>
      <c r="T596" s="45">
        <f t="shared" si="65"/>
        <v>45839</v>
      </c>
      <c r="U596" s="24" t="str">
        <f t="shared" si="59"/>
        <v/>
      </c>
      <c r="V596" s="14" t="s">
        <v>761</v>
      </c>
    </row>
    <row r="597" spans="2:22" s="46" customFormat="1" x14ac:dyDescent="0.25">
      <c r="B597" s="37" t="s">
        <v>25</v>
      </c>
      <c r="C597" s="38"/>
      <c r="D597" s="86" t="str">
        <f>INDEX(Cad_Natureza!$B$3:$C$52,MATCH('2025'!F597,Cad_Natureza!$C$3:$C$52,0),MATCH('2025'!D$2,Cad_Natureza!$B$3:$C$3,0))</f>
        <v>GAST1</v>
      </c>
      <c r="E597" s="84" t="s">
        <v>641</v>
      </c>
      <c r="F597" s="85" t="s">
        <v>742</v>
      </c>
      <c r="G597" s="86" t="s">
        <v>25</v>
      </c>
      <c r="H597" s="87">
        <v>45859</v>
      </c>
      <c r="I597" s="87"/>
      <c r="J597" s="79" t="s">
        <v>561</v>
      </c>
      <c r="K597" s="62">
        <v>-3</v>
      </c>
      <c r="L597" s="68">
        <v>206.56</v>
      </c>
      <c r="M597" s="38"/>
      <c r="N597" s="44" t="str">
        <f t="shared" si="60"/>
        <v>MCSGAST1CPF - Desp. Lazer e Entretenimento - Bares</v>
      </c>
      <c r="O597" s="44" t="str">
        <f t="shared" si="61"/>
        <v>GAST1CPF - Desp. Lazer e Entretenimento - Bares</v>
      </c>
      <c r="P597" s="44" t="str">
        <f t="shared" si="62"/>
        <v>MCSGAST1CPF - Desp. Lazer e Entretenimento - Bares</v>
      </c>
      <c r="Q597" s="44" t="str">
        <f t="shared" si="63"/>
        <v>MCSGAST1</v>
      </c>
      <c r="R597" s="44" t="str">
        <f t="shared" si="64"/>
        <v>MCSGAST1</v>
      </c>
      <c r="S597" s="38"/>
      <c r="T597" s="45">
        <f t="shared" si="65"/>
        <v>45839</v>
      </c>
      <c r="U597" s="24" t="str">
        <f t="shared" si="59"/>
        <v/>
      </c>
      <c r="V597" s="14" t="s">
        <v>761</v>
      </c>
    </row>
    <row r="598" spans="2:22" s="46" customFormat="1" x14ac:dyDescent="0.25">
      <c r="B598" s="37" t="s">
        <v>25</v>
      </c>
      <c r="C598" s="38"/>
      <c r="D598" s="86" t="str">
        <f>INDEX(Cad_Natureza!$B$3:$C$52,MATCH('2025'!F598,Cad_Natureza!$C$3:$C$52,0),MATCH('2025'!D$2,Cad_Natureza!$B$3:$C$3,0))</f>
        <v>GAST1</v>
      </c>
      <c r="E598" s="84" t="s">
        <v>641</v>
      </c>
      <c r="F598" s="85" t="s">
        <v>742</v>
      </c>
      <c r="G598" s="86" t="s">
        <v>25</v>
      </c>
      <c r="H598" s="87">
        <v>45859</v>
      </c>
      <c r="I598" s="87"/>
      <c r="J598" s="79" t="s">
        <v>561</v>
      </c>
      <c r="K598" s="62">
        <v>-3</v>
      </c>
      <c r="L598" s="68">
        <v>203.56</v>
      </c>
      <c r="M598" s="38"/>
      <c r="N598" s="44" t="str">
        <f t="shared" si="60"/>
        <v>MCSGAST1CPF - Desp. Lazer e Entretenimento - Bares</v>
      </c>
      <c r="O598" s="44" t="str">
        <f t="shared" si="61"/>
        <v>GAST1CPF - Desp. Lazer e Entretenimento - Bares</v>
      </c>
      <c r="P598" s="44" t="str">
        <f t="shared" si="62"/>
        <v>MCSGAST1CPF - Desp. Lazer e Entretenimento - Bares</v>
      </c>
      <c r="Q598" s="44" t="str">
        <f t="shared" si="63"/>
        <v>MCSGAST1</v>
      </c>
      <c r="R598" s="44" t="str">
        <f t="shared" si="64"/>
        <v>MCSGAST1</v>
      </c>
      <c r="S598" s="38"/>
      <c r="T598" s="45">
        <f t="shared" si="65"/>
        <v>45839</v>
      </c>
      <c r="U598" s="24" t="str">
        <f t="shared" si="59"/>
        <v/>
      </c>
      <c r="V598" s="14" t="s">
        <v>761</v>
      </c>
    </row>
    <row r="599" spans="2:22" s="46" customFormat="1" x14ac:dyDescent="0.25">
      <c r="B599" s="37" t="s">
        <v>25</v>
      </c>
      <c r="C599" s="38"/>
      <c r="D599" s="86" t="str">
        <f>INDEX(Cad_Natureza!$B$3:$C$52,MATCH('2025'!F599,Cad_Natureza!$C$3:$C$52,0),MATCH('2025'!D$2,Cad_Natureza!$B$3:$C$3,0))</f>
        <v>GAST1</v>
      </c>
      <c r="E599" s="84" t="s">
        <v>642</v>
      </c>
      <c r="F599" s="85" t="s">
        <v>742</v>
      </c>
      <c r="G599" s="86" t="s">
        <v>25</v>
      </c>
      <c r="H599" s="87">
        <v>45859</v>
      </c>
      <c r="I599" s="87"/>
      <c r="J599" s="79" t="s">
        <v>821</v>
      </c>
      <c r="K599" s="62">
        <v>-5</v>
      </c>
      <c r="L599" s="68">
        <v>198.56</v>
      </c>
      <c r="M599" s="38"/>
      <c r="N599" s="44" t="str">
        <f t="shared" si="60"/>
        <v>MCSGAST1CPF - Desp. Lazer e Entretenimento - Bares</v>
      </c>
      <c r="O599" s="44" t="str">
        <f t="shared" si="61"/>
        <v>GAST1CPF - Desp. Lazer e Entretenimento - Bares</v>
      </c>
      <c r="P599" s="44" t="str">
        <f t="shared" si="62"/>
        <v>MCSGAST1CPF - Desp. Lazer e Entretenimento - Bares</v>
      </c>
      <c r="Q599" s="44" t="str">
        <f t="shared" si="63"/>
        <v>MCSGAST1</v>
      </c>
      <c r="R599" s="44" t="str">
        <f t="shared" si="64"/>
        <v>MCSGAST1</v>
      </c>
      <c r="S599" s="38"/>
      <c r="T599" s="45">
        <f t="shared" si="65"/>
        <v>45839</v>
      </c>
      <c r="U599" s="24" t="str">
        <f t="shared" si="59"/>
        <v/>
      </c>
      <c r="V599" s="14" t="s">
        <v>761</v>
      </c>
    </row>
    <row r="600" spans="2:22" s="46" customFormat="1" x14ac:dyDescent="0.25">
      <c r="B600" s="37" t="s">
        <v>25</v>
      </c>
      <c r="C600" s="38"/>
      <c r="D600" s="86" t="str">
        <f>INDEX(Cad_Natureza!$B$3:$C$52,MATCH('2025'!F600,Cad_Natureza!$C$3:$C$52,0),MATCH('2025'!D$2,Cad_Natureza!$B$3:$C$3,0))</f>
        <v>GAST1</v>
      </c>
      <c r="E600" s="84" t="s">
        <v>643</v>
      </c>
      <c r="F600" s="85" t="s">
        <v>742</v>
      </c>
      <c r="G600" s="86" t="s">
        <v>25</v>
      </c>
      <c r="H600" s="87">
        <v>45859</v>
      </c>
      <c r="I600" s="87"/>
      <c r="J600" s="79" t="s">
        <v>561</v>
      </c>
      <c r="K600" s="62">
        <v>-15</v>
      </c>
      <c r="L600" s="68">
        <v>183.56</v>
      </c>
      <c r="M600" s="38"/>
      <c r="N600" s="44" t="str">
        <f t="shared" si="60"/>
        <v>MCSGAST1CPF - Desp. Lazer e Entretenimento - Bares</v>
      </c>
      <c r="O600" s="44" t="str">
        <f t="shared" si="61"/>
        <v>GAST1CPF - Desp. Lazer e Entretenimento - Bares</v>
      </c>
      <c r="P600" s="44" t="str">
        <f t="shared" si="62"/>
        <v>MCSGAST1CPF - Desp. Lazer e Entretenimento - Bares</v>
      </c>
      <c r="Q600" s="44" t="str">
        <f t="shared" si="63"/>
        <v>MCSGAST1</v>
      </c>
      <c r="R600" s="44" t="str">
        <f t="shared" si="64"/>
        <v>MCSGAST1</v>
      </c>
      <c r="S600" s="38"/>
      <c r="T600" s="45">
        <f t="shared" si="65"/>
        <v>45839</v>
      </c>
      <c r="U600" s="24" t="str">
        <f t="shared" si="59"/>
        <v/>
      </c>
      <c r="V600" s="14" t="s">
        <v>761</v>
      </c>
    </row>
    <row r="601" spans="2:22" s="46" customFormat="1" x14ac:dyDescent="0.25">
      <c r="B601" s="37" t="s">
        <v>25</v>
      </c>
      <c r="C601" s="38"/>
      <c r="D601" s="86" t="str">
        <f>INDEX(Cad_Natureza!$B$3:$C$52,MATCH('2025'!F601,Cad_Natureza!$C$3:$C$52,0),MATCH('2025'!D$2,Cad_Natureza!$B$3:$C$3,0))</f>
        <v>OPF1</v>
      </c>
      <c r="E601" s="84" t="s">
        <v>644</v>
      </c>
      <c r="F601" s="85" t="s">
        <v>744</v>
      </c>
      <c r="G601" s="86" t="s">
        <v>25</v>
      </c>
      <c r="H601" s="87">
        <v>45859</v>
      </c>
      <c r="I601" s="87"/>
      <c r="J601" s="79" t="s">
        <v>459</v>
      </c>
      <c r="K601" s="62">
        <v>-5.49</v>
      </c>
      <c r="L601" s="68">
        <v>178.07</v>
      </c>
      <c r="M601" s="38"/>
      <c r="N601" s="44" t="str">
        <f t="shared" si="60"/>
        <v>MCSOPF1CPF - Desp. Alimentação / Refeição</v>
      </c>
      <c r="O601" s="44" t="str">
        <f t="shared" si="61"/>
        <v>OPF1CPF - Desp. Alimentação / Refeição</v>
      </c>
      <c r="P601" s="44" t="str">
        <f t="shared" si="62"/>
        <v>MCSOPF1CPF - Desp. Alimentação / Refeição</v>
      </c>
      <c r="Q601" s="44" t="str">
        <f t="shared" si="63"/>
        <v>MCSOPF1</v>
      </c>
      <c r="R601" s="44" t="str">
        <f t="shared" si="64"/>
        <v>MCSOPF1</v>
      </c>
      <c r="S601" s="38"/>
      <c r="T601" s="45">
        <f t="shared" si="65"/>
        <v>45839</v>
      </c>
      <c r="U601" s="24" t="str">
        <f t="shared" si="59"/>
        <v/>
      </c>
      <c r="V601" s="14" t="s">
        <v>761</v>
      </c>
    </row>
    <row r="602" spans="2:22" s="46" customFormat="1" x14ac:dyDescent="0.25">
      <c r="B602" s="37" t="s">
        <v>25</v>
      </c>
      <c r="C602" s="38"/>
      <c r="D602" s="86" t="str">
        <f>INDEX(Cad_Natureza!$B$3:$C$52,MATCH('2025'!F602,Cad_Natureza!$C$3:$C$52,0),MATCH('2025'!D$2,Cad_Natureza!$B$3:$C$3,0))</f>
        <v>OPF1</v>
      </c>
      <c r="E602" s="84" t="s">
        <v>645</v>
      </c>
      <c r="F602" s="85" t="s">
        <v>744</v>
      </c>
      <c r="G602" s="86" t="s">
        <v>25</v>
      </c>
      <c r="H602" s="87">
        <v>45859</v>
      </c>
      <c r="I602" s="87"/>
      <c r="J602" s="79" t="s">
        <v>182</v>
      </c>
      <c r="K602" s="62">
        <v>-23</v>
      </c>
      <c r="L602" s="68">
        <v>155.07</v>
      </c>
      <c r="M602" s="38"/>
      <c r="N602" s="44" t="str">
        <f t="shared" si="60"/>
        <v>MCSOPF1CPF - Desp. Alimentação / Refeição</v>
      </c>
      <c r="O602" s="44" t="str">
        <f t="shared" si="61"/>
        <v>OPF1CPF - Desp. Alimentação / Refeição</v>
      </c>
      <c r="P602" s="44" t="str">
        <f t="shared" si="62"/>
        <v>MCSOPF1CPF - Desp. Alimentação / Refeição</v>
      </c>
      <c r="Q602" s="44" t="str">
        <f t="shared" si="63"/>
        <v>MCSOPF1</v>
      </c>
      <c r="R602" s="44" t="str">
        <f t="shared" si="64"/>
        <v>MCSOPF1</v>
      </c>
      <c r="S602" s="38"/>
      <c r="T602" s="45">
        <f t="shared" si="65"/>
        <v>45839</v>
      </c>
      <c r="U602" s="24" t="str">
        <f t="shared" si="59"/>
        <v/>
      </c>
      <c r="V602" s="14" t="s">
        <v>761</v>
      </c>
    </row>
    <row r="603" spans="2:22" s="46" customFormat="1" x14ac:dyDescent="0.25">
      <c r="B603" s="37" t="s">
        <v>25</v>
      </c>
      <c r="C603" s="38"/>
      <c r="D603" s="63" t="str">
        <f>INDEX(Cad_Natureza!$B$3:$C$52,MATCH('2025'!F603,Cad_Natureza!$C$3:$C$52,0),MATCH('2025'!D$2,Cad_Natureza!$B$3:$C$3,0))</f>
        <v>REC2</v>
      </c>
      <c r="E603" s="64" t="s">
        <v>646</v>
      </c>
      <c r="F603" s="65" t="s">
        <v>775</v>
      </c>
      <c r="G603" s="63" t="s">
        <v>25</v>
      </c>
      <c r="H603" s="66">
        <v>45859</v>
      </c>
      <c r="I603" s="66"/>
      <c r="J603" s="67" t="s">
        <v>357</v>
      </c>
      <c r="K603" s="68">
        <v>315</v>
      </c>
      <c r="L603" s="68">
        <v>470.07</v>
      </c>
      <c r="M603" s="38"/>
      <c r="N603" s="44" t="str">
        <f t="shared" si="60"/>
        <v>MCSREC2CPF - Ajuda de custo - Combustível</v>
      </c>
      <c r="O603" s="44" t="str">
        <f t="shared" si="61"/>
        <v>REC2CPF - Ajuda de custo - Combustível</v>
      </c>
      <c r="P603" s="44" t="str">
        <f t="shared" si="62"/>
        <v>MCSREC2CPF - Ajuda de custo - Combustível</v>
      </c>
      <c r="Q603" s="44" t="str">
        <f t="shared" si="63"/>
        <v>MCSREC2</v>
      </c>
      <c r="R603" s="44" t="str">
        <f t="shared" si="64"/>
        <v>MCSREC2</v>
      </c>
      <c r="S603" s="38"/>
      <c r="T603" s="45">
        <f t="shared" si="65"/>
        <v>45839</v>
      </c>
      <c r="U603" s="24" t="str">
        <f t="shared" si="59"/>
        <v/>
      </c>
      <c r="V603" s="14" t="s">
        <v>761</v>
      </c>
    </row>
    <row r="604" spans="2:22" s="46" customFormat="1" x14ac:dyDescent="0.25">
      <c r="B604" s="37" t="s">
        <v>25</v>
      </c>
      <c r="C604" s="38"/>
      <c r="D604" s="63" t="str">
        <f>INDEX(Cad_Natureza!$B$3:$C$52,MATCH('2025'!F604,Cad_Natureza!$C$3:$C$52,0),MATCH('2025'!D$2,Cad_Natureza!$B$3:$C$3,0))</f>
        <v>REC3</v>
      </c>
      <c r="E604" s="64" t="s">
        <v>646</v>
      </c>
      <c r="F604" s="65" t="s">
        <v>776</v>
      </c>
      <c r="G604" s="63" t="s">
        <v>25</v>
      </c>
      <c r="H604" s="66">
        <v>45859</v>
      </c>
      <c r="I604" s="66"/>
      <c r="J604" s="67" t="s">
        <v>458</v>
      </c>
      <c r="K604" s="68">
        <v>210</v>
      </c>
      <c r="L604" s="68">
        <v>680.06999999999994</v>
      </c>
      <c r="M604" s="38"/>
      <c r="N604" s="44" t="str">
        <f t="shared" si="60"/>
        <v>MCSREC3CPF - Ajuda de custo - Refeição</v>
      </c>
      <c r="O604" s="44" t="str">
        <f t="shared" si="61"/>
        <v>REC3CPF - Ajuda de custo - Refeição</v>
      </c>
      <c r="P604" s="44" t="str">
        <f t="shared" si="62"/>
        <v>MCSREC3CPF - Ajuda de custo - Refeição</v>
      </c>
      <c r="Q604" s="44" t="str">
        <f t="shared" si="63"/>
        <v>MCSREC3</v>
      </c>
      <c r="R604" s="44" t="str">
        <f t="shared" si="64"/>
        <v>MCSREC3</v>
      </c>
      <c r="S604" s="38"/>
      <c r="T604" s="45">
        <f t="shared" si="65"/>
        <v>45839</v>
      </c>
      <c r="U604" s="24" t="str">
        <f t="shared" si="59"/>
        <v/>
      </c>
      <c r="V604" s="14" t="s">
        <v>761</v>
      </c>
    </row>
    <row r="605" spans="2:22" s="46" customFormat="1" x14ac:dyDescent="0.25">
      <c r="B605" s="37" t="s">
        <v>25</v>
      </c>
      <c r="C605" s="38"/>
      <c r="D605" s="86" t="str">
        <f>INDEX(Cad_Natureza!$B$3:$C$52,MATCH('2025'!F605,Cad_Natureza!$C$3:$C$52,0),MATCH('2025'!D$2,Cad_Natureza!$B$3:$C$3,0))</f>
        <v>OPF2</v>
      </c>
      <c r="E605" s="84" t="s">
        <v>647</v>
      </c>
      <c r="F605" s="85" t="s">
        <v>741</v>
      </c>
      <c r="G605" s="86" t="s">
        <v>25</v>
      </c>
      <c r="H605" s="87">
        <v>45859</v>
      </c>
      <c r="I605" s="87"/>
      <c r="J605" s="79" t="s">
        <v>674</v>
      </c>
      <c r="K605" s="62">
        <v>-50</v>
      </c>
      <c r="L605" s="68">
        <v>630.06999999999994</v>
      </c>
      <c r="M605" s="38"/>
      <c r="N605" s="44" t="str">
        <f t="shared" si="60"/>
        <v>MCSOPF2CPF - Desp. Transporte / Combustível</v>
      </c>
      <c r="O605" s="44" t="str">
        <f t="shared" si="61"/>
        <v>OPF2CPF - Desp. Transporte / Combustível</v>
      </c>
      <c r="P605" s="44" t="str">
        <f t="shared" si="62"/>
        <v>MCSOPF2CPF - Desp. Transporte / Combustível</v>
      </c>
      <c r="Q605" s="44" t="str">
        <f t="shared" si="63"/>
        <v>MCSOPF2</v>
      </c>
      <c r="R605" s="44" t="str">
        <f t="shared" si="64"/>
        <v>MCSOPF2</v>
      </c>
      <c r="S605" s="38"/>
      <c r="T605" s="45">
        <f t="shared" si="65"/>
        <v>45839</v>
      </c>
      <c r="U605" s="24" t="str">
        <f t="shared" si="59"/>
        <v/>
      </c>
      <c r="V605" s="14" t="s">
        <v>761</v>
      </c>
    </row>
    <row r="606" spans="2:22" s="46" customFormat="1" x14ac:dyDescent="0.25">
      <c r="B606" s="37" t="s">
        <v>25</v>
      </c>
      <c r="C606" s="38"/>
      <c r="D606" s="86" t="str">
        <f>INDEX(Cad_Natureza!$B$3:$C$52,MATCH('2025'!F606,Cad_Natureza!$C$3:$C$52,0),MATCH('2025'!D$2,Cad_Natureza!$B$3:$C$3,0))</f>
        <v>OPF1</v>
      </c>
      <c r="E606" s="84" t="s">
        <v>648</v>
      </c>
      <c r="F606" s="85" t="s">
        <v>744</v>
      </c>
      <c r="G606" s="86" t="s">
        <v>25</v>
      </c>
      <c r="H606" s="87">
        <v>45860</v>
      </c>
      <c r="I606" s="87"/>
      <c r="J606" s="79" t="s">
        <v>459</v>
      </c>
      <c r="K606" s="62">
        <v>-5</v>
      </c>
      <c r="L606" s="68">
        <v>625.06999999999994</v>
      </c>
      <c r="M606" s="38"/>
      <c r="N606" s="44" t="str">
        <f t="shared" si="60"/>
        <v>MCSOPF1CPF - Desp. Alimentação / Refeição</v>
      </c>
      <c r="O606" s="44" t="str">
        <f t="shared" si="61"/>
        <v>OPF1CPF - Desp. Alimentação / Refeição</v>
      </c>
      <c r="P606" s="44" t="str">
        <f t="shared" si="62"/>
        <v>MCSOPF1CPF - Desp. Alimentação / Refeição</v>
      </c>
      <c r="Q606" s="44" t="str">
        <f t="shared" si="63"/>
        <v>MCSOPF1</v>
      </c>
      <c r="R606" s="44" t="str">
        <f t="shared" si="64"/>
        <v>MCSOPF1</v>
      </c>
      <c r="S606" s="38"/>
      <c r="T606" s="45">
        <f t="shared" si="65"/>
        <v>45839</v>
      </c>
      <c r="U606" s="24" t="str">
        <f t="shared" si="59"/>
        <v/>
      </c>
      <c r="V606" s="14" t="s">
        <v>761</v>
      </c>
    </row>
    <row r="607" spans="2:22" s="46" customFormat="1" x14ac:dyDescent="0.25">
      <c r="B607" s="37" t="s">
        <v>25</v>
      </c>
      <c r="C607" s="38"/>
      <c r="D607" s="86" t="str">
        <f>INDEX(Cad_Natureza!$B$3:$C$52,MATCH('2025'!F607,Cad_Natureza!$C$3:$C$52,0),MATCH('2025'!D$2,Cad_Natureza!$B$3:$C$3,0))</f>
        <v>OPF1</v>
      </c>
      <c r="E607" s="84" t="s">
        <v>649</v>
      </c>
      <c r="F607" s="85" t="s">
        <v>744</v>
      </c>
      <c r="G607" s="86" t="s">
        <v>25</v>
      </c>
      <c r="H607" s="87">
        <v>45860</v>
      </c>
      <c r="I607" s="87"/>
      <c r="J607" s="79" t="s">
        <v>564</v>
      </c>
      <c r="K607" s="62">
        <v>-92</v>
      </c>
      <c r="L607" s="68">
        <v>533.06999999999994</v>
      </c>
      <c r="M607" s="38"/>
      <c r="N607" s="44" t="str">
        <f t="shared" si="60"/>
        <v>MCSOPF1CPF - Desp. Alimentação / Refeição</v>
      </c>
      <c r="O607" s="44" t="str">
        <f t="shared" si="61"/>
        <v>OPF1CPF - Desp. Alimentação / Refeição</v>
      </c>
      <c r="P607" s="44" t="str">
        <f t="shared" si="62"/>
        <v>MCSOPF1CPF - Desp. Alimentação / Refeição</v>
      </c>
      <c r="Q607" s="44" t="str">
        <f t="shared" si="63"/>
        <v>MCSOPF1</v>
      </c>
      <c r="R607" s="44" t="str">
        <f t="shared" si="64"/>
        <v>MCSOPF1</v>
      </c>
      <c r="S607" s="38"/>
      <c r="T607" s="45">
        <f t="shared" si="65"/>
        <v>45839</v>
      </c>
      <c r="U607" s="24" t="str">
        <f t="shared" si="59"/>
        <v/>
      </c>
      <c r="V607" s="14" t="s">
        <v>761</v>
      </c>
    </row>
    <row r="608" spans="2:22" s="46" customFormat="1" x14ac:dyDescent="0.25">
      <c r="B608" s="37" t="s">
        <v>25</v>
      </c>
      <c r="C608" s="38"/>
      <c r="D608" s="86" t="str">
        <f>INDEX(Cad_Natureza!$B$3:$C$52,MATCH('2025'!F608,Cad_Natureza!$C$3:$C$52,0),MATCH('2025'!D$2,Cad_Natureza!$B$3:$C$3,0))</f>
        <v>DESP1</v>
      </c>
      <c r="E608" s="84" t="s">
        <v>650</v>
      </c>
      <c r="F608" s="85" t="s">
        <v>733</v>
      </c>
      <c r="G608" s="86" t="s">
        <v>25</v>
      </c>
      <c r="H608" s="87">
        <v>45860</v>
      </c>
      <c r="I608" s="87"/>
      <c r="J608" s="79" t="s">
        <v>675</v>
      </c>
      <c r="K608" s="62">
        <v>-104.53</v>
      </c>
      <c r="L608" s="68">
        <v>428.53999999999996</v>
      </c>
      <c r="M608" s="38"/>
      <c r="N608" s="44" t="str">
        <f t="shared" si="60"/>
        <v>MCSDESP1CPF - Desp. Cartão de crédito</v>
      </c>
      <c r="O608" s="44" t="str">
        <f t="shared" si="61"/>
        <v>DESP1CPF - Desp. Cartão de crédito</v>
      </c>
      <c r="P608" s="44" t="str">
        <f t="shared" si="62"/>
        <v>MCSDESP1CPF - Desp. Cartão de crédito</v>
      </c>
      <c r="Q608" s="44" t="str">
        <f t="shared" si="63"/>
        <v>MCSDESP1</v>
      </c>
      <c r="R608" s="44" t="str">
        <f t="shared" si="64"/>
        <v>MCSDESP1</v>
      </c>
      <c r="S608" s="38"/>
      <c r="T608" s="45">
        <f t="shared" si="65"/>
        <v>45839</v>
      </c>
      <c r="U608" s="24" t="str">
        <f t="shared" si="59"/>
        <v/>
      </c>
      <c r="V608" s="14" t="s">
        <v>761</v>
      </c>
    </row>
    <row r="609" spans="2:22" s="46" customFormat="1" x14ac:dyDescent="0.25">
      <c r="B609" s="37" t="s">
        <v>25</v>
      </c>
      <c r="C609" s="38"/>
      <c r="D609" s="86" t="str">
        <f>INDEX(Cad_Natureza!$B$3:$C$52,MATCH('2025'!F609,Cad_Natureza!$C$3:$C$52,0),MATCH('2025'!D$2,Cad_Natureza!$B$3:$C$3,0))</f>
        <v>OPF1</v>
      </c>
      <c r="E609" s="84" t="s">
        <v>651</v>
      </c>
      <c r="F609" s="85" t="s">
        <v>744</v>
      </c>
      <c r="G609" s="86" t="s">
        <v>25</v>
      </c>
      <c r="H609" s="87">
        <v>45861</v>
      </c>
      <c r="I609" s="87"/>
      <c r="J609" s="79" t="s">
        <v>459</v>
      </c>
      <c r="K609" s="62">
        <v>-5</v>
      </c>
      <c r="L609" s="68">
        <v>423.53999999999996</v>
      </c>
      <c r="M609" s="38"/>
      <c r="N609" s="44" t="str">
        <f t="shared" si="60"/>
        <v>MCSOPF1CPF - Desp. Alimentação / Refeição</v>
      </c>
      <c r="O609" s="44" t="str">
        <f t="shared" si="61"/>
        <v>OPF1CPF - Desp. Alimentação / Refeição</v>
      </c>
      <c r="P609" s="44" t="str">
        <f t="shared" si="62"/>
        <v>MCSOPF1CPF - Desp. Alimentação / Refeição</v>
      </c>
      <c r="Q609" s="44" t="str">
        <f t="shared" si="63"/>
        <v>MCSOPF1</v>
      </c>
      <c r="R609" s="44" t="str">
        <f t="shared" si="64"/>
        <v>MCSOPF1</v>
      </c>
      <c r="S609" s="38"/>
      <c r="T609" s="45">
        <f t="shared" si="65"/>
        <v>45839</v>
      </c>
      <c r="U609" s="24" t="str">
        <f t="shared" si="59"/>
        <v/>
      </c>
      <c r="V609" s="14" t="s">
        <v>761</v>
      </c>
    </row>
    <row r="610" spans="2:22" s="46" customFormat="1" x14ac:dyDescent="0.25">
      <c r="B610" s="37" t="s">
        <v>25</v>
      </c>
      <c r="C610" s="38"/>
      <c r="D610" s="86" t="str">
        <f>INDEX(Cad_Natureza!$B$3:$C$52,MATCH('2025'!F610,Cad_Natureza!$C$3:$C$52,0),MATCH('2025'!D$2,Cad_Natureza!$B$3:$C$3,0))</f>
        <v>OPF1</v>
      </c>
      <c r="E610" s="84" t="s">
        <v>651</v>
      </c>
      <c r="F610" s="85" t="s">
        <v>744</v>
      </c>
      <c r="G610" s="86" t="s">
        <v>25</v>
      </c>
      <c r="H610" s="87">
        <v>45861</v>
      </c>
      <c r="I610" s="87"/>
      <c r="J610" s="79" t="s">
        <v>459</v>
      </c>
      <c r="K610" s="62">
        <v>-2.5</v>
      </c>
      <c r="L610" s="68">
        <v>421.03999999999996</v>
      </c>
      <c r="M610" s="38"/>
      <c r="N610" s="44" t="str">
        <f t="shared" si="60"/>
        <v>MCSOPF1CPF - Desp. Alimentação / Refeição</v>
      </c>
      <c r="O610" s="44" t="str">
        <f t="shared" si="61"/>
        <v>OPF1CPF - Desp. Alimentação / Refeição</v>
      </c>
      <c r="P610" s="44" t="str">
        <f t="shared" si="62"/>
        <v>MCSOPF1CPF - Desp. Alimentação / Refeição</v>
      </c>
      <c r="Q610" s="44" t="str">
        <f t="shared" si="63"/>
        <v>MCSOPF1</v>
      </c>
      <c r="R610" s="44" t="str">
        <f t="shared" si="64"/>
        <v>MCSOPF1</v>
      </c>
      <c r="S610" s="38"/>
      <c r="T610" s="45">
        <f t="shared" si="65"/>
        <v>45839</v>
      </c>
      <c r="U610" s="24" t="str">
        <f t="shared" si="59"/>
        <v/>
      </c>
      <c r="V610" s="14" t="s">
        <v>761</v>
      </c>
    </row>
    <row r="611" spans="2:22" s="46" customFormat="1" x14ac:dyDescent="0.25">
      <c r="B611" s="37" t="s">
        <v>25</v>
      </c>
      <c r="C611" s="38"/>
      <c r="D611" s="86" t="str">
        <f>INDEX(Cad_Natureza!$B$3:$C$52,MATCH('2025'!F611,Cad_Natureza!$C$3:$C$52,0),MATCH('2025'!D$2,Cad_Natureza!$B$3:$C$3,0))</f>
        <v>OPF1</v>
      </c>
      <c r="E611" s="84" t="s">
        <v>652</v>
      </c>
      <c r="F611" s="85" t="s">
        <v>744</v>
      </c>
      <c r="G611" s="86" t="s">
        <v>25</v>
      </c>
      <c r="H611" s="87">
        <v>45862</v>
      </c>
      <c r="I611" s="87"/>
      <c r="J611" s="79" t="s">
        <v>459</v>
      </c>
      <c r="K611" s="62">
        <v>-2.5</v>
      </c>
      <c r="L611" s="68">
        <v>418.53999999999996</v>
      </c>
      <c r="M611" s="38"/>
      <c r="N611" s="44" t="str">
        <f t="shared" si="60"/>
        <v>MCSOPF1CPF - Desp. Alimentação / Refeição</v>
      </c>
      <c r="O611" s="44" t="str">
        <f t="shared" si="61"/>
        <v>OPF1CPF - Desp. Alimentação / Refeição</v>
      </c>
      <c r="P611" s="44" t="str">
        <f t="shared" si="62"/>
        <v>MCSOPF1CPF - Desp. Alimentação / Refeição</v>
      </c>
      <c r="Q611" s="44" t="str">
        <f t="shared" si="63"/>
        <v>MCSOPF1</v>
      </c>
      <c r="R611" s="44" t="str">
        <f t="shared" si="64"/>
        <v>MCSOPF1</v>
      </c>
      <c r="S611" s="38"/>
      <c r="T611" s="45">
        <f t="shared" si="65"/>
        <v>45839</v>
      </c>
      <c r="U611" s="24" t="str">
        <f t="shared" si="59"/>
        <v/>
      </c>
      <c r="V611" s="14" t="s">
        <v>761</v>
      </c>
    </row>
    <row r="612" spans="2:22" s="46" customFormat="1" x14ac:dyDescent="0.25">
      <c r="B612" s="37" t="s">
        <v>25</v>
      </c>
      <c r="C612" s="38"/>
      <c r="D612" s="86" t="str">
        <f>INDEX(Cad_Natureza!$B$3:$C$52,MATCH('2025'!F612,Cad_Natureza!$C$3:$C$52,0),MATCH('2025'!D$2,Cad_Natureza!$B$3:$C$3,0))</f>
        <v>OPF1</v>
      </c>
      <c r="E612" s="84" t="s">
        <v>652</v>
      </c>
      <c r="F612" s="85" t="s">
        <v>744</v>
      </c>
      <c r="G612" s="86" t="s">
        <v>25</v>
      </c>
      <c r="H612" s="87">
        <v>45862</v>
      </c>
      <c r="I612" s="87"/>
      <c r="J612" s="79" t="s">
        <v>459</v>
      </c>
      <c r="K612" s="62">
        <v>-2.5</v>
      </c>
      <c r="L612" s="68">
        <v>416.03999999999996</v>
      </c>
      <c r="M612" s="38"/>
      <c r="N612" s="44" t="str">
        <f t="shared" si="60"/>
        <v>MCSOPF1CPF - Desp. Alimentação / Refeição</v>
      </c>
      <c r="O612" s="44" t="str">
        <f t="shared" si="61"/>
        <v>OPF1CPF - Desp. Alimentação / Refeição</v>
      </c>
      <c r="P612" s="44" t="str">
        <f t="shared" si="62"/>
        <v>MCSOPF1CPF - Desp. Alimentação / Refeição</v>
      </c>
      <c r="Q612" s="44" t="str">
        <f t="shared" si="63"/>
        <v>MCSOPF1</v>
      </c>
      <c r="R612" s="44" t="str">
        <f t="shared" si="64"/>
        <v>MCSOPF1</v>
      </c>
      <c r="S612" s="38"/>
      <c r="T612" s="45">
        <f t="shared" si="65"/>
        <v>45839</v>
      </c>
      <c r="U612" s="24" t="str">
        <f t="shared" si="59"/>
        <v/>
      </c>
      <c r="V612" s="14" t="s">
        <v>761</v>
      </c>
    </row>
    <row r="613" spans="2:22" s="46" customFormat="1" x14ac:dyDescent="0.25">
      <c r="B613" s="37" t="s">
        <v>25</v>
      </c>
      <c r="C613" s="38"/>
      <c r="D613" s="86" t="str">
        <f>INDEX(Cad_Natureza!$B$3:$C$52,MATCH('2025'!F613,Cad_Natureza!$C$3:$C$52,0),MATCH('2025'!D$2,Cad_Natureza!$B$3:$C$3,0))</f>
        <v>OPF2</v>
      </c>
      <c r="E613" s="84" t="s">
        <v>653</v>
      </c>
      <c r="F613" s="85" t="s">
        <v>741</v>
      </c>
      <c r="G613" s="86" t="s">
        <v>25</v>
      </c>
      <c r="H613" s="87">
        <v>45862</v>
      </c>
      <c r="I613" s="87"/>
      <c r="J613" s="79" t="s">
        <v>674</v>
      </c>
      <c r="K613" s="62">
        <v>-50</v>
      </c>
      <c r="L613" s="68">
        <v>366.03999999999996</v>
      </c>
      <c r="M613" s="38"/>
      <c r="N613" s="44" t="str">
        <f t="shared" si="60"/>
        <v>MCSOPF2CPF - Desp. Transporte / Combustível</v>
      </c>
      <c r="O613" s="44" t="str">
        <f t="shared" si="61"/>
        <v>OPF2CPF - Desp. Transporte / Combustível</v>
      </c>
      <c r="P613" s="44" t="str">
        <f t="shared" si="62"/>
        <v>MCSOPF2CPF - Desp. Transporte / Combustível</v>
      </c>
      <c r="Q613" s="44" t="str">
        <f t="shared" si="63"/>
        <v>MCSOPF2</v>
      </c>
      <c r="R613" s="44" t="str">
        <f t="shared" si="64"/>
        <v>MCSOPF2</v>
      </c>
      <c r="S613" s="38"/>
      <c r="T613" s="45">
        <f t="shared" si="65"/>
        <v>45839</v>
      </c>
      <c r="U613" s="24" t="str">
        <f t="shared" si="59"/>
        <v/>
      </c>
      <c r="V613" s="14" t="s">
        <v>761</v>
      </c>
    </row>
    <row r="614" spans="2:22" s="46" customFormat="1" x14ac:dyDescent="0.25">
      <c r="B614" s="37" t="s">
        <v>25</v>
      </c>
      <c r="C614" s="38"/>
      <c r="D614" s="86" t="str">
        <f>INDEX(Cad_Natureza!$B$3:$C$52,MATCH('2025'!F614,Cad_Natureza!$C$3:$C$52,0),MATCH('2025'!D$2,Cad_Natureza!$B$3:$C$3,0))</f>
        <v>GAST2</v>
      </c>
      <c r="E614" s="84" t="s">
        <v>654</v>
      </c>
      <c r="F614" s="85" t="s">
        <v>743</v>
      </c>
      <c r="G614" s="86" t="s">
        <v>25</v>
      </c>
      <c r="H614" s="87">
        <v>45862</v>
      </c>
      <c r="I614" s="87"/>
      <c r="J614" s="79" t="s">
        <v>180</v>
      </c>
      <c r="K614" s="62">
        <v>-35</v>
      </c>
      <c r="L614" s="68">
        <v>331.03999999999996</v>
      </c>
      <c r="M614" s="38"/>
      <c r="N614" s="44" t="str">
        <f t="shared" si="60"/>
        <v>MCSGAST2CPF - Desp. Lazer e Entretenimento - Cigarro</v>
      </c>
      <c r="O614" s="44" t="str">
        <f t="shared" si="61"/>
        <v>GAST2CPF - Desp. Lazer e Entretenimento - Cigarro</v>
      </c>
      <c r="P614" s="44" t="str">
        <f t="shared" si="62"/>
        <v>MCSGAST2CPF - Desp. Lazer e Entretenimento - Cigarro</v>
      </c>
      <c r="Q614" s="44" t="str">
        <f t="shared" si="63"/>
        <v>MCSGAST2</v>
      </c>
      <c r="R614" s="44" t="str">
        <f t="shared" si="64"/>
        <v>MCSGAST2</v>
      </c>
      <c r="S614" s="38"/>
      <c r="T614" s="45">
        <f t="shared" si="65"/>
        <v>45839</v>
      </c>
      <c r="U614" s="24" t="str">
        <f t="shared" si="59"/>
        <v/>
      </c>
      <c r="V614" s="14" t="s">
        <v>761</v>
      </c>
    </row>
    <row r="615" spans="2:22" s="46" customFormat="1" x14ac:dyDescent="0.25">
      <c r="B615" s="37" t="s">
        <v>25</v>
      </c>
      <c r="C615" s="38"/>
      <c r="D615" s="86" t="str">
        <f>INDEX(Cad_Natureza!$B$3:$C$52,MATCH('2025'!F615,Cad_Natureza!$C$3:$C$52,0),MATCH('2025'!D$2,Cad_Natureza!$B$3:$C$3,0))</f>
        <v>GAST1</v>
      </c>
      <c r="E615" s="84" t="s">
        <v>655</v>
      </c>
      <c r="F615" s="85" t="s">
        <v>742</v>
      </c>
      <c r="G615" s="86" t="s">
        <v>25</v>
      </c>
      <c r="H615" s="87">
        <v>45862</v>
      </c>
      <c r="I615" s="87"/>
      <c r="J615" s="79" t="s">
        <v>185</v>
      </c>
      <c r="K615" s="62">
        <v>-9</v>
      </c>
      <c r="L615" s="68">
        <v>322.03999999999996</v>
      </c>
      <c r="M615" s="38"/>
      <c r="N615" s="44" t="str">
        <f t="shared" si="60"/>
        <v>MCSGAST1CPF - Desp. Lazer e Entretenimento - Bares</v>
      </c>
      <c r="O615" s="44" t="str">
        <f t="shared" si="61"/>
        <v>GAST1CPF - Desp. Lazer e Entretenimento - Bares</v>
      </c>
      <c r="P615" s="44" t="str">
        <f t="shared" si="62"/>
        <v>MCSGAST1CPF - Desp. Lazer e Entretenimento - Bares</v>
      </c>
      <c r="Q615" s="44" t="str">
        <f t="shared" si="63"/>
        <v>MCSGAST1</v>
      </c>
      <c r="R615" s="44" t="str">
        <f t="shared" si="64"/>
        <v>MCSGAST1</v>
      </c>
      <c r="S615" s="38"/>
      <c r="T615" s="45">
        <f t="shared" si="65"/>
        <v>45839</v>
      </c>
      <c r="U615" s="24" t="str">
        <f t="shared" si="59"/>
        <v/>
      </c>
      <c r="V615" s="14" t="s">
        <v>761</v>
      </c>
    </row>
    <row r="616" spans="2:22" s="46" customFormat="1" x14ac:dyDescent="0.25">
      <c r="B616" s="37" t="s">
        <v>25</v>
      </c>
      <c r="C616" s="38"/>
      <c r="D616" s="86" t="str">
        <f>INDEX(Cad_Natureza!$B$3:$C$52,MATCH('2025'!F616,Cad_Natureza!$C$3:$C$52,0),MATCH('2025'!D$2,Cad_Natureza!$B$3:$C$3,0))</f>
        <v>GAST1</v>
      </c>
      <c r="E616" s="84" t="s">
        <v>655</v>
      </c>
      <c r="F616" s="85" t="s">
        <v>742</v>
      </c>
      <c r="G616" s="86" t="s">
        <v>25</v>
      </c>
      <c r="H616" s="87">
        <v>45862</v>
      </c>
      <c r="I616" s="87"/>
      <c r="J616" s="79" t="s">
        <v>185</v>
      </c>
      <c r="K616" s="62">
        <v>-2.5</v>
      </c>
      <c r="L616" s="68">
        <v>319.53999999999996</v>
      </c>
      <c r="M616" s="38"/>
      <c r="N616" s="44" t="str">
        <f t="shared" si="60"/>
        <v>MCSGAST1CPF - Desp. Lazer e Entretenimento - Bares</v>
      </c>
      <c r="O616" s="44" t="str">
        <f t="shared" si="61"/>
        <v>GAST1CPF - Desp. Lazer e Entretenimento - Bares</v>
      </c>
      <c r="P616" s="44" t="str">
        <f t="shared" si="62"/>
        <v>MCSGAST1CPF - Desp. Lazer e Entretenimento - Bares</v>
      </c>
      <c r="Q616" s="44" t="str">
        <f t="shared" si="63"/>
        <v>MCSGAST1</v>
      </c>
      <c r="R616" s="44" t="str">
        <f t="shared" si="64"/>
        <v>MCSGAST1</v>
      </c>
      <c r="S616" s="38"/>
      <c r="T616" s="45">
        <f t="shared" si="65"/>
        <v>45839</v>
      </c>
      <c r="U616" s="24" t="str">
        <f t="shared" si="59"/>
        <v/>
      </c>
      <c r="V616" s="14" t="s">
        <v>761</v>
      </c>
    </row>
    <row r="617" spans="2:22" s="46" customFormat="1" x14ac:dyDescent="0.25">
      <c r="B617" s="37" t="s">
        <v>25</v>
      </c>
      <c r="C617" s="38"/>
      <c r="D617" s="86" t="str">
        <f>INDEX(Cad_Natureza!$B$3:$C$52,MATCH('2025'!F617,Cad_Natureza!$C$3:$C$52,0),MATCH('2025'!D$2,Cad_Natureza!$B$3:$C$3,0))</f>
        <v>OPF1</v>
      </c>
      <c r="E617" s="84" t="s">
        <v>656</v>
      </c>
      <c r="F617" s="85" t="s">
        <v>744</v>
      </c>
      <c r="G617" s="86" t="s">
        <v>25</v>
      </c>
      <c r="H617" s="87">
        <v>45863</v>
      </c>
      <c r="I617" s="87"/>
      <c r="J617" s="79" t="s">
        <v>459</v>
      </c>
      <c r="K617" s="62">
        <v>-2.5</v>
      </c>
      <c r="L617" s="68">
        <v>317.03999999999996</v>
      </c>
      <c r="M617" s="38"/>
      <c r="N617" s="44" t="str">
        <f t="shared" si="60"/>
        <v>MCSOPF1CPF - Desp. Alimentação / Refeição</v>
      </c>
      <c r="O617" s="44" t="str">
        <f t="shared" si="61"/>
        <v>OPF1CPF - Desp. Alimentação / Refeição</v>
      </c>
      <c r="P617" s="44" t="str">
        <f t="shared" si="62"/>
        <v>MCSOPF1CPF - Desp. Alimentação / Refeição</v>
      </c>
      <c r="Q617" s="44" t="str">
        <f t="shared" si="63"/>
        <v>MCSOPF1</v>
      </c>
      <c r="R617" s="44" t="str">
        <f t="shared" si="64"/>
        <v>MCSOPF1</v>
      </c>
      <c r="S617" s="38"/>
      <c r="T617" s="45">
        <f t="shared" si="65"/>
        <v>45839</v>
      </c>
      <c r="U617" s="24" t="str">
        <f t="shared" si="59"/>
        <v/>
      </c>
      <c r="V617" s="14" t="s">
        <v>761</v>
      </c>
    </row>
    <row r="618" spans="2:22" s="46" customFormat="1" x14ac:dyDescent="0.25">
      <c r="B618" s="37" t="s">
        <v>25</v>
      </c>
      <c r="C618" s="38"/>
      <c r="D618" s="86" t="str">
        <f>INDEX(Cad_Natureza!$B$3:$C$52,MATCH('2025'!F618,Cad_Natureza!$C$3:$C$52,0),MATCH('2025'!D$2,Cad_Natureza!$B$3:$C$3,0))</f>
        <v>OUG1</v>
      </c>
      <c r="E618" s="84" t="s">
        <v>657</v>
      </c>
      <c r="F618" s="85" t="s">
        <v>748</v>
      </c>
      <c r="G618" s="86" t="s">
        <v>25</v>
      </c>
      <c r="H618" s="87">
        <v>45863</v>
      </c>
      <c r="I618" s="87"/>
      <c r="J618" s="79" t="s">
        <v>794</v>
      </c>
      <c r="K618" s="62">
        <v>-20</v>
      </c>
      <c r="L618" s="68">
        <v>297.03999999999996</v>
      </c>
      <c r="M618" s="38"/>
      <c r="N618" s="44" t="str">
        <f t="shared" si="60"/>
        <v>MCSOUG1CPF - Outros gastos</v>
      </c>
      <c r="O618" s="44" t="str">
        <f t="shared" si="61"/>
        <v>OUG1CPF - Outros gastos</v>
      </c>
      <c r="P618" s="44" t="str">
        <f t="shared" si="62"/>
        <v>MCSOUG1CPF - Outros gastos</v>
      </c>
      <c r="Q618" s="44" t="str">
        <f t="shared" si="63"/>
        <v>MCSOUG1</v>
      </c>
      <c r="R618" s="44" t="str">
        <f t="shared" si="64"/>
        <v>MCSOUG1</v>
      </c>
      <c r="S618" s="38"/>
      <c r="T618" s="45">
        <f t="shared" si="65"/>
        <v>45839</v>
      </c>
      <c r="U618" s="24" t="str">
        <f t="shared" si="59"/>
        <v/>
      </c>
      <c r="V618" s="14" t="s">
        <v>761</v>
      </c>
    </row>
    <row r="619" spans="2:22" s="46" customFormat="1" x14ac:dyDescent="0.25">
      <c r="B619" s="37" t="s">
        <v>25</v>
      </c>
      <c r="C619" s="38"/>
      <c r="D619" s="86" t="str">
        <f>INDEX(Cad_Natureza!$B$3:$C$52,MATCH('2025'!F619,Cad_Natureza!$C$3:$C$52,0),MATCH('2025'!D$2,Cad_Natureza!$B$3:$C$3,0))</f>
        <v>OPF1</v>
      </c>
      <c r="E619" s="84" t="s">
        <v>656</v>
      </c>
      <c r="F619" s="85" t="s">
        <v>744</v>
      </c>
      <c r="G619" s="86" t="s">
        <v>25</v>
      </c>
      <c r="H619" s="87">
        <v>45863</v>
      </c>
      <c r="I619" s="87"/>
      <c r="J619" s="79" t="s">
        <v>459</v>
      </c>
      <c r="K619" s="62">
        <v>-2.5</v>
      </c>
      <c r="L619" s="68">
        <v>294.53999999999996</v>
      </c>
      <c r="M619" s="38"/>
      <c r="N619" s="44" t="str">
        <f t="shared" si="60"/>
        <v>MCSOPF1CPF - Desp. Alimentação / Refeição</v>
      </c>
      <c r="O619" s="44" t="str">
        <f t="shared" si="61"/>
        <v>OPF1CPF - Desp. Alimentação / Refeição</v>
      </c>
      <c r="P619" s="44" t="str">
        <f t="shared" si="62"/>
        <v>MCSOPF1CPF - Desp. Alimentação / Refeição</v>
      </c>
      <c r="Q619" s="44" t="str">
        <f t="shared" si="63"/>
        <v>MCSOPF1</v>
      </c>
      <c r="R619" s="44" t="str">
        <f t="shared" si="64"/>
        <v>MCSOPF1</v>
      </c>
      <c r="S619" s="38"/>
      <c r="T619" s="45">
        <f t="shared" si="65"/>
        <v>45839</v>
      </c>
      <c r="U619" s="24" t="str">
        <f t="shared" si="59"/>
        <v/>
      </c>
      <c r="V619" s="14" t="s">
        <v>761</v>
      </c>
    </row>
    <row r="620" spans="2:22" s="46" customFormat="1" x14ac:dyDescent="0.25">
      <c r="B620" s="37" t="s">
        <v>25</v>
      </c>
      <c r="C620" s="38"/>
      <c r="D620" s="86" t="str">
        <f>INDEX(Cad_Natureza!$B$3:$C$52,MATCH('2025'!F620,Cad_Natureza!$C$3:$C$52,0),MATCH('2025'!D$2,Cad_Natureza!$B$3:$C$3,0))</f>
        <v>GAST1</v>
      </c>
      <c r="E620" s="84" t="s">
        <v>658</v>
      </c>
      <c r="F620" s="85" t="s">
        <v>742</v>
      </c>
      <c r="G620" s="86" t="s">
        <v>25</v>
      </c>
      <c r="H620" s="87">
        <v>45863</v>
      </c>
      <c r="I620" s="87"/>
      <c r="J620" s="79" t="s">
        <v>561</v>
      </c>
      <c r="K620" s="62">
        <v>-20</v>
      </c>
      <c r="L620" s="68">
        <v>274.53999999999996</v>
      </c>
      <c r="M620" s="38"/>
      <c r="N620" s="44" t="str">
        <f t="shared" si="60"/>
        <v>MCSGAST1CPF - Desp. Lazer e Entretenimento - Bares</v>
      </c>
      <c r="O620" s="44" t="str">
        <f t="shared" si="61"/>
        <v>GAST1CPF - Desp. Lazer e Entretenimento - Bares</v>
      </c>
      <c r="P620" s="44" t="str">
        <f t="shared" si="62"/>
        <v>MCSGAST1CPF - Desp. Lazer e Entretenimento - Bares</v>
      </c>
      <c r="Q620" s="44" t="str">
        <f t="shared" si="63"/>
        <v>MCSGAST1</v>
      </c>
      <c r="R620" s="44" t="str">
        <f t="shared" si="64"/>
        <v>MCSGAST1</v>
      </c>
      <c r="S620" s="38"/>
      <c r="T620" s="45">
        <f t="shared" si="65"/>
        <v>45839</v>
      </c>
      <c r="U620" s="24" t="str">
        <f t="shared" si="59"/>
        <v/>
      </c>
      <c r="V620" s="14" t="s">
        <v>761</v>
      </c>
    </row>
    <row r="621" spans="2:22" s="46" customFormat="1" x14ac:dyDescent="0.25">
      <c r="B621" s="37" t="s">
        <v>25</v>
      </c>
      <c r="C621" s="38"/>
      <c r="D621" s="86" t="str">
        <f>INDEX(Cad_Natureza!$B$3:$C$52,MATCH('2025'!F621,Cad_Natureza!$C$3:$C$52,0),MATCH('2025'!D$2,Cad_Natureza!$B$3:$C$3,0))</f>
        <v>GAST1</v>
      </c>
      <c r="E621" s="84" t="s">
        <v>659</v>
      </c>
      <c r="F621" s="85" t="s">
        <v>742</v>
      </c>
      <c r="G621" s="86" t="s">
        <v>25</v>
      </c>
      <c r="H621" s="87">
        <v>45863</v>
      </c>
      <c r="I621" s="87"/>
      <c r="J621" s="79" t="s">
        <v>185</v>
      </c>
      <c r="K621" s="62">
        <v>-20</v>
      </c>
      <c r="L621" s="68">
        <v>254.53999999999996</v>
      </c>
      <c r="M621" s="38"/>
      <c r="N621" s="44" t="str">
        <f t="shared" si="60"/>
        <v>MCSGAST1CPF - Desp. Lazer e Entretenimento - Bares</v>
      </c>
      <c r="O621" s="44" t="str">
        <f t="shared" si="61"/>
        <v>GAST1CPF - Desp. Lazer e Entretenimento - Bares</v>
      </c>
      <c r="P621" s="44" t="str">
        <f t="shared" si="62"/>
        <v>MCSGAST1CPF - Desp. Lazer e Entretenimento - Bares</v>
      </c>
      <c r="Q621" s="44" t="str">
        <f t="shared" si="63"/>
        <v>MCSGAST1</v>
      </c>
      <c r="R621" s="44" t="str">
        <f t="shared" si="64"/>
        <v>MCSGAST1</v>
      </c>
      <c r="S621" s="38"/>
      <c r="T621" s="45">
        <f t="shared" si="65"/>
        <v>45839</v>
      </c>
      <c r="U621" s="24" t="str">
        <f t="shared" si="59"/>
        <v/>
      </c>
      <c r="V621" s="14" t="s">
        <v>761</v>
      </c>
    </row>
    <row r="622" spans="2:22" s="46" customFormat="1" x14ac:dyDescent="0.25">
      <c r="B622" s="37" t="s">
        <v>25</v>
      </c>
      <c r="C622" s="38"/>
      <c r="D622" s="86" t="str">
        <f>INDEX(Cad_Natureza!$B$3:$C$52,MATCH('2025'!F622,Cad_Natureza!$C$3:$C$52,0),MATCH('2025'!D$2,Cad_Natureza!$B$3:$C$3,0))</f>
        <v>PENS6</v>
      </c>
      <c r="E622" s="84" t="s">
        <v>660</v>
      </c>
      <c r="F622" s="85" t="s">
        <v>37</v>
      </c>
      <c r="G622" s="86" t="s">
        <v>25</v>
      </c>
      <c r="H622" s="87">
        <v>45863</v>
      </c>
      <c r="I622" s="87"/>
      <c r="J622" s="78" t="s">
        <v>568</v>
      </c>
      <c r="K622" s="62">
        <v>-35.99</v>
      </c>
      <c r="L622" s="68">
        <v>218.54999999999995</v>
      </c>
      <c r="M622" s="38"/>
      <c r="N622" s="44" t="str">
        <f t="shared" si="60"/>
        <v>MCSPENS6CPF - Pensão - Farmácia e Saúde</v>
      </c>
      <c r="O622" s="44" t="str">
        <f t="shared" si="61"/>
        <v>PENS6CPF - Pensão - Farmácia e Saúde</v>
      </c>
      <c r="P622" s="44" t="str">
        <f t="shared" si="62"/>
        <v>MCSPENS6CPF - Pensão - Farmácia e Saúde</v>
      </c>
      <c r="Q622" s="44" t="str">
        <f t="shared" si="63"/>
        <v>MCSPENS6</v>
      </c>
      <c r="R622" s="44" t="str">
        <f t="shared" si="64"/>
        <v>MCSPENS6</v>
      </c>
      <c r="S622" s="38"/>
      <c r="T622" s="45">
        <f t="shared" si="65"/>
        <v>45839</v>
      </c>
      <c r="U622" s="24" t="str">
        <f t="shared" si="59"/>
        <v/>
      </c>
      <c r="V622" s="14" t="s">
        <v>731</v>
      </c>
    </row>
    <row r="623" spans="2:22" s="46" customFormat="1" x14ac:dyDescent="0.25">
      <c r="B623" s="37" t="s">
        <v>25</v>
      </c>
      <c r="C623" s="38"/>
      <c r="D623" s="86" t="str">
        <f>INDEX(Cad_Natureza!$B$3:$C$52,MATCH('2025'!F623,Cad_Natureza!$C$3:$C$52,0),MATCH('2025'!D$2,Cad_Natureza!$B$3:$C$3,0))</f>
        <v>GAST1</v>
      </c>
      <c r="E623" s="84" t="s">
        <v>661</v>
      </c>
      <c r="F623" s="85" t="s">
        <v>742</v>
      </c>
      <c r="G623" s="86" t="s">
        <v>25</v>
      </c>
      <c r="H623" s="87">
        <v>45866</v>
      </c>
      <c r="I623" s="87"/>
      <c r="J623" s="79" t="s">
        <v>561</v>
      </c>
      <c r="K623" s="62">
        <v>-5</v>
      </c>
      <c r="L623" s="68">
        <v>213.54999999999995</v>
      </c>
      <c r="M623" s="38"/>
      <c r="N623" s="44" t="str">
        <f t="shared" si="60"/>
        <v>MCSGAST1CPF - Desp. Lazer e Entretenimento - Bares</v>
      </c>
      <c r="O623" s="44" t="str">
        <f t="shared" si="61"/>
        <v>GAST1CPF - Desp. Lazer e Entretenimento - Bares</v>
      </c>
      <c r="P623" s="44" t="str">
        <f t="shared" si="62"/>
        <v>MCSGAST1CPF - Desp. Lazer e Entretenimento - Bares</v>
      </c>
      <c r="Q623" s="44" t="str">
        <f t="shared" si="63"/>
        <v>MCSGAST1</v>
      </c>
      <c r="R623" s="44" t="str">
        <f t="shared" si="64"/>
        <v>MCSGAST1</v>
      </c>
      <c r="S623" s="38"/>
      <c r="T623" s="45">
        <f t="shared" si="65"/>
        <v>45839</v>
      </c>
      <c r="U623" s="24" t="str">
        <f t="shared" si="59"/>
        <v/>
      </c>
      <c r="V623" s="14" t="s">
        <v>761</v>
      </c>
    </row>
    <row r="624" spans="2:22" s="46" customFormat="1" x14ac:dyDescent="0.25">
      <c r="B624" s="37" t="s">
        <v>25</v>
      </c>
      <c r="C624" s="38"/>
      <c r="D624" s="86" t="str">
        <f>INDEX(Cad_Natureza!$B$3:$C$52,MATCH('2025'!F624,Cad_Natureza!$C$3:$C$52,0),MATCH('2025'!D$2,Cad_Natureza!$B$3:$C$3,0))</f>
        <v>GAST1</v>
      </c>
      <c r="E624" s="84" t="s">
        <v>662</v>
      </c>
      <c r="F624" s="85" t="s">
        <v>742</v>
      </c>
      <c r="G624" s="86" t="s">
        <v>25</v>
      </c>
      <c r="H624" s="87">
        <v>45866</v>
      </c>
      <c r="I624" s="87"/>
      <c r="J624" s="79" t="s">
        <v>185</v>
      </c>
      <c r="K624" s="62">
        <v>-15</v>
      </c>
      <c r="L624" s="68">
        <v>198.54999999999995</v>
      </c>
      <c r="M624" s="38"/>
      <c r="N624" s="44" t="str">
        <f t="shared" si="60"/>
        <v>MCSGAST1CPF - Desp. Lazer e Entretenimento - Bares</v>
      </c>
      <c r="O624" s="44" t="str">
        <f t="shared" si="61"/>
        <v>GAST1CPF - Desp. Lazer e Entretenimento - Bares</v>
      </c>
      <c r="P624" s="44" t="str">
        <f t="shared" si="62"/>
        <v>MCSGAST1CPF - Desp. Lazer e Entretenimento - Bares</v>
      </c>
      <c r="Q624" s="44" t="str">
        <f t="shared" si="63"/>
        <v>MCSGAST1</v>
      </c>
      <c r="R624" s="44" t="str">
        <f t="shared" si="64"/>
        <v>MCSGAST1</v>
      </c>
      <c r="S624" s="38"/>
      <c r="T624" s="45">
        <f t="shared" si="65"/>
        <v>45839</v>
      </c>
      <c r="U624" s="24" t="str">
        <f t="shared" si="59"/>
        <v/>
      </c>
      <c r="V624" s="14" t="s">
        <v>761</v>
      </c>
    </row>
    <row r="625" spans="2:22" s="46" customFormat="1" x14ac:dyDescent="0.25">
      <c r="B625" s="37" t="s">
        <v>25</v>
      </c>
      <c r="C625" s="38"/>
      <c r="D625" s="86" t="str">
        <f>INDEX(Cad_Natureza!$B$3:$C$52,MATCH('2025'!F625,Cad_Natureza!$C$3:$C$52,0),MATCH('2025'!D$2,Cad_Natureza!$B$3:$C$3,0))</f>
        <v>GAST1</v>
      </c>
      <c r="E625" s="84" t="s">
        <v>662</v>
      </c>
      <c r="F625" s="85" t="s">
        <v>742</v>
      </c>
      <c r="G625" s="86" t="s">
        <v>25</v>
      </c>
      <c r="H625" s="87">
        <v>45866</v>
      </c>
      <c r="I625" s="87"/>
      <c r="J625" s="79" t="s">
        <v>185</v>
      </c>
      <c r="K625" s="62">
        <v>-5.5</v>
      </c>
      <c r="L625" s="68">
        <v>193.04999999999995</v>
      </c>
      <c r="M625" s="38"/>
      <c r="N625" s="44" t="str">
        <f t="shared" si="60"/>
        <v>MCSGAST1CPF - Desp. Lazer e Entretenimento - Bares</v>
      </c>
      <c r="O625" s="44" t="str">
        <f t="shared" si="61"/>
        <v>GAST1CPF - Desp. Lazer e Entretenimento - Bares</v>
      </c>
      <c r="P625" s="44" t="str">
        <f t="shared" si="62"/>
        <v>MCSGAST1CPF - Desp. Lazer e Entretenimento - Bares</v>
      </c>
      <c r="Q625" s="44" t="str">
        <f t="shared" si="63"/>
        <v>MCSGAST1</v>
      </c>
      <c r="R625" s="44" t="str">
        <f t="shared" si="64"/>
        <v>MCSGAST1</v>
      </c>
      <c r="S625" s="38"/>
      <c r="T625" s="45">
        <f t="shared" si="65"/>
        <v>45839</v>
      </c>
      <c r="U625" s="24" t="str">
        <f t="shared" si="59"/>
        <v/>
      </c>
      <c r="V625" s="14" t="s">
        <v>761</v>
      </c>
    </row>
    <row r="626" spans="2:22" s="46" customFormat="1" x14ac:dyDescent="0.25">
      <c r="B626" s="37" t="s">
        <v>25</v>
      </c>
      <c r="C626" s="38"/>
      <c r="D626" s="86" t="str">
        <f>INDEX(Cad_Natureza!$B$3:$C$52,MATCH('2025'!F626,Cad_Natureza!$C$3:$C$52,0),MATCH('2025'!D$2,Cad_Natureza!$B$3:$C$3,0))</f>
        <v>GAST1</v>
      </c>
      <c r="E626" s="84" t="s">
        <v>662</v>
      </c>
      <c r="F626" s="85" t="s">
        <v>742</v>
      </c>
      <c r="G626" s="86" t="s">
        <v>25</v>
      </c>
      <c r="H626" s="87">
        <v>45866</v>
      </c>
      <c r="I626" s="87"/>
      <c r="J626" s="79" t="s">
        <v>185</v>
      </c>
      <c r="K626" s="62">
        <v>-5.5</v>
      </c>
      <c r="L626" s="68">
        <v>187.54999999999995</v>
      </c>
      <c r="M626" s="38"/>
      <c r="N626" s="44" t="str">
        <f t="shared" si="60"/>
        <v>MCSGAST1CPF - Desp. Lazer e Entretenimento - Bares</v>
      </c>
      <c r="O626" s="44" t="str">
        <f t="shared" si="61"/>
        <v>GAST1CPF - Desp. Lazer e Entretenimento - Bares</v>
      </c>
      <c r="P626" s="44" t="str">
        <f t="shared" si="62"/>
        <v>MCSGAST1CPF - Desp. Lazer e Entretenimento - Bares</v>
      </c>
      <c r="Q626" s="44" t="str">
        <f t="shared" si="63"/>
        <v>MCSGAST1</v>
      </c>
      <c r="R626" s="44" t="str">
        <f t="shared" si="64"/>
        <v>MCSGAST1</v>
      </c>
      <c r="S626" s="38"/>
      <c r="T626" s="45">
        <f t="shared" si="65"/>
        <v>45839</v>
      </c>
      <c r="U626" s="24" t="str">
        <f t="shared" si="59"/>
        <v/>
      </c>
      <c r="V626" s="14" t="s">
        <v>761</v>
      </c>
    </row>
    <row r="627" spans="2:22" s="46" customFormat="1" x14ac:dyDescent="0.25">
      <c r="B627" s="37" t="s">
        <v>25</v>
      </c>
      <c r="C627" s="38"/>
      <c r="D627" s="86" t="str">
        <f>INDEX(Cad_Natureza!$B$3:$C$52,MATCH('2025'!F627,Cad_Natureza!$C$3:$C$52,0),MATCH('2025'!D$2,Cad_Natureza!$B$3:$C$3,0))</f>
        <v>OPF1</v>
      </c>
      <c r="E627" s="84" t="s">
        <v>663</v>
      </c>
      <c r="F627" s="85" t="s">
        <v>744</v>
      </c>
      <c r="G627" s="86" t="s">
        <v>25</v>
      </c>
      <c r="H627" s="87">
        <v>45866</v>
      </c>
      <c r="I627" s="87"/>
      <c r="J627" s="79" t="s">
        <v>459</v>
      </c>
      <c r="K627" s="62">
        <v>-2.5</v>
      </c>
      <c r="L627" s="68">
        <v>185.04999999999995</v>
      </c>
      <c r="M627" s="38"/>
      <c r="N627" s="44" t="str">
        <f t="shared" si="60"/>
        <v>MCSOPF1CPF - Desp. Alimentação / Refeição</v>
      </c>
      <c r="O627" s="44" t="str">
        <f t="shared" si="61"/>
        <v>OPF1CPF - Desp. Alimentação / Refeição</v>
      </c>
      <c r="P627" s="44" t="str">
        <f t="shared" si="62"/>
        <v>MCSOPF1CPF - Desp. Alimentação / Refeição</v>
      </c>
      <c r="Q627" s="44" t="str">
        <f t="shared" si="63"/>
        <v>MCSOPF1</v>
      </c>
      <c r="R627" s="44" t="str">
        <f t="shared" si="64"/>
        <v>MCSOPF1</v>
      </c>
      <c r="S627" s="38"/>
      <c r="T627" s="45">
        <f t="shared" si="65"/>
        <v>45839</v>
      </c>
      <c r="U627" s="24" t="str">
        <f t="shared" si="59"/>
        <v/>
      </c>
      <c r="V627" s="14" t="s">
        <v>761</v>
      </c>
    </row>
    <row r="628" spans="2:22" s="46" customFormat="1" x14ac:dyDescent="0.25">
      <c r="B628" s="37" t="s">
        <v>25</v>
      </c>
      <c r="C628" s="38"/>
      <c r="D628" s="86" t="str">
        <f>INDEX(Cad_Natureza!$B$3:$C$52,MATCH('2025'!F628,Cad_Natureza!$C$3:$C$52,0),MATCH('2025'!D$2,Cad_Natureza!$B$3:$C$3,0))</f>
        <v>OPF1</v>
      </c>
      <c r="E628" s="84" t="s">
        <v>664</v>
      </c>
      <c r="F628" s="85" t="s">
        <v>744</v>
      </c>
      <c r="G628" s="86" t="s">
        <v>25</v>
      </c>
      <c r="H628" s="87">
        <v>45866</v>
      </c>
      <c r="I628" s="87"/>
      <c r="J628" s="79" t="s">
        <v>182</v>
      </c>
      <c r="K628" s="62">
        <v>-23</v>
      </c>
      <c r="L628" s="68">
        <v>162.04999999999995</v>
      </c>
      <c r="M628" s="38"/>
      <c r="N628" s="44" t="str">
        <f t="shared" si="60"/>
        <v>MCSOPF1CPF - Desp. Alimentação / Refeição</v>
      </c>
      <c r="O628" s="44" t="str">
        <f t="shared" si="61"/>
        <v>OPF1CPF - Desp. Alimentação / Refeição</v>
      </c>
      <c r="P628" s="44" t="str">
        <f t="shared" si="62"/>
        <v>MCSOPF1CPF - Desp. Alimentação / Refeição</v>
      </c>
      <c r="Q628" s="44" t="str">
        <f t="shared" si="63"/>
        <v>MCSOPF1</v>
      </c>
      <c r="R628" s="44" t="str">
        <f t="shared" si="64"/>
        <v>MCSOPF1</v>
      </c>
      <c r="S628" s="38"/>
      <c r="T628" s="45">
        <f t="shared" si="65"/>
        <v>45839</v>
      </c>
      <c r="U628" s="24" t="str">
        <f t="shared" si="59"/>
        <v/>
      </c>
      <c r="V628" s="14" t="s">
        <v>761</v>
      </c>
    </row>
    <row r="629" spans="2:22" s="46" customFormat="1" x14ac:dyDescent="0.25">
      <c r="B629" s="37" t="s">
        <v>25</v>
      </c>
      <c r="C629" s="38"/>
      <c r="D629" s="86" t="str">
        <f>INDEX(Cad_Natureza!$B$3:$C$52,MATCH('2025'!F629,Cad_Natureza!$C$3:$C$52,0),MATCH('2025'!D$2,Cad_Natureza!$B$3:$C$3,0))</f>
        <v>OPF1</v>
      </c>
      <c r="E629" s="84" t="s">
        <v>663</v>
      </c>
      <c r="F629" s="85" t="s">
        <v>744</v>
      </c>
      <c r="G629" s="86" t="s">
        <v>25</v>
      </c>
      <c r="H629" s="87">
        <v>45866</v>
      </c>
      <c r="I629" s="87"/>
      <c r="J629" s="79" t="s">
        <v>459</v>
      </c>
      <c r="K629" s="62">
        <v>-2.5</v>
      </c>
      <c r="L629" s="68">
        <v>159.54999999999995</v>
      </c>
      <c r="M629" s="38"/>
      <c r="N629" s="44" t="str">
        <f t="shared" si="60"/>
        <v>MCSOPF1CPF - Desp. Alimentação / Refeição</v>
      </c>
      <c r="O629" s="44" t="str">
        <f t="shared" si="61"/>
        <v>OPF1CPF - Desp. Alimentação / Refeição</v>
      </c>
      <c r="P629" s="44" t="str">
        <f t="shared" si="62"/>
        <v>MCSOPF1CPF - Desp. Alimentação / Refeição</v>
      </c>
      <c r="Q629" s="44" t="str">
        <f t="shared" si="63"/>
        <v>MCSOPF1</v>
      </c>
      <c r="R629" s="44" t="str">
        <f t="shared" si="64"/>
        <v>MCSOPF1</v>
      </c>
      <c r="S629" s="38"/>
      <c r="T629" s="45">
        <f t="shared" si="65"/>
        <v>45839</v>
      </c>
      <c r="U629" s="24" t="str">
        <f t="shared" si="59"/>
        <v/>
      </c>
      <c r="V629" s="14" t="s">
        <v>761</v>
      </c>
    </row>
    <row r="630" spans="2:22" s="46" customFormat="1" x14ac:dyDescent="0.25">
      <c r="B630" s="37" t="s">
        <v>25</v>
      </c>
      <c r="C630" s="38"/>
      <c r="D630" s="63" t="str">
        <f>INDEX(Cad_Natureza!$B$3:$C$52,MATCH('2025'!F630,Cad_Natureza!$C$3:$C$52,0),MATCH('2025'!D$2,Cad_Natureza!$B$3:$C$3,0))</f>
        <v>REC5</v>
      </c>
      <c r="E630" s="64" t="s">
        <v>665</v>
      </c>
      <c r="F630" s="65" t="s">
        <v>740</v>
      </c>
      <c r="G630" s="63" t="s">
        <v>25</v>
      </c>
      <c r="H630" s="66">
        <v>45867</v>
      </c>
      <c r="I630" s="66"/>
      <c r="J630" s="67" t="s">
        <v>676</v>
      </c>
      <c r="K630" s="68">
        <v>8</v>
      </c>
      <c r="L630" s="68">
        <v>167.54999999999995</v>
      </c>
      <c r="M630" s="38"/>
      <c r="N630" s="44" t="str">
        <f t="shared" si="60"/>
        <v>MCSREC5CPF - Outras receitas</v>
      </c>
      <c r="O630" s="44" t="str">
        <f t="shared" si="61"/>
        <v>REC5CPF - Outras receitas</v>
      </c>
      <c r="P630" s="44" t="str">
        <f t="shared" si="62"/>
        <v>MCSREC5CPF - Outras receitas</v>
      </c>
      <c r="Q630" s="44" t="str">
        <f t="shared" si="63"/>
        <v>MCSREC5</v>
      </c>
      <c r="R630" s="44" t="str">
        <f t="shared" si="64"/>
        <v>MCSREC5</v>
      </c>
      <c r="S630" s="38"/>
      <c r="T630" s="45">
        <f t="shared" si="65"/>
        <v>45839</v>
      </c>
      <c r="U630" s="24" t="str">
        <f t="shared" si="59"/>
        <v/>
      </c>
      <c r="V630" s="14" t="s">
        <v>761</v>
      </c>
    </row>
    <row r="631" spans="2:22" s="46" customFormat="1" x14ac:dyDescent="0.25">
      <c r="B631" s="37" t="s">
        <v>25</v>
      </c>
      <c r="C631" s="38"/>
      <c r="D631" s="86" t="str">
        <f>INDEX(Cad_Natureza!$B$3:$C$52,MATCH('2025'!F631,Cad_Natureza!$C$3:$C$52,0),MATCH('2025'!D$2,Cad_Natureza!$B$3:$C$3,0))</f>
        <v>OPF1</v>
      </c>
      <c r="E631" s="84" t="s">
        <v>666</v>
      </c>
      <c r="F631" s="85" t="s">
        <v>744</v>
      </c>
      <c r="G631" s="86" t="s">
        <v>25</v>
      </c>
      <c r="H631" s="87">
        <v>45867</v>
      </c>
      <c r="I631" s="87"/>
      <c r="J631" s="79" t="s">
        <v>459</v>
      </c>
      <c r="K631" s="62">
        <v>-2.5</v>
      </c>
      <c r="L631" s="68">
        <v>165.04999999999995</v>
      </c>
      <c r="M631" s="38"/>
      <c r="N631" s="44" t="str">
        <f t="shared" si="60"/>
        <v>MCSOPF1CPF - Desp. Alimentação / Refeição</v>
      </c>
      <c r="O631" s="44" t="str">
        <f t="shared" si="61"/>
        <v>OPF1CPF - Desp. Alimentação / Refeição</v>
      </c>
      <c r="P631" s="44" t="str">
        <f t="shared" si="62"/>
        <v>MCSOPF1CPF - Desp. Alimentação / Refeição</v>
      </c>
      <c r="Q631" s="44" t="str">
        <f t="shared" si="63"/>
        <v>MCSOPF1</v>
      </c>
      <c r="R631" s="44" t="str">
        <f t="shared" si="64"/>
        <v>MCSOPF1</v>
      </c>
      <c r="S631" s="38"/>
      <c r="T631" s="45">
        <f t="shared" si="65"/>
        <v>45839</v>
      </c>
      <c r="U631" s="24" t="str">
        <f t="shared" si="59"/>
        <v/>
      </c>
      <c r="V631" s="14" t="s">
        <v>761</v>
      </c>
    </row>
    <row r="632" spans="2:22" s="46" customFormat="1" x14ac:dyDescent="0.25">
      <c r="B632" s="37" t="s">
        <v>25</v>
      </c>
      <c r="C632" s="38"/>
      <c r="D632" s="86" t="str">
        <f>INDEX(Cad_Natureza!$B$3:$C$52,MATCH('2025'!F632,Cad_Natureza!$C$3:$C$52,0),MATCH('2025'!D$2,Cad_Natureza!$B$3:$C$3,0))</f>
        <v>OUG1</v>
      </c>
      <c r="E632" s="84" t="s">
        <v>667</v>
      </c>
      <c r="F632" s="85" t="s">
        <v>748</v>
      </c>
      <c r="G632" s="86" t="s">
        <v>25</v>
      </c>
      <c r="H632" s="87">
        <v>45867</v>
      </c>
      <c r="I632" s="87"/>
      <c r="J632" s="79" t="s">
        <v>677</v>
      </c>
      <c r="K632" s="62">
        <v>-8</v>
      </c>
      <c r="L632" s="68">
        <v>157.04999999999995</v>
      </c>
      <c r="M632" s="38"/>
      <c r="N632" s="44" t="str">
        <f t="shared" si="60"/>
        <v>MCSOUG1CPF - Outros gastos</v>
      </c>
      <c r="O632" s="44" t="str">
        <f t="shared" si="61"/>
        <v>OUG1CPF - Outros gastos</v>
      </c>
      <c r="P632" s="44" t="str">
        <f t="shared" si="62"/>
        <v>MCSOUG1CPF - Outros gastos</v>
      </c>
      <c r="Q632" s="44" t="str">
        <f t="shared" si="63"/>
        <v>MCSOUG1</v>
      </c>
      <c r="R632" s="44" t="str">
        <f t="shared" si="64"/>
        <v>MCSOUG1</v>
      </c>
      <c r="S632" s="38"/>
      <c r="T632" s="45">
        <f t="shared" si="65"/>
        <v>45839</v>
      </c>
      <c r="U632" s="24" t="str">
        <f t="shared" si="59"/>
        <v/>
      </c>
      <c r="V632" s="14" t="s">
        <v>761</v>
      </c>
    </row>
    <row r="633" spans="2:22" s="46" customFormat="1" x14ac:dyDescent="0.25">
      <c r="B633" s="37" t="s">
        <v>25</v>
      </c>
      <c r="C633" s="38"/>
      <c r="D633" s="86" t="str">
        <f>INDEX(Cad_Natureza!$B$3:$C$52,MATCH('2025'!F633,Cad_Natureza!$C$3:$C$52,0),MATCH('2025'!D$2,Cad_Natureza!$B$3:$C$3,0))</f>
        <v>OPF1</v>
      </c>
      <c r="E633" s="84" t="s">
        <v>668</v>
      </c>
      <c r="F633" s="85" t="s">
        <v>744</v>
      </c>
      <c r="G633" s="86" t="s">
        <v>25</v>
      </c>
      <c r="H633" s="87">
        <v>45867</v>
      </c>
      <c r="I633" s="87"/>
      <c r="J633" s="79" t="s">
        <v>182</v>
      </c>
      <c r="K633" s="62">
        <v>-23</v>
      </c>
      <c r="L633" s="68">
        <v>134.04999999999995</v>
      </c>
      <c r="M633" s="38"/>
      <c r="N633" s="44" t="str">
        <f t="shared" si="60"/>
        <v>MCSOPF1CPF - Desp. Alimentação / Refeição</v>
      </c>
      <c r="O633" s="44" t="str">
        <f t="shared" si="61"/>
        <v>OPF1CPF - Desp. Alimentação / Refeição</v>
      </c>
      <c r="P633" s="44" t="str">
        <f t="shared" si="62"/>
        <v>MCSOPF1CPF - Desp. Alimentação / Refeição</v>
      </c>
      <c r="Q633" s="44" t="str">
        <f t="shared" si="63"/>
        <v>MCSOPF1</v>
      </c>
      <c r="R633" s="44" t="str">
        <f t="shared" si="64"/>
        <v>MCSOPF1</v>
      </c>
      <c r="S633" s="38"/>
      <c r="T633" s="45">
        <f t="shared" si="65"/>
        <v>45839</v>
      </c>
      <c r="U633" s="24" t="str">
        <f t="shared" si="59"/>
        <v/>
      </c>
      <c r="V633" s="14" t="s">
        <v>761</v>
      </c>
    </row>
    <row r="634" spans="2:22" s="46" customFormat="1" x14ac:dyDescent="0.25">
      <c r="B634" s="37" t="s">
        <v>25</v>
      </c>
      <c r="C634" s="38"/>
      <c r="D634" s="63" t="str">
        <f>INDEX(Cad_Natureza!$B$3:$C$52,MATCH('2025'!F634,Cad_Natureza!$C$3:$C$52,0),MATCH('2025'!D$2,Cad_Natureza!$B$3:$C$3,0))</f>
        <v>REC6</v>
      </c>
      <c r="E634" s="64" t="s">
        <v>669</v>
      </c>
      <c r="F634" s="65" t="s">
        <v>755</v>
      </c>
      <c r="G634" s="63" t="s">
        <v>25</v>
      </c>
      <c r="H634" s="66">
        <v>45867</v>
      </c>
      <c r="I634" s="66"/>
      <c r="J634" s="81" t="s">
        <v>758</v>
      </c>
      <c r="K634" s="68">
        <v>200</v>
      </c>
      <c r="L634" s="68">
        <v>334.04999999999995</v>
      </c>
      <c r="M634" s="38"/>
      <c r="N634" s="44" t="str">
        <f t="shared" si="60"/>
        <v>MCSREC6CPF - Pensão - Outras receitas</v>
      </c>
      <c r="O634" s="44" t="str">
        <f t="shared" si="61"/>
        <v>REC6CPF - Pensão - Outras receitas</v>
      </c>
      <c r="P634" s="44" t="str">
        <f t="shared" si="62"/>
        <v>MCSREC6CPF - Pensão - Outras receitas</v>
      </c>
      <c r="Q634" s="44" t="str">
        <f t="shared" si="63"/>
        <v>MCSREC6</v>
      </c>
      <c r="R634" s="44" t="str">
        <f t="shared" si="64"/>
        <v>MCSREC6</v>
      </c>
      <c r="S634" s="38"/>
      <c r="T634" s="45">
        <f t="shared" si="65"/>
        <v>45839</v>
      </c>
      <c r="U634" s="24" t="str">
        <f t="shared" si="59"/>
        <v/>
      </c>
      <c r="V634" s="14" t="s">
        <v>731</v>
      </c>
    </row>
    <row r="635" spans="2:22" s="46" customFormat="1" x14ac:dyDescent="0.25">
      <c r="B635" s="37" t="s">
        <v>25</v>
      </c>
      <c r="C635" s="38"/>
      <c r="D635" s="86" t="str">
        <f>INDEX(Cad_Natureza!$B$3:$C$52,MATCH('2025'!F635,Cad_Natureza!$C$3:$C$52,0),MATCH('2025'!D$2,Cad_Natureza!$B$3:$C$3,0))</f>
        <v>PENS5</v>
      </c>
      <c r="E635" s="84" t="s">
        <v>670</v>
      </c>
      <c r="F635" s="85" t="s">
        <v>716</v>
      </c>
      <c r="G635" s="86" t="s">
        <v>25</v>
      </c>
      <c r="H635" s="87">
        <v>45867</v>
      </c>
      <c r="I635" s="87"/>
      <c r="J635" s="78" t="s">
        <v>678</v>
      </c>
      <c r="K635" s="62">
        <v>-176.59</v>
      </c>
      <c r="L635" s="68">
        <v>157.45999999999995</v>
      </c>
      <c r="M635" s="38"/>
      <c r="N635" s="44" t="str">
        <f t="shared" si="60"/>
        <v>MCSPENS5CPF - Pensão - Água</v>
      </c>
      <c r="O635" s="44" t="str">
        <f t="shared" si="61"/>
        <v>PENS5CPF - Pensão - Água</v>
      </c>
      <c r="P635" s="44" t="str">
        <f t="shared" si="62"/>
        <v>MCSPENS5CPF - Pensão - Água</v>
      </c>
      <c r="Q635" s="44" t="str">
        <f t="shared" si="63"/>
        <v>MCSPENS5</v>
      </c>
      <c r="R635" s="44" t="str">
        <f t="shared" si="64"/>
        <v>MCSPENS5</v>
      </c>
      <c r="S635" s="38"/>
      <c r="T635" s="45">
        <f t="shared" si="65"/>
        <v>45839</v>
      </c>
      <c r="U635" s="24" t="str">
        <f t="shared" si="59"/>
        <v/>
      </c>
      <c r="V635" s="14" t="s">
        <v>731</v>
      </c>
    </row>
    <row r="636" spans="2:22" s="46" customFormat="1" x14ac:dyDescent="0.25">
      <c r="B636" s="37" t="s">
        <v>25</v>
      </c>
      <c r="C636" s="38"/>
      <c r="D636" s="86" t="str">
        <f>INDEX(Cad_Natureza!$B$3:$C$52,MATCH('2025'!F636,Cad_Natureza!$C$3:$C$52,0),MATCH('2025'!D$2,Cad_Natureza!$B$3:$C$3,0))</f>
        <v>PENS9</v>
      </c>
      <c r="E636" s="84" t="s">
        <v>671</v>
      </c>
      <c r="F636" s="85" t="s">
        <v>735</v>
      </c>
      <c r="G636" s="86" t="s">
        <v>25</v>
      </c>
      <c r="H636" s="87">
        <v>45867</v>
      </c>
      <c r="I636" s="87"/>
      <c r="J636" s="78" t="s">
        <v>757</v>
      </c>
      <c r="K636" s="62">
        <v>-23.41</v>
      </c>
      <c r="L636" s="68">
        <v>134.04999999999995</v>
      </c>
      <c r="M636" s="38"/>
      <c r="N636" s="44" t="str">
        <f t="shared" si="60"/>
        <v>MCSPENS9CPF - Pensão - Outros Gastos</v>
      </c>
      <c r="O636" s="44" t="str">
        <f t="shared" si="61"/>
        <v>PENS9CPF - Pensão - Outros Gastos</v>
      </c>
      <c r="P636" s="44" t="str">
        <f t="shared" si="62"/>
        <v>MCSPENS9CPF - Pensão - Outros Gastos</v>
      </c>
      <c r="Q636" s="44" t="str">
        <f t="shared" si="63"/>
        <v>MCSPENS9</v>
      </c>
      <c r="R636" s="44" t="str">
        <f t="shared" si="64"/>
        <v>MCSPENS9</v>
      </c>
      <c r="S636" s="38"/>
      <c r="T636" s="45">
        <f t="shared" si="65"/>
        <v>45839</v>
      </c>
      <c r="U636" s="24" t="str">
        <f t="shared" si="59"/>
        <v/>
      </c>
      <c r="V636" s="14" t="s">
        <v>731</v>
      </c>
    </row>
    <row r="637" spans="2:22" s="46" customFormat="1" x14ac:dyDescent="0.25">
      <c r="B637" s="37" t="s">
        <v>25</v>
      </c>
      <c r="C637" s="38"/>
      <c r="D637" s="86" t="str">
        <f>INDEX(Cad_Natureza!$B$3:$C$52,MATCH('2025'!F637,Cad_Natureza!$C$3:$C$52,0),MATCH('2025'!D$2,Cad_Natureza!$B$3:$C$3,0))</f>
        <v>PENS5</v>
      </c>
      <c r="E637" s="84" t="s">
        <v>670</v>
      </c>
      <c r="F637" s="85" t="s">
        <v>716</v>
      </c>
      <c r="G637" s="86" t="s">
        <v>25</v>
      </c>
      <c r="H637" s="87">
        <v>45867</v>
      </c>
      <c r="I637" s="87"/>
      <c r="J637" s="78" t="s">
        <v>679</v>
      </c>
      <c r="K637" s="62">
        <v>-104.65</v>
      </c>
      <c r="L637" s="68">
        <v>29.399999999999949</v>
      </c>
      <c r="M637" s="38"/>
      <c r="N637" s="44" t="str">
        <f t="shared" si="60"/>
        <v>MCSPENS5CPF - Pensão - Água</v>
      </c>
      <c r="O637" s="44" t="str">
        <f t="shared" si="61"/>
        <v>PENS5CPF - Pensão - Água</v>
      </c>
      <c r="P637" s="44" t="str">
        <f t="shared" si="62"/>
        <v>MCSPENS5CPF - Pensão - Água</v>
      </c>
      <c r="Q637" s="44" t="str">
        <f t="shared" si="63"/>
        <v>MCSPENS5</v>
      </c>
      <c r="R637" s="44" t="str">
        <f t="shared" si="64"/>
        <v>MCSPENS5</v>
      </c>
      <c r="S637" s="38"/>
      <c r="T637" s="45">
        <f t="shared" si="65"/>
        <v>45839</v>
      </c>
      <c r="U637" s="24" t="str">
        <f t="shared" si="59"/>
        <v/>
      </c>
      <c r="V637" s="14" t="s">
        <v>731</v>
      </c>
    </row>
    <row r="638" spans="2:22" s="46" customFormat="1" x14ac:dyDescent="0.25">
      <c r="B638" s="37" t="s">
        <v>25</v>
      </c>
      <c r="C638" s="38"/>
      <c r="D638" s="63" t="str">
        <f>INDEX(Cad_Natureza!$B$3:$C$52,MATCH('2025'!F638,Cad_Natureza!$C$3:$C$52,0),MATCH('2025'!D$2,Cad_Natureza!$B$3:$C$3,0))</f>
        <v>REC7</v>
      </c>
      <c r="E638" s="64" t="s">
        <v>795</v>
      </c>
      <c r="F638" s="65" t="s">
        <v>774</v>
      </c>
      <c r="G638" s="63" t="s">
        <v>25</v>
      </c>
      <c r="H638" s="66">
        <v>45868</v>
      </c>
      <c r="I638" s="66"/>
      <c r="J638" s="81" t="s">
        <v>825</v>
      </c>
      <c r="K638" s="82">
        <v>1000</v>
      </c>
      <c r="L638" s="68">
        <v>1029.3999999999999</v>
      </c>
      <c r="M638" s="38"/>
      <c r="N638" s="44" t="str">
        <f t="shared" si="60"/>
        <v>MCSREC7CPF - Rec. Financeiras - Empréstimos</v>
      </c>
      <c r="O638" s="44" t="str">
        <f t="shared" si="61"/>
        <v>REC7CPF - Rec. Financeiras - Empréstimos</v>
      </c>
      <c r="P638" s="44" t="str">
        <f t="shared" si="62"/>
        <v>MCSREC7CPF - Rec. Financeiras - Empréstimos</v>
      </c>
      <c r="Q638" s="44" t="str">
        <f t="shared" si="63"/>
        <v>MCSREC7</v>
      </c>
      <c r="R638" s="44" t="str">
        <f t="shared" si="64"/>
        <v>MCSREC7</v>
      </c>
      <c r="S638" s="38"/>
      <c r="T638" s="45">
        <f t="shared" si="65"/>
        <v>45839</v>
      </c>
      <c r="U638" s="24" t="str">
        <f t="shared" si="59"/>
        <v/>
      </c>
      <c r="V638" s="14"/>
    </row>
    <row r="639" spans="2:22" s="46" customFormat="1" x14ac:dyDescent="0.25">
      <c r="B639" s="37" t="s">
        <v>25</v>
      </c>
      <c r="C639" s="38"/>
      <c r="D639" s="86" t="str">
        <f>INDEX(Cad_Natureza!$B$3:$C$52,MATCH('2025'!F639,Cad_Natureza!$C$3:$C$52,0),MATCH('2025'!D$2,Cad_Natureza!$B$3:$C$3,0))</f>
        <v>PENS2</v>
      </c>
      <c r="E639" s="84" t="s">
        <v>796</v>
      </c>
      <c r="F639" s="85" t="s">
        <v>715</v>
      </c>
      <c r="G639" s="86" t="s">
        <v>25</v>
      </c>
      <c r="H639" s="87">
        <v>45868</v>
      </c>
      <c r="I639" s="87"/>
      <c r="J639" s="78" t="s">
        <v>770</v>
      </c>
      <c r="K639" s="62">
        <v>-678.47</v>
      </c>
      <c r="L639" s="68">
        <v>350.92999999999984</v>
      </c>
      <c r="M639" s="38"/>
      <c r="N639" s="44" t="str">
        <f t="shared" si="60"/>
        <v>MCSPENS2CPF - Pensão - Energia</v>
      </c>
      <c r="O639" s="44" t="str">
        <f t="shared" si="61"/>
        <v>PENS2CPF - Pensão - Energia</v>
      </c>
      <c r="P639" s="44" t="str">
        <f t="shared" si="62"/>
        <v>MCSPENS2CPF - Pensão - Energia</v>
      </c>
      <c r="Q639" s="44" t="str">
        <f t="shared" si="63"/>
        <v>MCSPENS2</v>
      </c>
      <c r="R639" s="44" t="str">
        <f t="shared" si="64"/>
        <v>MCSPENS2</v>
      </c>
      <c r="S639" s="38"/>
      <c r="T639" s="45">
        <f t="shared" si="65"/>
        <v>45839</v>
      </c>
      <c r="U639" s="24" t="str">
        <f t="shared" si="59"/>
        <v/>
      </c>
      <c r="V639" s="14" t="s">
        <v>731</v>
      </c>
    </row>
    <row r="640" spans="2:22" s="46" customFormat="1" x14ac:dyDescent="0.25">
      <c r="B640" s="37" t="s">
        <v>25</v>
      </c>
      <c r="C640" s="38"/>
      <c r="D640" s="86" t="str">
        <f>INDEX(Cad_Natureza!$B$3:$C$52,MATCH('2025'!F640,Cad_Natureza!$C$3:$C$52,0),MATCH('2025'!D$2,Cad_Natureza!$B$3:$C$3,0))</f>
        <v>PENS5</v>
      </c>
      <c r="E640" s="84" t="s">
        <v>797</v>
      </c>
      <c r="F640" s="85" t="s">
        <v>716</v>
      </c>
      <c r="G640" s="86" t="s">
        <v>25</v>
      </c>
      <c r="H640" s="87">
        <v>45868</v>
      </c>
      <c r="I640" s="87"/>
      <c r="J640" s="78" t="s">
        <v>793</v>
      </c>
      <c r="K640" s="62">
        <v>-115.65</v>
      </c>
      <c r="L640" s="68">
        <v>235.27999999999983</v>
      </c>
      <c r="M640" s="38"/>
      <c r="N640" s="44" t="str">
        <f t="shared" si="60"/>
        <v>MCSPENS5CPF - Pensão - Água</v>
      </c>
      <c r="O640" s="44" t="str">
        <f t="shared" si="61"/>
        <v>PENS5CPF - Pensão - Água</v>
      </c>
      <c r="P640" s="44" t="str">
        <f t="shared" si="62"/>
        <v>MCSPENS5CPF - Pensão - Água</v>
      </c>
      <c r="Q640" s="44" t="str">
        <f t="shared" si="63"/>
        <v>MCSPENS5</v>
      </c>
      <c r="R640" s="44" t="str">
        <f t="shared" si="64"/>
        <v>MCSPENS5</v>
      </c>
      <c r="S640" s="38"/>
      <c r="T640" s="45">
        <f t="shared" si="65"/>
        <v>45839</v>
      </c>
      <c r="U640" s="24" t="str">
        <f t="shared" si="59"/>
        <v/>
      </c>
      <c r="V640" s="14" t="s">
        <v>731</v>
      </c>
    </row>
    <row r="641" spans="2:22" s="46" customFormat="1" x14ac:dyDescent="0.25">
      <c r="B641" s="37" t="s">
        <v>25</v>
      </c>
      <c r="C641" s="38"/>
      <c r="D641" s="63" t="str">
        <f>INDEX(Cad_Natureza!$B$3:$C$52,MATCH('2025'!F641,Cad_Natureza!$C$3:$C$52,0),MATCH('2025'!D$2,Cad_Natureza!$B$3:$C$3,0))</f>
        <v>REC7</v>
      </c>
      <c r="E641" s="64" t="s">
        <v>804</v>
      </c>
      <c r="F641" s="65" t="s">
        <v>774</v>
      </c>
      <c r="G641" s="63" t="s">
        <v>25</v>
      </c>
      <c r="H641" s="66">
        <v>45869</v>
      </c>
      <c r="I641" s="66"/>
      <c r="J641" s="81" t="s">
        <v>819</v>
      </c>
      <c r="K641" s="82">
        <v>105</v>
      </c>
      <c r="L641" s="68">
        <f>L640+K641</f>
        <v>340.27999999999986</v>
      </c>
      <c r="M641" s="38"/>
      <c r="N641" s="44" t="str">
        <f t="shared" si="60"/>
        <v>MCSREC7CPF - Rec. Financeiras - Empréstimos</v>
      </c>
      <c r="O641" s="44" t="str">
        <f t="shared" si="61"/>
        <v>REC7CPF - Rec. Financeiras - Empréstimos</v>
      </c>
      <c r="P641" s="44" t="str">
        <f t="shared" si="62"/>
        <v>MCSREC7CPF - Rec. Financeiras - Empréstimos</v>
      </c>
      <c r="Q641" s="44" t="str">
        <f t="shared" si="63"/>
        <v>MCSREC7</v>
      </c>
      <c r="R641" s="44" t="str">
        <f t="shared" si="64"/>
        <v>MCSREC7</v>
      </c>
      <c r="S641" s="38"/>
      <c r="T641" s="45">
        <f t="shared" si="65"/>
        <v>45839</v>
      </c>
      <c r="U641" s="24" t="str">
        <f t="shared" si="59"/>
        <v/>
      </c>
      <c r="V641" s="14"/>
    </row>
    <row r="642" spans="2:22" s="46" customFormat="1" x14ac:dyDescent="0.25">
      <c r="B642" s="37" t="s">
        <v>25</v>
      </c>
      <c r="C642" s="38"/>
      <c r="D642" s="86" t="str">
        <f>INDEX(Cad_Natureza!$B$3:$C$52,MATCH('2025'!F642,Cad_Natureza!$C$3:$C$52,0),MATCH('2025'!D$2,Cad_Natureza!$B$3:$C$3,0))</f>
        <v>OPF2</v>
      </c>
      <c r="E642" s="84" t="s">
        <v>805</v>
      </c>
      <c r="F642" s="85" t="s">
        <v>741</v>
      </c>
      <c r="G642" s="86" t="s">
        <v>25</v>
      </c>
      <c r="H642" s="87">
        <v>45869</v>
      </c>
      <c r="I642" s="87"/>
      <c r="J642" s="79" t="s">
        <v>674</v>
      </c>
      <c r="K642" s="62">
        <v>-50</v>
      </c>
      <c r="L642" s="68">
        <f t="shared" ref="L642:L707" si="66">L641+K642</f>
        <v>290.27999999999986</v>
      </c>
      <c r="M642" s="38"/>
      <c r="N642" s="44" t="str">
        <f t="shared" si="60"/>
        <v>MCSOPF2CPF - Desp. Transporte / Combustível</v>
      </c>
      <c r="O642" s="44" t="str">
        <f t="shared" si="61"/>
        <v>OPF2CPF - Desp. Transporte / Combustível</v>
      </c>
      <c r="P642" s="44" t="str">
        <f t="shared" si="62"/>
        <v>MCSOPF2CPF - Desp. Transporte / Combustível</v>
      </c>
      <c r="Q642" s="44" t="str">
        <f t="shared" si="63"/>
        <v>MCSOPF2</v>
      </c>
      <c r="R642" s="44" t="str">
        <f t="shared" si="64"/>
        <v>MCSOPF2</v>
      </c>
      <c r="S642" s="38"/>
      <c r="T642" s="45">
        <f t="shared" si="65"/>
        <v>45839</v>
      </c>
      <c r="U642" s="24" t="str">
        <f t="shared" si="59"/>
        <v/>
      </c>
    </row>
    <row r="643" spans="2:22" s="46" customFormat="1" x14ac:dyDescent="0.25">
      <c r="B643" s="37" t="s">
        <v>25</v>
      </c>
      <c r="C643" s="38"/>
      <c r="D643" s="86" t="str">
        <f>INDEX(Cad_Natureza!$B$3:$C$52,MATCH('2025'!F643,Cad_Natureza!$C$3:$C$52,0),MATCH('2025'!D$2,Cad_Natureza!$B$3:$C$3,0))</f>
        <v>GAST2</v>
      </c>
      <c r="E643" s="84" t="s">
        <v>806</v>
      </c>
      <c r="F643" s="85" t="s">
        <v>743</v>
      </c>
      <c r="G643" s="86" t="s">
        <v>25</v>
      </c>
      <c r="H643" s="87">
        <v>45870</v>
      </c>
      <c r="I643" s="87"/>
      <c r="J643" s="79" t="s">
        <v>180</v>
      </c>
      <c r="K643" s="62">
        <v>-35</v>
      </c>
      <c r="L643" s="68">
        <f t="shared" si="66"/>
        <v>255.27999999999986</v>
      </c>
      <c r="M643" s="38"/>
      <c r="N643" s="44" t="str">
        <f t="shared" si="60"/>
        <v>MCSGAST2CPF - Desp. Lazer e Entretenimento - Cigarro</v>
      </c>
      <c r="O643" s="44" t="str">
        <f t="shared" si="61"/>
        <v>GAST2CPF - Desp. Lazer e Entretenimento - Cigarro</v>
      </c>
      <c r="P643" s="44" t="str">
        <f t="shared" si="62"/>
        <v>MCSGAST2CPF - Desp. Lazer e Entretenimento - Cigarro</v>
      </c>
      <c r="Q643" s="44" t="str">
        <f t="shared" si="63"/>
        <v>MCSGAST2</v>
      </c>
      <c r="R643" s="44" t="str">
        <f t="shared" si="64"/>
        <v>MCSGAST2</v>
      </c>
      <c r="S643" s="38"/>
      <c r="T643" s="45">
        <f t="shared" si="65"/>
        <v>45870</v>
      </c>
      <c r="U643" s="24" t="str">
        <f t="shared" ref="U643:U900" si="67">IF(I643="","",(1&amp;"/"&amp;MONTH(I643)&amp;"/"&amp;YEAR(I643))*1)</f>
        <v/>
      </c>
    </row>
    <row r="644" spans="2:22" s="46" customFormat="1" x14ac:dyDescent="0.25">
      <c r="B644" s="37" t="s">
        <v>25</v>
      </c>
      <c r="C644" s="38"/>
      <c r="D644" s="86" t="str">
        <f>INDEX(Cad_Natureza!$B$3:$C$52,MATCH('2025'!F644,Cad_Natureza!$C$3:$C$52,0),MATCH('2025'!D$2,Cad_Natureza!$B$3:$C$3,0))</f>
        <v>OUG1</v>
      </c>
      <c r="E644" s="84" t="s">
        <v>807</v>
      </c>
      <c r="F644" s="85" t="s">
        <v>748</v>
      </c>
      <c r="G644" s="86" t="s">
        <v>25</v>
      </c>
      <c r="H644" s="87">
        <v>45870</v>
      </c>
      <c r="I644" s="87"/>
      <c r="J644" s="79" t="s">
        <v>820</v>
      </c>
      <c r="K644" s="62">
        <v>-14.9</v>
      </c>
      <c r="L644" s="68">
        <f t="shared" si="66"/>
        <v>240.37999999999985</v>
      </c>
      <c r="M644" s="38"/>
      <c r="N644" s="44" t="str">
        <f t="shared" si="60"/>
        <v>MCSOUG1CPF - Outros gastos</v>
      </c>
      <c r="O644" s="44" t="str">
        <f t="shared" si="61"/>
        <v>OUG1CPF - Outros gastos</v>
      </c>
      <c r="P644" s="44" t="str">
        <f t="shared" si="62"/>
        <v>MCSOUG1CPF - Outros gastos</v>
      </c>
      <c r="Q644" s="44" t="str">
        <f t="shared" si="63"/>
        <v>MCSOUG1</v>
      </c>
      <c r="R644" s="44" t="str">
        <f t="shared" si="64"/>
        <v>MCSOUG1</v>
      </c>
      <c r="S644" s="38"/>
      <c r="T644" s="45">
        <f t="shared" si="65"/>
        <v>45870</v>
      </c>
      <c r="U644" s="24" t="str">
        <f t="shared" si="67"/>
        <v/>
      </c>
    </row>
    <row r="645" spans="2:22" s="46" customFormat="1" x14ac:dyDescent="0.25">
      <c r="B645" s="37" t="s">
        <v>25</v>
      </c>
      <c r="C645" s="38"/>
      <c r="D645" s="86" t="str">
        <f>INDEX(Cad_Natureza!$B$3:$C$52,MATCH('2025'!F645,Cad_Natureza!$C$3:$C$52,0),MATCH('2025'!D$2,Cad_Natureza!$B$3:$C$3,0))</f>
        <v>GAST1</v>
      </c>
      <c r="E645" s="84" t="s">
        <v>808</v>
      </c>
      <c r="F645" s="85" t="s">
        <v>742</v>
      </c>
      <c r="G645" s="86" t="s">
        <v>25</v>
      </c>
      <c r="H645" s="87">
        <v>45873</v>
      </c>
      <c r="I645" s="87"/>
      <c r="J645" s="79"/>
      <c r="K645" s="62">
        <v>-25</v>
      </c>
      <c r="L645" s="68">
        <f t="shared" si="66"/>
        <v>215.37999999999985</v>
      </c>
      <c r="M645" s="38"/>
      <c r="N645" s="44" t="str">
        <f t="shared" si="60"/>
        <v>MCSGAST1CPF - Desp. Lazer e Entretenimento - Bares</v>
      </c>
      <c r="O645" s="44" t="str">
        <f t="shared" si="61"/>
        <v>GAST1CPF - Desp. Lazer e Entretenimento - Bares</v>
      </c>
      <c r="P645" s="44" t="str">
        <f t="shared" si="62"/>
        <v>MCSGAST1CPF - Desp. Lazer e Entretenimento - Bares</v>
      </c>
      <c r="Q645" s="44" t="str">
        <f t="shared" si="63"/>
        <v>MCSGAST1</v>
      </c>
      <c r="R645" s="44" t="str">
        <f t="shared" si="64"/>
        <v>MCSGAST1</v>
      </c>
      <c r="S645" s="38"/>
      <c r="T645" s="45">
        <f t="shared" si="65"/>
        <v>45870</v>
      </c>
      <c r="U645" s="24" t="str">
        <f t="shared" si="67"/>
        <v/>
      </c>
    </row>
    <row r="646" spans="2:22" s="46" customFormat="1" x14ac:dyDescent="0.25">
      <c r="B646" s="37" t="s">
        <v>25</v>
      </c>
      <c r="C646" s="38"/>
      <c r="D646" s="86" t="str">
        <f>INDEX(Cad_Natureza!$B$3:$C$52,MATCH('2025'!F646,Cad_Natureza!$C$3:$C$52,0),MATCH('2025'!D$2,Cad_Natureza!$B$3:$C$3,0))</f>
        <v>GAST1</v>
      </c>
      <c r="E646" s="84" t="s">
        <v>809</v>
      </c>
      <c r="F646" s="85" t="s">
        <v>742</v>
      </c>
      <c r="G646" s="86" t="s">
        <v>25</v>
      </c>
      <c r="H646" s="87">
        <v>45873</v>
      </c>
      <c r="I646" s="87"/>
      <c r="J646" s="79" t="s">
        <v>185</v>
      </c>
      <c r="K646" s="62">
        <v>-10</v>
      </c>
      <c r="L646" s="68">
        <f t="shared" si="66"/>
        <v>205.37999999999985</v>
      </c>
      <c r="M646" s="38"/>
      <c r="N646" s="44" t="str">
        <f t="shared" si="60"/>
        <v>MCSGAST1CPF - Desp. Lazer e Entretenimento - Bares</v>
      </c>
      <c r="O646" s="44" t="str">
        <f t="shared" si="61"/>
        <v>GAST1CPF - Desp. Lazer e Entretenimento - Bares</v>
      </c>
      <c r="P646" s="44" t="str">
        <f t="shared" si="62"/>
        <v>MCSGAST1CPF - Desp. Lazer e Entretenimento - Bares</v>
      </c>
      <c r="Q646" s="44" t="str">
        <f t="shared" si="63"/>
        <v>MCSGAST1</v>
      </c>
      <c r="R646" s="44" t="str">
        <f t="shared" si="64"/>
        <v>MCSGAST1</v>
      </c>
      <c r="S646" s="38"/>
      <c r="T646" s="45">
        <f t="shared" si="65"/>
        <v>45870</v>
      </c>
      <c r="U646" s="24" t="str">
        <f t="shared" si="67"/>
        <v/>
      </c>
    </row>
    <row r="647" spans="2:22" s="46" customFormat="1" x14ac:dyDescent="0.25">
      <c r="B647" s="37" t="s">
        <v>25</v>
      </c>
      <c r="C647" s="38"/>
      <c r="D647" s="86" t="str">
        <f>INDEX(Cad_Natureza!$B$3:$C$52,MATCH('2025'!F647,Cad_Natureza!$C$3:$C$52,0),MATCH('2025'!D$2,Cad_Natureza!$B$3:$C$3,0))</f>
        <v>OPF1</v>
      </c>
      <c r="E647" s="84" t="s">
        <v>810</v>
      </c>
      <c r="F647" s="85" t="s">
        <v>744</v>
      </c>
      <c r="G647" s="86" t="s">
        <v>25</v>
      </c>
      <c r="H647" s="87">
        <v>45873</v>
      </c>
      <c r="I647" s="87"/>
      <c r="J647" s="79" t="s">
        <v>182</v>
      </c>
      <c r="K647" s="62">
        <v>-3.75</v>
      </c>
      <c r="L647" s="68">
        <f t="shared" si="66"/>
        <v>201.62999999999985</v>
      </c>
      <c r="M647" s="38"/>
      <c r="N647" s="44" t="str">
        <f t="shared" si="60"/>
        <v>MCSOPF1CPF - Desp. Alimentação / Refeição</v>
      </c>
      <c r="O647" s="44" t="str">
        <f t="shared" si="61"/>
        <v>OPF1CPF - Desp. Alimentação / Refeição</v>
      </c>
      <c r="P647" s="44" t="str">
        <f t="shared" si="62"/>
        <v>MCSOPF1CPF - Desp. Alimentação / Refeição</v>
      </c>
      <c r="Q647" s="44" t="str">
        <f t="shared" si="63"/>
        <v>MCSOPF1</v>
      </c>
      <c r="R647" s="44" t="str">
        <f t="shared" si="64"/>
        <v>MCSOPF1</v>
      </c>
      <c r="S647" s="38"/>
      <c r="T647" s="45">
        <f t="shared" si="65"/>
        <v>45870</v>
      </c>
      <c r="U647" s="24" t="str">
        <f t="shared" si="67"/>
        <v/>
      </c>
    </row>
    <row r="648" spans="2:22" s="46" customFormat="1" x14ac:dyDescent="0.25">
      <c r="B648" s="37" t="s">
        <v>25</v>
      </c>
      <c r="C648" s="38"/>
      <c r="D648" s="86" t="str">
        <f>INDEX(Cad_Natureza!$B$3:$C$52,MATCH('2025'!F648,Cad_Natureza!$C$3:$C$52,0),MATCH('2025'!D$2,Cad_Natureza!$B$3:$C$3,0))</f>
        <v>OPF2</v>
      </c>
      <c r="E648" s="84" t="s">
        <v>811</v>
      </c>
      <c r="F648" s="85" t="s">
        <v>741</v>
      </c>
      <c r="G648" s="86" t="s">
        <v>25</v>
      </c>
      <c r="H648" s="87">
        <v>45873</v>
      </c>
      <c r="I648" s="87"/>
      <c r="J648" s="79" t="s">
        <v>674</v>
      </c>
      <c r="K648" s="62">
        <v>-50</v>
      </c>
      <c r="L648" s="68">
        <f t="shared" si="66"/>
        <v>151.62999999999985</v>
      </c>
      <c r="M648" s="38"/>
      <c r="N648" s="44" t="str">
        <f t="shared" si="60"/>
        <v>MCSOPF2CPF - Desp. Transporte / Combustível</v>
      </c>
      <c r="O648" s="44" t="str">
        <f t="shared" si="61"/>
        <v>OPF2CPF - Desp. Transporte / Combustível</v>
      </c>
      <c r="P648" s="44" t="str">
        <f t="shared" si="62"/>
        <v>MCSOPF2CPF - Desp. Transporte / Combustível</v>
      </c>
      <c r="Q648" s="44" t="str">
        <f t="shared" si="63"/>
        <v>MCSOPF2</v>
      </c>
      <c r="R648" s="44" t="str">
        <f t="shared" si="64"/>
        <v>MCSOPF2</v>
      </c>
      <c r="S648" s="38"/>
      <c r="T648" s="45">
        <f t="shared" si="65"/>
        <v>45870</v>
      </c>
      <c r="U648" s="24" t="str">
        <f t="shared" si="67"/>
        <v/>
      </c>
    </row>
    <row r="649" spans="2:22" s="46" customFormat="1" x14ac:dyDescent="0.25">
      <c r="B649" s="37" t="s">
        <v>25</v>
      </c>
      <c r="C649" s="38"/>
      <c r="D649" s="86" t="str">
        <f>INDEX(Cad_Natureza!$B$3:$C$52,MATCH('2025'!F649,Cad_Natureza!$C$3:$C$52,0),MATCH('2025'!D$2,Cad_Natureza!$B$3:$C$3,0))</f>
        <v>GAST2</v>
      </c>
      <c r="E649" s="84" t="s">
        <v>812</v>
      </c>
      <c r="F649" s="85" t="s">
        <v>743</v>
      </c>
      <c r="G649" s="86" t="s">
        <v>25</v>
      </c>
      <c r="H649" s="87">
        <v>45873</v>
      </c>
      <c r="I649" s="87"/>
      <c r="J649" s="79" t="s">
        <v>180</v>
      </c>
      <c r="K649" s="62">
        <v>-4</v>
      </c>
      <c r="L649" s="68">
        <f t="shared" si="66"/>
        <v>147.62999999999985</v>
      </c>
      <c r="M649" s="38"/>
      <c r="N649" s="44" t="str">
        <f t="shared" si="60"/>
        <v>MCSGAST2CPF - Desp. Lazer e Entretenimento - Cigarro</v>
      </c>
      <c r="O649" s="44" t="str">
        <f t="shared" si="61"/>
        <v>GAST2CPF - Desp. Lazer e Entretenimento - Cigarro</v>
      </c>
      <c r="P649" s="44" t="str">
        <f t="shared" si="62"/>
        <v>MCSGAST2CPF - Desp. Lazer e Entretenimento - Cigarro</v>
      </c>
      <c r="Q649" s="44" t="str">
        <f t="shared" si="63"/>
        <v>MCSGAST2</v>
      </c>
      <c r="R649" s="44" t="str">
        <f t="shared" si="64"/>
        <v>MCSGAST2</v>
      </c>
      <c r="S649" s="38"/>
      <c r="T649" s="45">
        <f t="shared" si="65"/>
        <v>45870</v>
      </c>
      <c r="U649" s="24" t="str">
        <f t="shared" si="67"/>
        <v/>
      </c>
    </row>
    <row r="650" spans="2:22" s="46" customFormat="1" x14ac:dyDescent="0.25">
      <c r="B650" s="37" t="s">
        <v>25</v>
      </c>
      <c r="C650" s="38"/>
      <c r="D650" s="86" t="str">
        <f>INDEX(Cad_Natureza!$B$3:$C$52,MATCH('2025'!F650,Cad_Natureza!$C$3:$C$52,0),MATCH('2025'!D$2,Cad_Natureza!$B$3:$C$3,0))</f>
        <v>GAST1</v>
      </c>
      <c r="E650" s="84" t="s">
        <v>813</v>
      </c>
      <c r="F650" s="85" t="s">
        <v>742</v>
      </c>
      <c r="G650" s="86" t="s">
        <v>25</v>
      </c>
      <c r="H650" s="87">
        <v>45873</v>
      </c>
      <c r="I650" s="87"/>
      <c r="J650" s="79" t="s">
        <v>866</v>
      </c>
      <c r="K650" s="62">
        <v>-5</v>
      </c>
      <c r="L650" s="68">
        <f t="shared" si="66"/>
        <v>142.62999999999985</v>
      </c>
      <c r="M650" s="38"/>
      <c r="N650" s="44" t="str">
        <f t="shared" si="60"/>
        <v>MCSGAST1CPF - Desp. Lazer e Entretenimento - Bares</v>
      </c>
      <c r="O650" s="44" t="str">
        <f t="shared" si="61"/>
        <v>GAST1CPF - Desp. Lazer e Entretenimento - Bares</v>
      </c>
      <c r="P650" s="44" t="str">
        <f t="shared" si="62"/>
        <v>MCSGAST1CPF - Desp. Lazer e Entretenimento - Bares</v>
      </c>
      <c r="Q650" s="44" t="str">
        <f t="shared" si="63"/>
        <v>MCSGAST1</v>
      </c>
      <c r="R650" s="44" t="str">
        <f t="shared" si="64"/>
        <v>MCSGAST1</v>
      </c>
      <c r="S650" s="38"/>
      <c r="T650" s="45">
        <f t="shared" si="65"/>
        <v>45870</v>
      </c>
      <c r="U650" s="24" t="str">
        <f t="shared" si="67"/>
        <v/>
      </c>
    </row>
    <row r="651" spans="2:22" s="46" customFormat="1" x14ac:dyDescent="0.25">
      <c r="B651" s="37" t="s">
        <v>25</v>
      </c>
      <c r="C651" s="38"/>
      <c r="D651" s="86" t="str">
        <f>INDEX(Cad_Natureza!$B$3:$C$52,MATCH('2025'!F651,Cad_Natureza!$C$3:$C$52,0),MATCH('2025'!D$2,Cad_Natureza!$B$3:$C$3,0))</f>
        <v>GAST1</v>
      </c>
      <c r="E651" s="84" t="s">
        <v>813</v>
      </c>
      <c r="F651" s="85" t="s">
        <v>742</v>
      </c>
      <c r="G651" s="86" t="s">
        <v>25</v>
      </c>
      <c r="H651" s="87">
        <v>45873</v>
      </c>
      <c r="I651" s="87"/>
      <c r="J651" s="79" t="s">
        <v>866</v>
      </c>
      <c r="K651" s="62">
        <v>-5</v>
      </c>
      <c r="L651" s="68">
        <f t="shared" si="66"/>
        <v>137.62999999999985</v>
      </c>
      <c r="M651" s="38"/>
      <c r="N651" s="44" t="str">
        <f t="shared" si="60"/>
        <v>MCSGAST1CPF - Desp. Lazer e Entretenimento - Bares</v>
      </c>
      <c r="O651" s="44" t="str">
        <f t="shared" si="61"/>
        <v>GAST1CPF - Desp. Lazer e Entretenimento - Bares</v>
      </c>
      <c r="P651" s="44" t="str">
        <f t="shared" si="62"/>
        <v>MCSGAST1CPF - Desp. Lazer e Entretenimento - Bares</v>
      </c>
      <c r="Q651" s="44" t="str">
        <f t="shared" si="63"/>
        <v>MCSGAST1</v>
      </c>
      <c r="R651" s="44" t="str">
        <f t="shared" si="64"/>
        <v>MCSGAST1</v>
      </c>
      <c r="S651" s="38"/>
      <c r="T651" s="45">
        <f t="shared" si="65"/>
        <v>45870</v>
      </c>
      <c r="U651" s="24" t="str">
        <f t="shared" si="67"/>
        <v/>
      </c>
    </row>
    <row r="652" spans="2:22" s="46" customFormat="1" x14ac:dyDescent="0.25">
      <c r="B652" s="37" t="s">
        <v>25</v>
      </c>
      <c r="C652" s="38"/>
      <c r="D652" s="86" t="str">
        <f>INDEX(Cad_Natureza!$B$3:$C$52,MATCH('2025'!F652,Cad_Natureza!$C$3:$C$52,0),MATCH('2025'!D$2,Cad_Natureza!$B$3:$C$3,0))</f>
        <v>GAST1</v>
      </c>
      <c r="E652" s="84" t="s">
        <v>813</v>
      </c>
      <c r="F652" s="85" t="s">
        <v>742</v>
      </c>
      <c r="G652" s="86" t="s">
        <v>25</v>
      </c>
      <c r="H652" s="87">
        <v>45873</v>
      </c>
      <c r="I652" s="87"/>
      <c r="J652" s="79" t="s">
        <v>866</v>
      </c>
      <c r="K652" s="62">
        <v>-5</v>
      </c>
      <c r="L652" s="68">
        <f t="shared" si="66"/>
        <v>132.62999999999985</v>
      </c>
      <c r="M652" s="38"/>
      <c r="N652" s="44" t="str">
        <f t="shared" si="60"/>
        <v>MCSGAST1CPF - Desp. Lazer e Entretenimento - Bares</v>
      </c>
      <c r="O652" s="44" t="str">
        <f t="shared" si="61"/>
        <v>GAST1CPF - Desp. Lazer e Entretenimento - Bares</v>
      </c>
      <c r="P652" s="44" t="str">
        <f t="shared" si="62"/>
        <v>MCSGAST1CPF - Desp. Lazer e Entretenimento - Bares</v>
      </c>
      <c r="Q652" s="44" t="str">
        <f t="shared" si="63"/>
        <v>MCSGAST1</v>
      </c>
      <c r="R652" s="44" t="str">
        <f t="shared" si="64"/>
        <v>MCSGAST1</v>
      </c>
      <c r="S652" s="38"/>
      <c r="T652" s="45">
        <f t="shared" si="65"/>
        <v>45870</v>
      </c>
      <c r="U652" s="24" t="str">
        <f t="shared" si="67"/>
        <v/>
      </c>
    </row>
    <row r="653" spans="2:22" s="46" customFormat="1" x14ac:dyDescent="0.25">
      <c r="B653" s="37" t="s">
        <v>25</v>
      </c>
      <c r="C653" s="38"/>
      <c r="D653" s="86" t="str">
        <f>INDEX(Cad_Natureza!$B$3:$C$52,MATCH('2025'!F653,Cad_Natureza!$C$3:$C$52,0),MATCH('2025'!D$2,Cad_Natureza!$B$3:$C$3,0))</f>
        <v>GAST1</v>
      </c>
      <c r="E653" s="84" t="s">
        <v>813</v>
      </c>
      <c r="F653" s="85" t="s">
        <v>742</v>
      </c>
      <c r="G653" s="86" t="s">
        <v>25</v>
      </c>
      <c r="H653" s="87">
        <v>45873</v>
      </c>
      <c r="I653" s="87"/>
      <c r="J653" s="79" t="s">
        <v>866</v>
      </c>
      <c r="K653" s="62">
        <v>-5</v>
      </c>
      <c r="L653" s="68">
        <f t="shared" si="66"/>
        <v>127.62999999999985</v>
      </c>
      <c r="M653" s="38"/>
      <c r="N653" s="44" t="str">
        <f t="shared" si="60"/>
        <v>MCSGAST1CPF - Desp. Lazer e Entretenimento - Bares</v>
      </c>
      <c r="O653" s="44" t="str">
        <f t="shared" si="61"/>
        <v>GAST1CPF - Desp. Lazer e Entretenimento - Bares</v>
      </c>
      <c r="P653" s="44" t="str">
        <f t="shared" si="62"/>
        <v>MCSGAST1CPF - Desp. Lazer e Entretenimento - Bares</v>
      </c>
      <c r="Q653" s="44" t="str">
        <f t="shared" si="63"/>
        <v>MCSGAST1</v>
      </c>
      <c r="R653" s="44" t="str">
        <f t="shared" si="64"/>
        <v>MCSGAST1</v>
      </c>
      <c r="S653" s="38"/>
      <c r="T653" s="45">
        <f t="shared" si="65"/>
        <v>45870</v>
      </c>
      <c r="U653" s="24" t="str">
        <f t="shared" si="67"/>
        <v/>
      </c>
    </row>
    <row r="654" spans="2:22" s="46" customFormat="1" x14ac:dyDescent="0.25">
      <c r="B654" s="37" t="s">
        <v>25</v>
      </c>
      <c r="C654" s="38"/>
      <c r="D654" s="86" t="str">
        <f>INDEX(Cad_Natureza!$B$3:$C$52,MATCH('2025'!F654,Cad_Natureza!$C$3:$C$52,0),MATCH('2025'!D$2,Cad_Natureza!$B$3:$C$3,0))</f>
        <v>GAST1</v>
      </c>
      <c r="E654" s="84" t="s">
        <v>814</v>
      </c>
      <c r="F654" s="85" t="s">
        <v>742</v>
      </c>
      <c r="G654" s="86" t="s">
        <v>25</v>
      </c>
      <c r="H654" s="87">
        <v>45873</v>
      </c>
      <c r="I654" s="87"/>
      <c r="J654" s="79" t="s">
        <v>822</v>
      </c>
      <c r="K654" s="62">
        <v>-10</v>
      </c>
      <c r="L654" s="68">
        <f t="shared" si="66"/>
        <v>117.62999999999985</v>
      </c>
      <c r="M654" s="38"/>
      <c r="N654" s="44" t="str">
        <f t="shared" ref="N654:N658" si="68">B654&amp;D654&amp;F654</f>
        <v>MCSGAST1CPF - Desp. Lazer e Entretenimento - Bares</v>
      </c>
      <c r="O654" s="44" t="str">
        <f t="shared" ref="O654:O658" si="69">D654&amp;F654</f>
        <v>GAST1CPF - Desp. Lazer e Entretenimento - Bares</v>
      </c>
      <c r="P654" s="44" t="str">
        <f t="shared" ref="P654:P658" si="70">"MCS"&amp;D654&amp;F654</f>
        <v>MCSGAST1CPF - Desp. Lazer e Entretenimento - Bares</v>
      </c>
      <c r="Q654" s="44" t="str">
        <f t="shared" ref="Q654:Q658" si="71">"MCS"&amp;D654</f>
        <v>MCSGAST1</v>
      </c>
      <c r="R654" s="44" t="str">
        <f t="shared" ref="R654:R658" si="72">B654&amp;D654</f>
        <v>MCSGAST1</v>
      </c>
      <c r="S654" s="38"/>
      <c r="T654" s="45">
        <f t="shared" ref="T654:T658" si="73">(1&amp;"/"&amp;MONTH(H654)&amp;"/"&amp;YEAR(H654))*1</f>
        <v>45870</v>
      </c>
      <c r="U654" s="24" t="str">
        <f t="shared" si="67"/>
        <v/>
      </c>
    </row>
    <row r="655" spans="2:22" s="46" customFormat="1" x14ac:dyDescent="0.25">
      <c r="B655" s="37" t="s">
        <v>25</v>
      </c>
      <c r="C655" s="38"/>
      <c r="D655" s="86" t="str">
        <f>INDEX(Cad_Natureza!$B$3:$C$52,MATCH('2025'!F655,Cad_Natureza!$C$3:$C$52,0),MATCH('2025'!D$2,Cad_Natureza!$B$3:$C$3,0))</f>
        <v>GAST1</v>
      </c>
      <c r="E655" s="84" t="s">
        <v>815</v>
      </c>
      <c r="F655" s="85" t="s">
        <v>742</v>
      </c>
      <c r="G655" s="86" t="s">
        <v>25</v>
      </c>
      <c r="H655" s="87">
        <v>45873</v>
      </c>
      <c r="I655" s="87"/>
      <c r="J655" s="79" t="s">
        <v>561</v>
      </c>
      <c r="K655" s="62">
        <v>-6</v>
      </c>
      <c r="L655" s="68">
        <f t="shared" si="66"/>
        <v>111.62999999999985</v>
      </c>
      <c r="M655" s="38"/>
      <c r="N655" s="44" t="str">
        <f t="shared" si="68"/>
        <v>MCSGAST1CPF - Desp. Lazer e Entretenimento - Bares</v>
      </c>
      <c r="O655" s="44" t="str">
        <f t="shared" si="69"/>
        <v>GAST1CPF - Desp. Lazer e Entretenimento - Bares</v>
      </c>
      <c r="P655" s="44" t="str">
        <f t="shared" si="70"/>
        <v>MCSGAST1CPF - Desp. Lazer e Entretenimento - Bares</v>
      </c>
      <c r="Q655" s="44" t="str">
        <f t="shared" si="71"/>
        <v>MCSGAST1</v>
      </c>
      <c r="R655" s="44" t="str">
        <f t="shared" si="72"/>
        <v>MCSGAST1</v>
      </c>
      <c r="S655" s="38"/>
      <c r="T655" s="45">
        <f t="shared" si="73"/>
        <v>45870</v>
      </c>
      <c r="U655" s="24" t="str">
        <f t="shared" si="67"/>
        <v/>
      </c>
    </row>
    <row r="656" spans="2:22" s="46" customFormat="1" x14ac:dyDescent="0.25">
      <c r="B656" s="37" t="s">
        <v>25</v>
      </c>
      <c r="C656" s="38"/>
      <c r="D656" s="86" t="str">
        <f>INDEX(Cad_Natureza!$B$3:$C$52,MATCH('2025'!F656,Cad_Natureza!$C$3:$C$52,0),MATCH('2025'!D$2,Cad_Natureza!$B$3:$C$3,0))</f>
        <v>FIN2</v>
      </c>
      <c r="E656" s="84" t="s">
        <v>816</v>
      </c>
      <c r="F656" s="85" t="s">
        <v>751</v>
      </c>
      <c r="G656" s="86" t="s">
        <v>25</v>
      </c>
      <c r="H656" s="87">
        <v>45873</v>
      </c>
      <c r="I656" s="87"/>
      <c r="J656" s="79" t="s">
        <v>188</v>
      </c>
      <c r="K656" s="62">
        <v>-28</v>
      </c>
      <c r="L656" s="68">
        <f t="shared" si="66"/>
        <v>83.629999999999853</v>
      </c>
      <c r="M656" s="38"/>
      <c r="N656" s="44" t="str">
        <f t="shared" si="68"/>
        <v>MCSFIN2CPF - Desp. Financeiras - Juros / Tarifas</v>
      </c>
      <c r="O656" s="44" t="str">
        <f t="shared" si="69"/>
        <v>FIN2CPF - Desp. Financeiras - Juros / Tarifas</v>
      </c>
      <c r="P656" s="44" t="str">
        <f t="shared" si="70"/>
        <v>MCSFIN2CPF - Desp. Financeiras - Juros / Tarifas</v>
      </c>
      <c r="Q656" s="44" t="str">
        <f t="shared" si="71"/>
        <v>MCSFIN2</v>
      </c>
      <c r="R656" s="44" t="str">
        <f t="shared" si="72"/>
        <v>MCSFIN2</v>
      </c>
      <c r="S656" s="38"/>
      <c r="T656" s="45">
        <f t="shared" si="73"/>
        <v>45870</v>
      </c>
      <c r="U656" s="24" t="str">
        <f t="shared" si="67"/>
        <v/>
      </c>
    </row>
    <row r="657" spans="2:22" s="46" customFormat="1" x14ac:dyDescent="0.25">
      <c r="B657" s="37" t="s">
        <v>25</v>
      </c>
      <c r="C657" s="38"/>
      <c r="D657" s="86" t="str">
        <f>INDEX(Cad_Natureza!$B$3:$C$52,MATCH('2025'!F657,Cad_Natureza!$C$3:$C$52,0),MATCH('2025'!D$2,Cad_Natureza!$B$3:$C$3,0))</f>
        <v>GAST2</v>
      </c>
      <c r="E657" s="84" t="s">
        <v>817</v>
      </c>
      <c r="F657" s="85" t="s">
        <v>743</v>
      </c>
      <c r="G657" s="86" t="s">
        <v>25</v>
      </c>
      <c r="H657" s="87">
        <v>45875</v>
      </c>
      <c r="I657" s="87"/>
      <c r="J657" s="79" t="s">
        <v>180</v>
      </c>
      <c r="K657" s="62">
        <v>-6</v>
      </c>
      <c r="L657" s="68">
        <f t="shared" si="66"/>
        <v>77.629999999999853</v>
      </c>
      <c r="M657" s="38"/>
      <c r="N657" s="44" t="str">
        <f t="shared" si="68"/>
        <v>MCSGAST2CPF - Desp. Lazer e Entretenimento - Cigarro</v>
      </c>
      <c r="O657" s="44" t="str">
        <f t="shared" si="69"/>
        <v>GAST2CPF - Desp. Lazer e Entretenimento - Cigarro</v>
      </c>
      <c r="P657" s="44" t="str">
        <f t="shared" si="70"/>
        <v>MCSGAST2CPF - Desp. Lazer e Entretenimento - Cigarro</v>
      </c>
      <c r="Q657" s="44" t="str">
        <f t="shared" si="71"/>
        <v>MCSGAST2</v>
      </c>
      <c r="R657" s="44" t="str">
        <f t="shared" si="72"/>
        <v>MCSGAST2</v>
      </c>
      <c r="S657" s="38"/>
      <c r="T657" s="45">
        <f t="shared" si="73"/>
        <v>45870</v>
      </c>
      <c r="U657" s="24" t="str">
        <f t="shared" si="67"/>
        <v/>
      </c>
    </row>
    <row r="658" spans="2:22" s="46" customFormat="1" x14ac:dyDescent="0.25">
      <c r="B658" s="37" t="s">
        <v>25</v>
      </c>
      <c r="C658" s="38"/>
      <c r="D658" s="63" t="str">
        <f>INDEX(Cad_Natureza!$B$3:$C$52,MATCH('2025'!F658,Cad_Natureza!$C$3:$C$52,0),MATCH('2025'!D$2,Cad_Natureza!$B$3:$C$3,0))</f>
        <v>REC1</v>
      </c>
      <c r="E658" s="64" t="s">
        <v>818</v>
      </c>
      <c r="F658" s="65" t="s">
        <v>745</v>
      </c>
      <c r="G658" s="63" t="s">
        <v>25</v>
      </c>
      <c r="H658" s="66">
        <v>45875</v>
      </c>
      <c r="I658" s="66"/>
      <c r="J658" s="81" t="s">
        <v>34</v>
      </c>
      <c r="K658" s="68">
        <v>2500</v>
      </c>
      <c r="L658" s="68">
        <f t="shared" si="66"/>
        <v>2577.6299999999997</v>
      </c>
      <c r="M658" s="38"/>
      <c r="N658" s="44" t="str">
        <f t="shared" si="68"/>
        <v>MCSREC1CPF - Remun. Salário / Pró-Labore</v>
      </c>
      <c r="O658" s="44" t="str">
        <f t="shared" si="69"/>
        <v>REC1CPF - Remun. Salário / Pró-Labore</v>
      </c>
      <c r="P658" s="44" t="str">
        <f t="shared" si="70"/>
        <v>MCSREC1CPF - Remun. Salário / Pró-Labore</v>
      </c>
      <c r="Q658" s="44" t="str">
        <f t="shared" si="71"/>
        <v>MCSREC1</v>
      </c>
      <c r="R658" s="44" t="str">
        <f t="shared" si="72"/>
        <v>MCSREC1</v>
      </c>
      <c r="S658" s="38"/>
      <c r="T658" s="45">
        <f t="shared" si="73"/>
        <v>45870</v>
      </c>
      <c r="U658" s="24" t="str">
        <f t="shared" si="67"/>
        <v/>
      </c>
      <c r="V658" s="14"/>
    </row>
    <row r="659" spans="2:22" s="46" customFormat="1" x14ac:dyDescent="0.25">
      <c r="B659" s="37" t="s">
        <v>25</v>
      </c>
      <c r="C659" s="38"/>
      <c r="D659" s="86" t="str">
        <f>INDEX(Cad_Natureza!$B$3:$C$52,MATCH('2025'!F659,Cad_Natureza!$C$3:$C$52,0),MATCH('2025'!D$2,Cad_Natureza!$B$3:$C$3,0))</f>
        <v>PENS3</v>
      </c>
      <c r="E659" s="84" t="s">
        <v>704</v>
      </c>
      <c r="F659" s="85" t="s">
        <v>746</v>
      </c>
      <c r="G659" s="86" t="s">
        <v>25</v>
      </c>
      <c r="H659" s="87">
        <v>45874</v>
      </c>
      <c r="I659" s="87"/>
      <c r="J659" s="78" t="s">
        <v>704</v>
      </c>
      <c r="K659" s="62">
        <v>-638.57000000000005</v>
      </c>
      <c r="L659" s="68">
        <f t="shared" si="66"/>
        <v>1939.0599999999995</v>
      </c>
      <c r="M659" s="38"/>
      <c r="N659" s="44" t="str">
        <f>B659&amp;D659&amp;F659</f>
        <v>MCSPENS3CPF - Pensão - Plano de saúde</v>
      </c>
      <c r="O659" s="44" t="str">
        <f>D659&amp;F659</f>
        <v>PENS3CPF - Pensão - Plano de saúde</v>
      </c>
      <c r="P659" s="44" t="str">
        <f>"MCS"&amp;D659&amp;F659</f>
        <v>MCSPENS3CPF - Pensão - Plano de saúde</v>
      </c>
      <c r="Q659" s="44" t="str">
        <f>"MCS"&amp;D659</f>
        <v>MCSPENS3</v>
      </c>
      <c r="R659" s="44" t="str">
        <f>B659&amp;D659</f>
        <v>MCSPENS3</v>
      </c>
      <c r="S659" s="38"/>
      <c r="T659" s="45">
        <f>(1&amp;"/"&amp;MONTH(H659)&amp;"/"&amp;YEAR(H659))*1</f>
        <v>45870</v>
      </c>
      <c r="U659" s="24" t="str">
        <f t="shared" ref="U659:U660" si="74">IF(I659="","",(1&amp;"/"&amp;MONTH(I659)&amp;"/"&amp;YEAR(I659))*1)</f>
        <v/>
      </c>
      <c r="V659" s="14" t="s">
        <v>731</v>
      </c>
    </row>
    <row r="660" spans="2:22" s="46" customFormat="1" x14ac:dyDescent="0.25">
      <c r="B660" s="37" t="s">
        <v>25</v>
      </c>
      <c r="C660" s="38"/>
      <c r="D660" s="86" t="str">
        <f>INDEX(Cad_Natureza!$B$3:$C$52,MATCH('2025'!F660,Cad_Natureza!$C$3:$C$52,0),MATCH('2025'!D$2,Cad_Natureza!$B$3:$C$3,0))</f>
        <v>PENS3</v>
      </c>
      <c r="E660" s="84" t="s">
        <v>1189</v>
      </c>
      <c r="F660" s="85" t="s">
        <v>746</v>
      </c>
      <c r="G660" s="86" t="s">
        <v>25</v>
      </c>
      <c r="H660" s="87">
        <v>46280</v>
      </c>
      <c r="I660" s="87"/>
      <c r="J660" s="78" t="s">
        <v>1189</v>
      </c>
      <c r="K660" s="62">
        <v>0</v>
      </c>
      <c r="L660" s="68">
        <f t="shared" si="66"/>
        <v>1939.0599999999995</v>
      </c>
      <c r="M660" s="38"/>
      <c r="N660" s="44" t="str">
        <f>B660&amp;D660&amp;F660</f>
        <v>MCSPENS3CPF - Pensão - Plano de saúde</v>
      </c>
      <c r="O660" s="44" t="str">
        <f>D660&amp;F660</f>
        <v>PENS3CPF - Pensão - Plano de saúde</v>
      </c>
      <c r="P660" s="44" t="str">
        <f>"MCS"&amp;D660&amp;F660</f>
        <v>MCSPENS3CPF - Pensão - Plano de saúde</v>
      </c>
      <c r="Q660" s="44" t="str">
        <f>"MCS"&amp;D660</f>
        <v>MCSPENS3</v>
      </c>
      <c r="R660" s="44" t="str">
        <f>B660&amp;D660</f>
        <v>MCSPENS3</v>
      </c>
      <c r="S660" s="38"/>
      <c r="T660" s="45">
        <f>(1&amp;"/"&amp;MONTH(H660)&amp;"/"&amp;YEAR(H660))*1</f>
        <v>46266</v>
      </c>
      <c r="U660" s="24" t="str">
        <f t="shared" si="74"/>
        <v/>
      </c>
      <c r="V660" s="14" t="s">
        <v>731</v>
      </c>
    </row>
    <row r="661" spans="2:22" s="46" customFormat="1" x14ac:dyDescent="0.25">
      <c r="B661" s="37" t="s">
        <v>25</v>
      </c>
      <c r="C661" s="38"/>
      <c r="D661" s="86" t="str">
        <f>INDEX(Cad_Natureza!$B$3:$C$52,MATCH('2025'!F661,Cad_Natureza!$C$3:$C$52,0),MATCH('2025'!D$2,Cad_Natureza!$B$3:$C$3,0))</f>
        <v>PENS3</v>
      </c>
      <c r="E661" s="84" t="s">
        <v>1189</v>
      </c>
      <c r="F661" s="85" t="s">
        <v>746</v>
      </c>
      <c r="G661" s="86" t="s">
        <v>25</v>
      </c>
      <c r="H661" s="87">
        <v>46280</v>
      </c>
      <c r="I661" s="87"/>
      <c r="J661" s="78" t="s">
        <v>1190</v>
      </c>
      <c r="K661" s="62">
        <v>0</v>
      </c>
      <c r="L661" s="68">
        <f t="shared" si="66"/>
        <v>1939.0599999999995</v>
      </c>
      <c r="M661" s="38"/>
      <c r="N661" s="44" t="str">
        <f>B661&amp;D661&amp;F661</f>
        <v>MCSPENS3CPF - Pensão - Plano de saúde</v>
      </c>
      <c r="O661" s="44" t="str">
        <f>D661&amp;F661</f>
        <v>PENS3CPF - Pensão - Plano de saúde</v>
      </c>
      <c r="P661" s="44" t="str">
        <f>"MCS"&amp;D661&amp;F661</f>
        <v>MCSPENS3CPF - Pensão - Plano de saúde</v>
      </c>
      <c r="Q661" s="44" t="str">
        <f>"MCS"&amp;D661</f>
        <v>MCSPENS3</v>
      </c>
      <c r="R661" s="44" t="str">
        <f>B661&amp;D661</f>
        <v>MCSPENS3</v>
      </c>
      <c r="S661" s="38"/>
      <c r="T661" s="45">
        <f>(1&amp;"/"&amp;MONTH(H661)&amp;"/"&amp;YEAR(H661))*1</f>
        <v>46266</v>
      </c>
      <c r="U661" s="24" t="str">
        <f t="shared" si="67"/>
        <v/>
      </c>
      <c r="V661" s="14" t="s">
        <v>731</v>
      </c>
    </row>
    <row r="662" spans="2:22" s="46" customFormat="1" x14ac:dyDescent="0.25">
      <c r="B662" s="37" t="s">
        <v>25</v>
      </c>
      <c r="C662" s="38"/>
      <c r="D662" s="86" t="str">
        <f>INDEX(Cad_Natureza!$B$3:$C$52,MATCH('2025'!F662,Cad_Natureza!$C$3:$C$52,0),MATCH('2025'!D$2,Cad_Natureza!$B$3:$C$3,0))</f>
        <v>PENS2</v>
      </c>
      <c r="E662" s="84" t="s">
        <v>697</v>
      </c>
      <c r="F662" s="85" t="s">
        <v>715</v>
      </c>
      <c r="G662" s="86" t="s">
        <v>25</v>
      </c>
      <c r="H662" s="87">
        <v>45874</v>
      </c>
      <c r="I662" s="87"/>
      <c r="J662" s="78" t="s">
        <v>771</v>
      </c>
      <c r="K662" s="62">
        <v>-677.92</v>
      </c>
      <c r="L662" s="68">
        <f t="shared" si="66"/>
        <v>1261.1399999999994</v>
      </c>
      <c r="M662" s="38"/>
      <c r="N662" s="44" t="str">
        <f t="shared" ref="N662:N912" si="75">B662&amp;D662&amp;F662</f>
        <v>MCSPENS2CPF - Pensão - Energia</v>
      </c>
      <c r="O662" s="44" t="str">
        <f t="shared" ref="O662:O912" si="76">D662&amp;F662</f>
        <v>PENS2CPF - Pensão - Energia</v>
      </c>
      <c r="P662" s="44" t="str">
        <f t="shared" ref="P662:P912" si="77">"MCS"&amp;D662&amp;F662</f>
        <v>MCSPENS2CPF - Pensão - Energia</v>
      </c>
      <c r="Q662" s="44" t="str">
        <f t="shared" ref="Q662:Q912" si="78">"MCS"&amp;D662</f>
        <v>MCSPENS2</v>
      </c>
      <c r="R662" s="44" t="str">
        <f t="shared" ref="R662:R912" si="79">B662&amp;D662</f>
        <v>MCSPENS2</v>
      </c>
      <c r="S662" s="38"/>
      <c r="T662" s="45">
        <f t="shared" ref="T662:T912" si="80">(1&amp;"/"&amp;MONTH(H662)&amp;"/"&amp;YEAR(H662))*1</f>
        <v>45870</v>
      </c>
      <c r="U662" s="24" t="str">
        <f t="shared" si="67"/>
        <v/>
      </c>
      <c r="V662" s="14" t="s">
        <v>731</v>
      </c>
    </row>
    <row r="663" spans="2:22" s="46" customFormat="1" x14ac:dyDescent="0.25">
      <c r="B663" s="37" t="s">
        <v>25</v>
      </c>
      <c r="C663" s="38"/>
      <c r="D663" s="86" t="str">
        <f>INDEX(Cad_Natureza!$B$3:$C$52,MATCH('2025'!F663,Cad_Natureza!$C$3:$C$52,0),MATCH('2025'!D$2,Cad_Natureza!$B$3:$C$3,0))</f>
        <v>PENS1</v>
      </c>
      <c r="E663" s="84" t="s">
        <v>703</v>
      </c>
      <c r="F663" s="85" t="s">
        <v>717</v>
      </c>
      <c r="G663" s="86" t="s">
        <v>25</v>
      </c>
      <c r="H663" s="87">
        <v>45874</v>
      </c>
      <c r="I663" s="87"/>
      <c r="J663" s="78" t="s">
        <v>792</v>
      </c>
      <c r="K663" s="62">
        <v>-600</v>
      </c>
      <c r="L663" s="68">
        <f t="shared" si="66"/>
        <v>661.13999999999942</v>
      </c>
      <c r="M663" s="38"/>
      <c r="N663" s="44" t="str">
        <f>B663&amp;D663&amp;F663</f>
        <v>MCSPENS1CPF - Pensão - Aluguel</v>
      </c>
      <c r="O663" s="44" t="str">
        <f>D663&amp;F663</f>
        <v>PENS1CPF - Pensão - Aluguel</v>
      </c>
      <c r="P663" s="44" t="str">
        <f>"MCS"&amp;D663&amp;F663</f>
        <v>MCSPENS1CPF - Pensão - Aluguel</v>
      </c>
      <c r="Q663" s="44" t="str">
        <f>"MCS"&amp;D663</f>
        <v>MCSPENS1</v>
      </c>
      <c r="R663" s="44" t="str">
        <f>B663&amp;D663</f>
        <v>MCSPENS1</v>
      </c>
      <c r="S663" s="38"/>
      <c r="T663" s="45">
        <f>(1&amp;"/"&amp;MONTH(H663)&amp;"/"&amp;YEAR(H663))*1</f>
        <v>45870</v>
      </c>
      <c r="U663" s="24" t="str">
        <f t="shared" si="67"/>
        <v/>
      </c>
      <c r="V663" s="14" t="s">
        <v>731</v>
      </c>
    </row>
    <row r="664" spans="2:22" s="46" customFormat="1" x14ac:dyDescent="0.25">
      <c r="B664" s="37" t="s">
        <v>25</v>
      </c>
      <c r="C664" s="38"/>
      <c r="D664" s="86" t="str">
        <f>INDEX(Cad_Natureza!$B$3:$C$52,MATCH('2025'!F664,Cad_Natureza!$C$3:$C$52,0),MATCH('2025'!D$2,Cad_Natureza!$B$3:$C$3,0))</f>
        <v>OPF1</v>
      </c>
      <c r="E664" s="84" t="s">
        <v>836</v>
      </c>
      <c r="F664" s="85" t="s">
        <v>744</v>
      </c>
      <c r="G664" s="86" t="s">
        <v>25</v>
      </c>
      <c r="H664" s="87">
        <v>45876</v>
      </c>
      <c r="I664" s="87"/>
      <c r="J664" s="79" t="s">
        <v>855</v>
      </c>
      <c r="K664" s="62">
        <v>-184</v>
      </c>
      <c r="L664" s="68">
        <f t="shared" si="66"/>
        <v>477.13999999999942</v>
      </c>
      <c r="M664" s="38"/>
      <c r="N664" s="44" t="str">
        <f t="shared" ref="N664:N684" si="81">B664&amp;D664&amp;F664</f>
        <v>MCSOPF1CPF - Desp. Alimentação / Refeição</v>
      </c>
      <c r="O664" s="44" t="str">
        <f t="shared" ref="O664:O684" si="82">D664&amp;F664</f>
        <v>OPF1CPF - Desp. Alimentação / Refeição</v>
      </c>
      <c r="P664" s="44" t="str">
        <f t="shared" ref="P664:P684" si="83">"MCS"&amp;D664&amp;F664</f>
        <v>MCSOPF1CPF - Desp. Alimentação / Refeição</v>
      </c>
      <c r="Q664" s="44" t="str">
        <f t="shared" ref="Q664:Q684" si="84">"MCS"&amp;D664</f>
        <v>MCSOPF1</v>
      </c>
      <c r="R664" s="44" t="str">
        <f t="shared" ref="R664:R684" si="85">B664&amp;D664</f>
        <v>MCSOPF1</v>
      </c>
      <c r="S664" s="38"/>
      <c r="T664" s="45">
        <f t="shared" ref="T664:T684" si="86">(1&amp;"/"&amp;MONTH(H664)&amp;"/"&amp;YEAR(H664))*1</f>
        <v>45870</v>
      </c>
      <c r="U664" s="24" t="str">
        <f t="shared" si="67"/>
        <v/>
      </c>
    </row>
    <row r="665" spans="2:22" s="46" customFormat="1" x14ac:dyDescent="0.25">
      <c r="B665" s="37" t="s">
        <v>25</v>
      </c>
      <c r="C665" s="38"/>
      <c r="D665" s="86" t="str">
        <f>INDEX(Cad_Natureza!$B$3:$C$52,MATCH('2025'!F665,Cad_Natureza!$C$3:$C$52,0),MATCH('2025'!D$2,Cad_Natureza!$B$3:$C$3,0))</f>
        <v>GAST2</v>
      </c>
      <c r="E665" s="84" t="s">
        <v>837</v>
      </c>
      <c r="F665" s="85" t="s">
        <v>743</v>
      </c>
      <c r="G665" s="86" t="s">
        <v>25</v>
      </c>
      <c r="H665" s="87">
        <v>45876</v>
      </c>
      <c r="I665" s="87"/>
      <c r="J665" s="79" t="s">
        <v>180</v>
      </c>
      <c r="K665" s="62">
        <v>-2.5</v>
      </c>
      <c r="L665" s="68">
        <f t="shared" si="66"/>
        <v>474.63999999999942</v>
      </c>
      <c r="M665" s="38"/>
      <c r="N665" s="44" t="str">
        <f t="shared" si="81"/>
        <v>MCSGAST2CPF - Desp. Lazer e Entretenimento - Cigarro</v>
      </c>
      <c r="O665" s="44" t="str">
        <f t="shared" si="82"/>
        <v>GAST2CPF - Desp. Lazer e Entretenimento - Cigarro</v>
      </c>
      <c r="P665" s="44" t="str">
        <f t="shared" si="83"/>
        <v>MCSGAST2CPF - Desp. Lazer e Entretenimento - Cigarro</v>
      </c>
      <c r="Q665" s="44" t="str">
        <f t="shared" si="84"/>
        <v>MCSGAST2</v>
      </c>
      <c r="R665" s="44" t="str">
        <f t="shared" si="85"/>
        <v>MCSGAST2</v>
      </c>
      <c r="S665" s="38"/>
      <c r="T665" s="45">
        <f t="shared" si="86"/>
        <v>45870</v>
      </c>
      <c r="U665" s="24" t="str">
        <f t="shared" si="67"/>
        <v/>
      </c>
    </row>
    <row r="666" spans="2:22" s="46" customFormat="1" x14ac:dyDescent="0.25">
      <c r="B666" s="37" t="s">
        <v>25</v>
      </c>
      <c r="C666" s="38"/>
      <c r="D666" s="63" t="str">
        <f>INDEX(Cad_Natureza!$B$3:$C$52,MATCH('2025'!F666,Cad_Natureza!$C$3:$C$52,0),MATCH('2025'!D$2,Cad_Natureza!$B$3:$C$3,0))</f>
        <v>REC5</v>
      </c>
      <c r="E666" s="64" t="s">
        <v>838</v>
      </c>
      <c r="F666" s="65" t="s">
        <v>740</v>
      </c>
      <c r="G666" s="63" t="s">
        <v>25</v>
      </c>
      <c r="H666" s="66">
        <v>45876</v>
      </c>
      <c r="I666" s="66"/>
      <c r="J666" s="81" t="s">
        <v>854</v>
      </c>
      <c r="K666" s="68">
        <v>120</v>
      </c>
      <c r="L666" s="68">
        <f t="shared" si="66"/>
        <v>594.63999999999942</v>
      </c>
      <c r="M666" s="38"/>
      <c r="N666" s="44" t="str">
        <f t="shared" si="81"/>
        <v>MCSREC5CPF - Outras receitas</v>
      </c>
      <c r="O666" s="44" t="str">
        <f t="shared" si="82"/>
        <v>REC5CPF - Outras receitas</v>
      </c>
      <c r="P666" s="44" t="str">
        <f t="shared" si="83"/>
        <v>MCSREC5CPF - Outras receitas</v>
      </c>
      <c r="Q666" s="44" t="str">
        <f t="shared" si="84"/>
        <v>MCSREC5</v>
      </c>
      <c r="R666" s="44" t="str">
        <f t="shared" si="85"/>
        <v>MCSREC5</v>
      </c>
      <c r="S666" s="38"/>
      <c r="T666" s="45">
        <f t="shared" si="86"/>
        <v>45870</v>
      </c>
      <c r="U666" s="24" t="str">
        <f t="shared" si="67"/>
        <v/>
      </c>
      <c r="V666" s="14"/>
    </row>
    <row r="667" spans="2:22" s="46" customFormat="1" x14ac:dyDescent="0.25">
      <c r="B667" s="37" t="s">
        <v>25</v>
      </c>
      <c r="C667" s="38"/>
      <c r="D667" s="86" t="str">
        <f>INDEX(Cad_Natureza!$B$3:$C$52,MATCH('2025'!F667,Cad_Natureza!$C$3:$C$52,0),MATCH('2025'!D$2,Cad_Natureza!$B$3:$C$3,0))</f>
        <v>GAST2</v>
      </c>
      <c r="E667" s="84" t="s">
        <v>839</v>
      </c>
      <c r="F667" s="85" t="s">
        <v>743</v>
      </c>
      <c r="G667" s="86" t="s">
        <v>25</v>
      </c>
      <c r="H667" s="87">
        <v>45876</v>
      </c>
      <c r="I667" s="87"/>
      <c r="J667" s="79" t="s">
        <v>180</v>
      </c>
      <c r="K667" s="62">
        <v>-35</v>
      </c>
      <c r="L667" s="68">
        <f t="shared" si="66"/>
        <v>559.63999999999942</v>
      </c>
      <c r="M667" s="38"/>
      <c r="N667" s="44" t="str">
        <f t="shared" si="81"/>
        <v>MCSGAST2CPF - Desp. Lazer e Entretenimento - Cigarro</v>
      </c>
      <c r="O667" s="44" t="str">
        <f t="shared" si="82"/>
        <v>GAST2CPF - Desp. Lazer e Entretenimento - Cigarro</v>
      </c>
      <c r="P667" s="44" t="str">
        <f t="shared" si="83"/>
        <v>MCSGAST2CPF - Desp. Lazer e Entretenimento - Cigarro</v>
      </c>
      <c r="Q667" s="44" t="str">
        <f t="shared" si="84"/>
        <v>MCSGAST2</v>
      </c>
      <c r="R667" s="44" t="str">
        <f t="shared" si="85"/>
        <v>MCSGAST2</v>
      </c>
      <c r="S667" s="38"/>
      <c r="T667" s="45">
        <f t="shared" si="86"/>
        <v>45870</v>
      </c>
      <c r="U667" s="24" t="str">
        <f t="shared" si="67"/>
        <v/>
      </c>
    </row>
    <row r="668" spans="2:22" s="46" customFormat="1" x14ac:dyDescent="0.25">
      <c r="B668" s="37" t="s">
        <v>25</v>
      </c>
      <c r="C668" s="38"/>
      <c r="D668" s="86" t="str">
        <f>INDEX(Cad_Natureza!$B$3:$C$52,MATCH('2025'!F668,Cad_Natureza!$C$3:$C$52,0),MATCH('2025'!D$2,Cad_Natureza!$B$3:$C$3,0))</f>
        <v>GAST1</v>
      </c>
      <c r="E668" s="84" t="s">
        <v>840</v>
      </c>
      <c r="F668" s="85" t="s">
        <v>742</v>
      </c>
      <c r="G668" s="86" t="s">
        <v>25</v>
      </c>
      <c r="H668" s="87">
        <v>45876</v>
      </c>
      <c r="I668" s="87"/>
      <c r="J668" s="79" t="s">
        <v>185</v>
      </c>
      <c r="K668" s="62">
        <v>-13</v>
      </c>
      <c r="L668" s="68">
        <f t="shared" si="66"/>
        <v>546.63999999999942</v>
      </c>
      <c r="M668" s="38"/>
      <c r="N668" s="44" t="str">
        <f t="shared" si="81"/>
        <v>MCSGAST1CPF - Desp. Lazer e Entretenimento - Bares</v>
      </c>
      <c r="O668" s="44" t="str">
        <f t="shared" si="82"/>
        <v>GAST1CPF - Desp. Lazer e Entretenimento - Bares</v>
      </c>
      <c r="P668" s="44" t="str">
        <f t="shared" si="83"/>
        <v>MCSGAST1CPF - Desp. Lazer e Entretenimento - Bares</v>
      </c>
      <c r="Q668" s="44" t="str">
        <f t="shared" si="84"/>
        <v>MCSGAST1</v>
      </c>
      <c r="R668" s="44" t="str">
        <f t="shared" si="85"/>
        <v>MCSGAST1</v>
      </c>
      <c r="S668" s="38"/>
      <c r="T668" s="45">
        <f t="shared" si="86"/>
        <v>45870</v>
      </c>
      <c r="U668" s="24" t="str">
        <f t="shared" si="67"/>
        <v/>
      </c>
    </row>
    <row r="669" spans="2:22" s="46" customFormat="1" x14ac:dyDescent="0.25">
      <c r="B669" s="37" t="s">
        <v>25</v>
      </c>
      <c r="C669" s="38"/>
      <c r="D669" s="86" t="str">
        <f>INDEX(Cad_Natureza!$B$3:$C$52,MATCH('2025'!F669,Cad_Natureza!$C$3:$C$52,0),MATCH('2025'!D$2,Cad_Natureza!$B$3:$C$3,0))</f>
        <v>GAST2</v>
      </c>
      <c r="E669" s="84" t="s">
        <v>841</v>
      </c>
      <c r="F669" s="85" t="s">
        <v>743</v>
      </c>
      <c r="G669" s="86" t="s">
        <v>25</v>
      </c>
      <c r="H669" s="87">
        <v>45877</v>
      </c>
      <c r="I669" s="87"/>
      <c r="J669" s="79" t="s">
        <v>180</v>
      </c>
      <c r="K669" s="62">
        <v>-2.5</v>
      </c>
      <c r="L669" s="68">
        <f t="shared" si="66"/>
        <v>544.13999999999942</v>
      </c>
      <c r="M669" s="38"/>
      <c r="N669" s="44" t="str">
        <f t="shared" si="81"/>
        <v>MCSGAST2CPF - Desp. Lazer e Entretenimento - Cigarro</v>
      </c>
      <c r="O669" s="44" t="str">
        <f t="shared" si="82"/>
        <v>GAST2CPF - Desp. Lazer e Entretenimento - Cigarro</v>
      </c>
      <c r="P669" s="44" t="str">
        <f t="shared" si="83"/>
        <v>MCSGAST2CPF - Desp. Lazer e Entretenimento - Cigarro</v>
      </c>
      <c r="Q669" s="44" t="str">
        <f t="shared" si="84"/>
        <v>MCSGAST2</v>
      </c>
      <c r="R669" s="44" t="str">
        <f t="shared" si="85"/>
        <v>MCSGAST2</v>
      </c>
      <c r="S669" s="38"/>
      <c r="T669" s="45">
        <f t="shared" si="86"/>
        <v>45870</v>
      </c>
      <c r="U669" s="24" t="str">
        <f t="shared" si="67"/>
        <v/>
      </c>
    </row>
    <row r="670" spans="2:22" s="46" customFormat="1" x14ac:dyDescent="0.25">
      <c r="B670" s="37" t="s">
        <v>25</v>
      </c>
      <c r="C670" s="38"/>
      <c r="D670" s="86" t="str">
        <f>INDEX(Cad_Natureza!$B$3:$C$52,MATCH('2025'!F670,Cad_Natureza!$C$3:$C$52,0),MATCH('2025'!D$2,Cad_Natureza!$B$3:$C$3,0))</f>
        <v>OPF2</v>
      </c>
      <c r="E670" s="84" t="s">
        <v>842</v>
      </c>
      <c r="F670" s="85" t="s">
        <v>741</v>
      </c>
      <c r="G670" s="86" t="s">
        <v>25</v>
      </c>
      <c r="H670" s="87">
        <v>45877</v>
      </c>
      <c r="I670" s="87"/>
      <c r="J670" s="79" t="s">
        <v>674</v>
      </c>
      <c r="K670" s="62">
        <v>-50</v>
      </c>
      <c r="L670" s="68">
        <f t="shared" si="66"/>
        <v>494.13999999999942</v>
      </c>
      <c r="M670" s="38"/>
      <c r="N670" s="44" t="str">
        <f t="shared" si="81"/>
        <v>MCSOPF2CPF - Desp. Transporte / Combustível</v>
      </c>
      <c r="O670" s="44" t="str">
        <f t="shared" si="82"/>
        <v>OPF2CPF - Desp. Transporte / Combustível</v>
      </c>
      <c r="P670" s="44" t="str">
        <f t="shared" si="83"/>
        <v>MCSOPF2CPF - Desp. Transporte / Combustível</v>
      </c>
      <c r="Q670" s="44" t="str">
        <f t="shared" si="84"/>
        <v>MCSOPF2</v>
      </c>
      <c r="R670" s="44" t="str">
        <f t="shared" si="85"/>
        <v>MCSOPF2</v>
      </c>
      <c r="S670" s="38"/>
      <c r="T670" s="45">
        <f t="shared" si="86"/>
        <v>45870</v>
      </c>
      <c r="U670" s="24" t="str">
        <f t="shared" si="67"/>
        <v/>
      </c>
    </row>
    <row r="671" spans="2:22" s="46" customFormat="1" x14ac:dyDescent="0.25">
      <c r="B671" s="37" t="s">
        <v>25</v>
      </c>
      <c r="C671" s="38"/>
      <c r="D671" s="86" t="str">
        <f>INDEX(Cad_Natureza!$B$3:$C$52,MATCH('2025'!F671,Cad_Natureza!$C$3:$C$52,0),MATCH('2025'!D$2,Cad_Natureza!$B$3:$C$3,0))</f>
        <v>GAST1</v>
      </c>
      <c r="E671" s="84" t="s">
        <v>843</v>
      </c>
      <c r="F671" s="85" t="s">
        <v>742</v>
      </c>
      <c r="G671" s="86" t="s">
        <v>25</v>
      </c>
      <c r="H671" s="87">
        <v>45877</v>
      </c>
      <c r="I671" s="87"/>
      <c r="J671" s="79" t="s">
        <v>185</v>
      </c>
      <c r="K671" s="62">
        <v>-5</v>
      </c>
      <c r="L671" s="68">
        <f t="shared" si="66"/>
        <v>489.13999999999942</v>
      </c>
      <c r="M671" s="38"/>
      <c r="N671" s="44" t="str">
        <f t="shared" si="81"/>
        <v>MCSGAST1CPF - Desp. Lazer e Entretenimento - Bares</v>
      </c>
      <c r="O671" s="44" t="str">
        <f t="shared" si="82"/>
        <v>GAST1CPF - Desp. Lazer e Entretenimento - Bares</v>
      </c>
      <c r="P671" s="44" t="str">
        <f t="shared" si="83"/>
        <v>MCSGAST1CPF - Desp. Lazer e Entretenimento - Bares</v>
      </c>
      <c r="Q671" s="44" t="str">
        <f t="shared" si="84"/>
        <v>MCSGAST1</v>
      </c>
      <c r="R671" s="44" t="str">
        <f t="shared" si="85"/>
        <v>MCSGAST1</v>
      </c>
      <c r="S671" s="38"/>
      <c r="T671" s="45">
        <f t="shared" si="86"/>
        <v>45870</v>
      </c>
      <c r="U671" s="24" t="str">
        <f t="shared" si="67"/>
        <v/>
      </c>
    </row>
    <row r="672" spans="2:22" s="46" customFormat="1" x14ac:dyDescent="0.25">
      <c r="B672" s="37" t="s">
        <v>25</v>
      </c>
      <c r="C672" s="38"/>
      <c r="D672" s="86" t="str">
        <f>INDEX(Cad_Natureza!$B$3:$C$52,MATCH('2025'!F672,Cad_Natureza!$C$3:$C$52,0),MATCH('2025'!D$2,Cad_Natureza!$B$3:$C$3,0))</f>
        <v>GAST1</v>
      </c>
      <c r="E672" s="84" t="s">
        <v>844</v>
      </c>
      <c r="F672" s="85" t="s">
        <v>742</v>
      </c>
      <c r="G672" s="86" t="s">
        <v>25</v>
      </c>
      <c r="H672" s="87">
        <v>45880</v>
      </c>
      <c r="I672" s="87"/>
      <c r="J672" s="79" t="s">
        <v>858</v>
      </c>
      <c r="K672" s="62">
        <v>-25</v>
      </c>
      <c r="L672" s="68">
        <f t="shared" si="66"/>
        <v>464.13999999999942</v>
      </c>
      <c r="M672" s="38"/>
      <c r="N672" s="44" t="str">
        <f t="shared" si="81"/>
        <v>MCSGAST1CPF - Desp. Lazer e Entretenimento - Bares</v>
      </c>
      <c r="O672" s="44" t="str">
        <f t="shared" si="82"/>
        <v>GAST1CPF - Desp. Lazer e Entretenimento - Bares</v>
      </c>
      <c r="P672" s="44" t="str">
        <f t="shared" si="83"/>
        <v>MCSGAST1CPF - Desp. Lazer e Entretenimento - Bares</v>
      </c>
      <c r="Q672" s="44" t="str">
        <f t="shared" si="84"/>
        <v>MCSGAST1</v>
      </c>
      <c r="R672" s="44" t="str">
        <f t="shared" si="85"/>
        <v>MCSGAST1</v>
      </c>
      <c r="S672" s="38"/>
      <c r="T672" s="45">
        <f t="shared" si="86"/>
        <v>45870</v>
      </c>
      <c r="U672" s="24" t="str">
        <f t="shared" si="67"/>
        <v/>
      </c>
    </row>
    <row r="673" spans="2:21" s="46" customFormat="1" x14ac:dyDescent="0.25">
      <c r="B673" s="37" t="s">
        <v>25</v>
      </c>
      <c r="C673" s="38"/>
      <c r="D673" s="86" t="str">
        <f>INDEX(Cad_Natureza!$B$3:$C$52,MATCH('2025'!F673,Cad_Natureza!$C$3:$C$52,0),MATCH('2025'!D$2,Cad_Natureza!$B$3:$C$3,0))</f>
        <v>GAST1</v>
      </c>
      <c r="E673" s="84" t="s">
        <v>844</v>
      </c>
      <c r="F673" s="85" t="s">
        <v>742</v>
      </c>
      <c r="G673" s="86" t="s">
        <v>25</v>
      </c>
      <c r="H673" s="87">
        <v>45880</v>
      </c>
      <c r="I673" s="87"/>
      <c r="J673" s="79" t="s">
        <v>858</v>
      </c>
      <c r="K673" s="62">
        <v>-18</v>
      </c>
      <c r="L673" s="68">
        <f t="shared" si="66"/>
        <v>446.13999999999942</v>
      </c>
      <c r="M673" s="38"/>
      <c r="N673" s="44" t="str">
        <f t="shared" si="81"/>
        <v>MCSGAST1CPF - Desp. Lazer e Entretenimento - Bares</v>
      </c>
      <c r="O673" s="44" t="str">
        <f t="shared" si="82"/>
        <v>GAST1CPF - Desp. Lazer e Entretenimento - Bares</v>
      </c>
      <c r="P673" s="44" t="str">
        <f t="shared" si="83"/>
        <v>MCSGAST1CPF - Desp. Lazer e Entretenimento - Bares</v>
      </c>
      <c r="Q673" s="44" t="str">
        <f t="shared" si="84"/>
        <v>MCSGAST1</v>
      </c>
      <c r="R673" s="44" t="str">
        <f t="shared" si="85"/>
        <v>MCSGAST1</v>
      </c>
      <c r="S673" s="38"/>
      <c r="T673" s="45">
        <f t="shared" si="86"/>
        <v>45870</v>
      </c>
      <c r="U673" s="24" t="str">
        <f t="shared" si="67"/>
        <v/>
      </c>
    </row>
    <row r="674" spans="2:21" s="46" customFormat="1" x14ac:dyDescent="0.25">
      <c r="B674" s="37" t="s">
        <v>25</v>
      </c>
      <c r="C674" s="38"/>
      <c r="D674" s="86" t="str">
        <f>INDEX(Cad_Natureza!$B$3:$C$52,MATCH('2025'!F674,Cad_Natureza!$C$3:$C$52,0),MATCH('2025'!D$2,Cad_Natureza!$B$3:$C$3,0))</f>
        <v>GAST1</v>
      </c>
      <c r="E674" s="84" t="s">
        <v>845</v>
      </c>
      <c r="F674" s="85" t="s">
        <v>742</v>
      </c>
      <c r="G674" s="86" t="s">
        <v>25</v>
      </c>
      <c r="H674" s="87">
        <v>45880</v>
      </c>
      <c r="I674" s="87"/>
      <c r="J674" s="79"/>
      <c r="K674" s="62">
        <v>-18</v>
      </c>
      <c r="L674" s="68">
        <f t="shared" si="66"/>
        <v>428.13999999999942</v>
      </c>
      <c r="M674" s="38"/>
      <c r="N674" s="44" t="str">
        <f t="shared" si="81"/>
        <v>MCSGAST1CPF - Desp. Lazer e Entretenimento - Bares</v>
      </c>
      <c r="O674" s="44" t="str">
        <f t="shared" si="82"/>
        <v>GAST1CPF - Desp. Lazer e Entretenimento - Bares</v>
      </c>
      <c r="P674" s="44" t="str">
        <f t="shared" si="83"/>
        <v>MCSGAST1CPF - Desp. Lazer e Entretenimento - Bares</v>
      </c>
      <c r="Q674" s="44" t="str">
        <f t="shared" si="84"/>
        <v>MCSGAST1</v>
      </c>
      <c r="R674" s="44" t="str">
        <f t="shared" si="85"/>
        <v>MCSGAST1</v>
      </c>
      <c r="S674" s="38"/>
      <c r="T674" s="45">
        <f t="shared" si="86"/>
        <v>45870</v>
      </c>
      <c r="U674" s="24" t="str">
        <f t="shared" si="67"/>
        <v/>
      </c>
    </row>
    <row r="675" spans="2:21" s="46" customFormat="1" x14ac:dyDescent="0.25">
      <c r="B675" s="37" t="s">
        <v>25</v>
      </c>
      <c r="C675" s="38"/>
      <c r="D675" s="86" t="str">
        <f>INDEX(Cad_Natureza!$B$3:$C$52,MATCH('2025'!F675,Cad_Natureza!$C$3:$C$52,0),MATCH('2025'!D$2,Cad_Natureza!$B$3:$C$3,0))</f>
        <v>OPF2</v>
      </c>
      <c r="E675" s="84" t="s">
        <v>846</v>
      </c>
      <c r="F675" s="85" t="s">
        <v>741</v>
      </c>
      <c r="G675" s="86" t="s">
        <v>25</v>
      </c>
      <c r="H675" s="87">
        <v>45880</v>
      </c>
      <c r="I675" s="87"/>
      <c r="J675" s="79" t="s">
        <v>674</v>
      </c>
      <c r="K675" s="62">
        <v>-50</v>
      </c>
      <c r="L675" s="68">
        <f t="shared" si="66"/>
        <v>378.13999999999942</v>
      </c>
      <c r="M675" s="38"/>
      <c r="N675" s="44" t="str">
        <f t="shared" si="81"/>
        <v>MCSOPF2CPF - Desp. Transporte / Combustível</v>
      </c>
      <c r="O675" s="44" t="str">
        <f t="shared" si="82"/>
        <v>OPF2CPF - Desp. Transporte / Combustível</v>
      </c>
      <c r="P675" s="44" t="str">
        <f t="shared" si="83"/>
        <v>MCSOPF2CPF - Desp. Transporte / Combustível</v>
      </c>
      <c r="Q675" s="44" t="str">
        <f t="shared" si="84"/>
        <v>MCSOPF2</v>
      </c>
      <c r="R675" s="44" t="str">
        <f t="shared" si="85"/>
        <v>MCSOPF2</v>
      </c>
      <c r="S675" s="38"/>
      <c r="T675" s="45">
        <f t="shared" si="86"/>
        <v>45870</v>
      </c>
      <c r="U675" s="24" t="str">
        <f t="shared" si="67"/>
        <v/>
      </c>
    </row>
    <row r="676" spans="2:21" s="46" customFormat="1" x14ac:dyDescent="0.25">
      <c r="B676" s="37" t="s">
        <v>25</v>
      </c>
      <c r="C676" s="38"/>
      <c r="D676" s="86" t="str">
        <f>INDEX(Cad_Natureza!$B$3:$C$52,MATCH('2025'!F676,Cad_Natureza!$C$3:$C$52,0),MATCH('2025'!D$2,Cad_Natureza!$B$3:$C$3,0))</f>
        <v>GAST1</v>
      </c>
      <c r="E676" s="84" t="s">
        <v>856</v>
      </c>
      <c r="F676" s="85" t="s">
        <v>742</v>
      </c>
      <c r="G676" s="86" t="s">
        <v>25</v>
      </c>
      <c r="H676" s="87">
        <v>45880</v>
      </c>
      <c r="I676" s="87"/>
      <c r="J676" s="79" t="s">
        <v>857</v>
      </c>
      <c r="K676" s="62">
        <v>-15</v>
      </c>
      <c r="L676" s="68">
        <f t="shared" si="66"/>
        <v>363.13999999999942</v>
      </c>
      <c r="M676" s="38"/>
      <c r="N676" s="44" t="str">
        <f t="shared" si="81"/>
        <v>MCSGAST1CPF - Desp. Lazer e Entretenimento - Bares</v>
      </c>
      <c r="O676" s="44" t="str">
        <f t="shared" si="82"/>
        <v>GAST1CPF - Desp. Lazer e Entretenimento - Bares</v>
      </c>
      <c r="P676" s="44" t="str">
        <f t="shared" si="83"/>
        <v>MCSGAST1CPF - Desp. Lazer e Entretenimento - Bares</v>
      </c>
      <c r="Q676" s="44" t="str">
        <f t="shared" si="84"/>
        <v>MCSGAST1</v>
      </c>
      <c r="R676" s="44" t="str">
        <f t="shared" si="85"/>
        <v>MCSGAST1</v>
      </c>
      <c r="S676" s="38"/>
      <c r="T676" s="45">
        <f t="shared" si="86"/>
        <v>45870</v>
      </c>
      <c r="U676" s="24" t="str">
        <f t="shared" si="67"/>
        <v/>
      </c>
    </row>
    <row r="677" spans="2:21" s="46" customFormat="1" x14ac:dyDescent="0.25">
      <c r="B677" s="37" t="s">
        <v>25</v>
      </c>
      <c r="C677" s="38"/>
      <c r="D677" s="86" t="str">
        <f>INDEX(Cad_Natureza!$B$3:$C$52,MATCH('2025'!F677,Cad_Natureza!$C$3:$C$52,0),MATCH('2025'!D$2,Cad_Natureza!$B$3:$C$3,0))</f>
        <v>GAST1</v>
      </c>
      <c r="E677" s="84" t="s">
        <v>847</v>
      </c>
      <c r="F677" s="85" t="s">
        <v>742</v>
      </c>
      <c r="G677" s="86" t="s">
        <v>25</v>
      </c>
      <c r="H677" s="87">
        <v>45880</v>
      </c>
      <c r="I677" s="87"/>
      <c r="J677" s="79" t="s">
        <v>936</v>
      </c>
      <c r="K677" s="62">
        <v>-15</v>
      </c>
      <c r="L677" s="68">
        <f t="shared" si="66"/>
        <v>348.13999999999942</v>
      </c>
      <c r="M677" s="38"/>
      <c r="N677" s="44" t="str">
        <f t="shared" si="81"/>
        <v>MCSGAST1CPF - Desp. Lazer e Entretenimento - Bares</v>
      </c>
      <c r="O677" s="44" t="str">
        <f t="shared" si="82"/>
        <v>GAST1CPF - Desp. Lazer e Entretenimento - Bares</v>
      </c>
      <c r="P677" s="44" t="str">
        <f t="shared" si="83"/>
        <v>MCSGAST1CPF - Desp. Lazer e Entretenimento - Bares</v>
      </c>
      <c r="Q677" s="44" t="str">
        <f t="shared" si="84"/>
        <v>MCSGAST1</v>
      </c>
      <c r="R677" s="44" t="str">
        <f t="shared" si="85"/>
        <v>MCSGAST1</v>
      </c>
      <c r="S677" s="38"/>
      <c r="T677" s="45">
        <f t="shared" si="86"/>
        <v>45870</v>
      </c>
      <c r="U677" s="24" t="str">
        <f t="shared" si="67"/>
        <v/>
      </c>
    </row>
    <row r="678" spans="2:21" s="46" customFormat="1" x14ac:dyDescent="0.25">
      <c r="B678" s="37" t="s">
        <v>25</v>
      </c>
      <c r="C678" s="38"/>
      <c r="D678" s="86" t="str">
        <f>INDEX(Cad_Natureza!$B$3:$C$52,MATCH('2025'!F678,Cad_Natureza!$C$3:$C$52,0),MATCH('2025'!D$2,Cad_Natureza!$B$3:$C$3,0))</f>
        <v>OPF1</v>
      </c>
      <c r="E678" s="84" t="s">
        <v>848</v>
      </c>
      <c r="F678" s="85" t="s">
        <v>744</v>
      </c>
      <c r="G678" s="86" t="s">
        <v>25</v>
      </c>
      <c r="H678" s="87">
        <v>45880</v>
      </c>
      <c r="I678" s="87"/>
      <c r="J678" s="79" t="s">
        <v>860</v>
      </c>
      <c r="K678" s="62">
        <v>-29.22</v>
      </c>
      <c r="L678" s="68">
        <f t="shared" si="66"/>
        <v>318.91999999999939</v>
      </c>
      <c r="M678" s="38"/>
      <c r="N678" s="44" t="str">
        <f t="shared" si="81"/>
        <v>MCSOPF1CPF - Desp. Alimentação / Refeição</v>
      </c>
      <c r="O678" s="44" t="str">
        <f t="shared" si="82"/>
        <v>OPF1CPF - Desp. Alimentação / Refeição</v>
      </c>
      <c r="P678" s="44" t="str">
        <f t="shared" si="83"/>
        <v>MCSOPF1CPF - Desp. Alimentação / Refeição</v>
      </c>
      <c r="Q678" s="44" t="str">
        <f t="shared" si="84"/>
        <v>MCSOPF1</v>
      </c>
      <c r="R678" s="44" t="str">
        <f t="shared" si="85"/>
        <v>MCSOPF1</v>
      </c>
      <c r="S678" s="38"/>
      <c r="T678" s="45">
        <f t="shared" si="86"/>
        <v>45870</v>
      </c>
      <c r="U678" s="24" t="str">
        <f t="shared" si="67"/>
        <v/>
      </c>
    </row>
    <row r="679" spans="2:21" s="46" customFormat="1" x14ac:dyDescent="0.25">
      <c r="B679" s="37" t="s">
        <v>25</v>
      </c>
      <c r="C679" s="38"/>
      <c r="D679" s="86" t="str">
        <f>INDEX(Cad_Natureza!$B$3:$C$52,MATCH('2025'!F679,Cad_Natureza!$C$3:$C$52,0),MATCH('2025'!D$2,Cad_Natureza!$B$3:$C$3,0))</f>
        <v>OPF2</v>
      </c>
      <c r="E679" s="84" t="s">
        <v>849</v>
      </c>
      <c r="F679" s="85" t="s">
        <v>741</v>
      </c>
      <c r="G679" s="86" t="s">
        <v>25</v>
      </c>
      <c r="H679" s="87">
        <v>45880</v>
      </c>
      <c r="I679" s="87"/>
      <c r="J679" s="79" t="s">
        <v>674</v>
      </c>
      <c r="K679" s="62">
        <v>-50</v>
      </c>
      <c r="L679" s="68">
        <f t="shared" si="66"/>
        <v>268.91999999999939</v>
      </c>
      <c r="M679" s="38"/>
      <c r="N679" s="44" t="str">
        <f t="shared" si="81"/>
        <v>MCSOPF2CPF - Desp. Transporte / Combustível</v>
      </c>
      <c r="O679" s="44" t="str">
        <f t="shared" si="82"/>
        <v>OPF2CPF - Desp. Transporte / Combustível</v>
      </c>
      <c r="P679" s="44" t="str">
        <f t="shared" si="83"/>
        <v>MCSOPF2CPF - Desp. Transporte / Combustível</v>
      </c>
      <c r="Q679" s="44" t="str">
        <f t="shared" si="84"/>
        <v>MCSOPF2</v>
      </c>
      <c r="R679" s="44" t="str">
        <f t="shared" si="85"/>
        <v>MCSOPF2</v>
      </c>
      <c r="S679" s="38"/>
      <c r="T679" s="45">
        <f t="shared" si="86"/>
        <v>45870</v>
      </c>
      <c r="U679" s="24" t="str">
        <f t="shared" si="67"/>
        <v/>
      </c>
    </row>
    <row r="680" spans="2:21" s="46" customFormat="1" x14ac:dyDescent="0.25">
      <c r="B680" s="37" t="s">
        <v>25</v>
      </c>
      <c r="C680" s="38"/>
      <c r="D680" s="86" t="str">
        <f>INDEX(Cad_Natureza!$B$3:$C$52,MATCH('2025'!F680,Cad_Natureza!$C$3:$C$52,0),MATCH('2025'!D$2,Cad_Natureza!$B$3:$C$3,0))</f>
        <v>DESP5</v>
      </c>
      <c r="E680" s="84" t="s">
        <v>850</v>
      </c>
      <c r="F680" s="85" t="s">
        <v>752</v>
      </c>
      <c r="G680" s="86" t="s">
        <v>25</v>
      </c>
      <c r="H680" s="87">
        <v>45880</v>
      </c>
      <c r="I680" s="87"/>
      <c r="J680" s="79" t="s">
        <v>183</v>
      </c>
      <c r="K680" s="62">
        <v>-268</v>
      </c>
      <c r="L680" s="68">
        <f t="shared" si="66"/>
        <v>0.91999999999939064</v>
      </c>
      <c r="M680" s="38"/>
      <c r="N680" s="44" t="str">
        <f t="shared" si="81"/>
        <v>MCSDESP5CPF - Transf. Da conta PF para a conta PJ</v>
      </c>
      <c r="O680" s="44" t="str">
        <f t="shared" si="82"/>
        <v>DESP5CPF - Transf. Da conta PF para a conta PJ</v>
      </c>
      <c r="P680" s="44" t="str">
        <f t="shared" si="83"/>
        <v>MCSDESP5CPF - Transf. Da conta PF para a conta PJ</v>
      </c>
      <c r="Q680" s="44" t="str">
        <f t="shared" si="84"/>
        <v>MCSDESP5</v>
      </c>
      <c r="R680" s="44" t="str">
        <f t="shared" si="85"/>
        <v>MCSDESP5</v>
      </c>
      <c r="S680" s="38"/>
      <c r="T680" s="45">
        <f t="shared" si="86"/>
        <v>45870</v>
      </c>
      <c r="U680" s="24" t="str">
        <f t="shared" si="67"/>
        <v/>
      </c>
    </row>
    <row r="681" spans="2:21" s="46" customFormat="1" x14ac:dyDescent="0.25">
      <c r="B681" s="37" t="s">
        <v>25</v>
      </c>
      <c r="C681" s="38"/>
      <c r="D681" s="86" t="str">
        <f>INDEX(Cad_Natureza!$B$3:$C$52,MATCH('2025'!F681,Cad_Natureza!$C$3:$C$52,0),MATCH('2025'!D$2,Cad_Natureza!$B$3:$C$3,0))</f>
        <v>GAST2</v>
      </c>
      <c r="E681" s="84" t="s">
        <v>851</v>
      </c>
      <c r="F681" s="85" t="s">
        <v>743</v>
      </c>
      <c r="G681" s="86" t="s">
        <v>25</v>
      </c>
      <c r="H681" s="87">
        <v>45880</v>
      </c>
      <c r="I681" s="87"/>
      <c r="J681" s="79" t="s">
        <v>180</v>
      </c>
      <c r="K681" s="62">
        <v>-5</v>
      </c>
      <c r="L681" s="62">
        <f t="shared" si="66"/>
        <v>-4.0800000000006094</v>
      </c>
      <c r="M681" s="38"/>
      <c r="N681" s="44" t="str">
        <f t="shared" si="81"/>
        <v>MCSGAST2CPF - Desp. Lazer e Entretenimento - Cigarro</v>
      </c>
      <c r="O681" s="44" t="str">
        <f t="shared" si="82"/>
        <v>GAST2CPF - Desp. Lazer e Entretenimento - Cigarro</v>
      </c>
      <c r="P681" s="44" t="str">
        <f t="shared" si="83"/>
        <v>MCSGAST2CPF - Desp. Lazer e Entretenimento - Cigarro</v>
      </c>
      <c r="Q681" s="44" t="str">
        <f t="shared" si="84"/>
        <v>MCSGAST2</v>
      </c>
      <c r="R681" s="44" t="str">
        <f t="shared" si="85"/>
        <v>MCSGAST2</v>
      </c>
      <c r="S681" s="38"/>
      <c r="T681" s="45">
        <f t="shared" si="86"/>
        <v>45870</v>
      </c>
      <c r="U681" s="24" t="str">
        <f t="shared" si="67"/>
        <v/>
      </c>
    </row>
    <row r="682" spans="2:21" s="46" customFormat="1" x14ac:dyDescent="0.25">
      <c r="B682" s="37" t="s">
        <v>25</v>
      </c>
      <c r="C682" s="38"/>
      <c r="D682" s="86" t="str">
        <f>INDEX(Cad_Natureza!$B$3:$C$52,MATCH('2025'!F682,Cad_Natureza!$C$3:$C$52,0),MATCH('2025'!D$2,Cad_Natureza!$B$3:$C$3,0))</f>
        <v>GAST1</v>
      </c>
      <c r="E682" s="84" t="s">
        <v>852</v>
      </c>
      <c r="F682" s="85" t="s">
        <v>742</v>
      </c>
      <c r="G682" s="86" t="s">
        <v>25</v>
      </c>
      <c r="H682" s="87">
        <v>45880</v>
      </c>
      <c r="I682" s="87"/>
      <c r="J682" s="79" t="s">
        <v>185</v>
      </c>
      <c r="K682" s="62">
        <v>-5</v>
      </c>
      <c r="L682" s="62">
        <f t="shared" si="66"/>
        <v>-9.0800000000006094</v>
      </c>
      <c r="M682" s="38"/>
      <c r="N682" s="44" t="str">
        <f t="shared" si="81"/>
        <v>MCSGAST1CPF - Desp. Lazer e Entretenimento - Bares</v>
      </c>
      <c r="O682" s="44" t="str">
        <f t="shared" si="82"/>
        <v>GAST1CPF - Desp. Lazer e Entretenimento - Bares</v>
      </c>
      <c r="P682" s="44" t="str">
        <f t="shared" si="83"/>
        <v>MCSGAST1CPF - Desp. Lazer e Entretenimento - Bares</v>
      </c>
      <c r="Q682" s="44" t="str">
        <f t="shared" si="84"/>
        <v>MCSGAST1</v>
      </c>
      <c r="R682" s="44" t="str">
        <f t="shared" si="85"/>
        <v>MCSGAST1</v>
      </c>
      <c r="S682" s="38"/>
      <c r="T682" s="45">
        <f t="shared" si="86"/>
        <v>45870</v>
      </c>
      <c r="U682" s="24" t="str">
        <f t="shared" si="67"/>
        <v/>
      </c>
    </row>
    <row r="683" spans="2:21" s="46" customFormat="1" x14ac:dyDescent="0.25">
      <c r="B683" s="37" t="s">
        <v>25</v>
      </c>
      <c r="C683" s="38"/>
      <c r="D683" s="86" t="str">
        <f>INDEX(Cad_Natureza!$B$3:$C$52,MATCH('2025'!F683,Cad_Natureza!$C$3:$C$52,0),MATCH('2025'!D$2,Cad_Natureza!$B$3:$C$3,0))</f>
        <v>GAST1</v>
      </c>
      <c r="E683" s="84" t="s">
        <v>853</v>
      </c>
      <c r="F683" s="85" t="s">
        <v>742</v>
      </c>
      <c r="G683" s="86" t="s">
        <v>25</v>
      </c>
      <c r="H683" s="87">
        <v>45881</v>
      </c>
      <c r="I683" s="87"/>
      <c r="J683" s="79" t="s">
        <v>185</v>
      </c>
      <c r="K683" s="62">
        <v>-9</v>
      </c>
      <c r="L683" s="62">
        <f t="shared" si="66"/>
        <v>-18.080000000000609</v>
      </c>
      <c r="M683" s="38"/>
      <c r="N683" s="44" t="str">
        <f t="shared" si="81"/>
        <v>MCSGAST1CPF - Desp. Lazer e Entretenimento - Bares</v>
      </c>
      <c r="O683" s="44" t="str">
        <f t="shared" si="82"/>
        <v>GAST1CPF - Desp. Lazer e Entretenimento - Bares</v>
      </c>
      <c r="P683" s="44" t="str">
        <f t="shared" si="83"/>
        <v>MCSGAST1CPF - Desp. Lazer e Entretenimento - Bares</v>
      </c>
      <c r="Q683" s="44" t="str">
        <f t="shared" si="84"/>
        <v>MCSGAST1</v>
      </c>
      <c r="R683" s="44" t="str">
        <f t="shared" si="85"/>
        <v>MCSGAST1</v>
      </c>
      <c r="S683" s="38"/>
      <c r="T683" s="45">
        <f t="shared" si="86"/>
        <v>45870</v>
      </c>
      <c r="U683" s="24" t="str">
        <f t="shared" si="67"/>
        <v/>
      </c>
    </row>
    <row r="684" spans="2:21" s="46" customFormat="1" x14ac:dyDescent="0.25">
      <c r="B684" s="37" t="s">
        <v>25</v>
      </c>
      <c r="C684" s="38"/>
      <c r="D684" s="86" t="str">
        <f>INDEX(Cad_Natureza!$B$3:$C$52,MATCH('2025'!F684,Cad_Natureza!$C$3:$C$52,0),MATCH('2025'!D$2,Cad_Natureza!$B$3:$C$3,0))</f>
        <v>FIN3</v>
      </c>
      <c r="E684" s="84" t="s">
        <v>680</v>
      </c>
      <c r="F684" s="85" t="s">
        <v>939</v>
      </c>
      <c r="G684" s="86" t="s">
        <v>25</v>
      </c>
      <c r="H684" s="87">
        <v>45882</v>
      </c>
      <c r="I684" s="87"/>
      <c r="J684" s="79" t="s">
        <v>859</v>
      </c>
      <c r="K684" s="62">
        <v>-31.92</v>
      </c>
      <c r="L684" s="62">
        <f t="shared" si="66"/>
        <v>-50.000000000000611</v>
      </c>
      <c r="M684" s="38"/>
      <c r="N684" s="44" t="str">
        <f t="shared" si="81"/>
        <v>MCSFIN3CPF - Desp. Financeiras - Empréstimos bancários</v>
      </c>
      <c r="O684" s="44" t="str">
        <f t="shared" si="82"/>
        <v>FIN3CPF - Desp. Financeiras - Empréstimos bancários</v>
      </c>
      <c r="P684" s="44" t="str">
        <f t="shared" si="83"/>
        <v>MCSFIN3CPF - Desp. Financeiras - Empréstimos bancários</v>
      </c>
      <c r="Q684" s="44" t="str">
        <f t="shared" si="84"/>
        <v>MCSFIN3</v>
      </c>
      <c r="R684" s="44" t="str">
        <f t="shared" si="85"/>
        <v>MCSFIN3</v>
      </c>
      <c r="S684" s="38"/>
      <c r="T684" s="45">
        <f t="shared" si="86"/>
        <v>45870</v>
      </c>
      <c r="U684" s="24" t="str">
        <f t="shared" si="67"/>
        <v/>
      </c>
    </row>
    <row r="685" spans="2:21" s="46" customFormat="1" x14ac:dyDescent="0.25">
      <c r="B685" s="37" t="s">
        <v>25</v>
      </c>
      <c r="C685" s="38"/>
      <c r="D685" s="86" t="str">
        <f>INDEX(Cad_Natureza!$B$3:$C$52,MATCH('2025'!F685,Cad_Natureza!$C$3:$C$52,0),MATCH('2025'!D$2,Cad_Natureza!$B$3:$C$3,0))</f>
        <v>FIN2</v>
      </c>
      <c r="E685" s="84" t="s">
        <v>228</v>
      </c>
      <c r="F685" s="85" t="s">
        <v>751</v>
      </c>
      <c r="G685" s="86" t="s">
        <v>25</v>
      </c>
      <c r="H685" s="87">
        <v>45889</v>
      </c>
      <c r="I685" s="87"/>
      <c r="J685" s="79" t="s">
        <v>868</v>
      </c>
      <c r="K685" s="62">
        <v>-1</v>
      </c>
      <c r="L685" s="80">
        <f t="shared" si="66"/>
        <v>-51.000000000000611</v>
      </c>
      <c r="M685" s="38"/>
      <c r="N685" s="44" t="str">
        <f t="shared" si="75"/>
        <v>MCSFIN2CPF - Desp. Financeiras - Juros / Tarifas</v>
      </c>
      <c r="O685" s="44" t="str">
        <f t="shared" si="76"/>
        <v>FIN2CPF - Desp. Financeiras - Juros / Tarifas</v>
      </c>
      <c r="P685" s="44" t="str">
        <f t="shared" si="77"/>
        <v>MCSFIN2CPF - Desp. Financeiras - Juros / Tarifas</v>
      </c>
      <c r="Q685" s="44" t="str">
        <f t="shared" si="78"/>
        <v>MCSFIN2</v>
      </c>
      <c r="R685" s="44" t="str">
        <f t="shared" si="79"/>
        <v>MCSFIN2</v>
      </c>
      <c r="S685" s="38"/>
      <c r="T685" s="45">
        <f t="shared" si="80"/>
        <v>45870</v>
      </c>
      <c r="U685" s="24" t="str">
        <f t="shared" si="67"/>
        <v/>
      </c>
    </row>
    <row r="686" spans="2:21" s="46" customFormat="1" x14ac:dyDescent="0.25">
      <c r="B686" s="37" t="s">
        <v>25</v>
      </c>
      <c r="C686" s="38"/>
      <c r="D686" s="86" t="str">
        <f>INDEX(Cad_Natureza!$B$3:$C$52,MATCH('2025'!F686,Cad_Natureza!$C$3:$C$52,0),MATCH('2025'!D$2,Cad_Natureza!$B$3:$C$3,0))</f>
        <v>TRI1</v>
      </c>
      <c r="E686" s="84" t="s">
        <v>40</v>
      </c>
      <c r="F686" s="85" t="s">
        <v>35</v>
      </c>
      <c r="G686" s="86" t="s">
        <v>25</v>
      </c>
      <c r="H686" s="87">
        <v>45902</v>
      </c>
      <c r="I686" s="87"/>
      <c r="J686" s="79" t="s">
        <v>189</v>
      </c>
      <c r="K686" s="62">
        <v>-0.27</v>
      </c>
      <c r="L686" s="80">
        <f t="shared" si="66"/>
        <v>-51.270000000000614</v>
      </c>
      <c r="M686" s="38"/>
      <c r="N686" s="44" t="str">
        <f t="shared" si="75"/>
        <v>MCSTRI1CPF - Desp. Impostos e Obrigações</v>
      </c>
      <c r="O686" s="44" t="str">
        <f t="shared" si="76"/>
        <v>TRI1CPF - Desp. Impostos e Obrigações</v>
      </c>
      <c r="P686" s="44" t="str">
        <f t="shared" si="77"/>
        <v>MCSTRI1CPF - Desp. Impostos e Obrigações</v>
      </c>
      <c r="Q686" s="44" t="str">
        <f t="shared" si="78"/>
        <v>MCSTRI1</v>
      </c>
      <c r="R686" s="44" t="str">
        <f t="shared" si="79"/>
        <v>MCSTRI1</v>
      </c>
      <c r="S686" s="38"/>
      <c r="T686" s="45">
        <f t="shared" si="80"/>
        <v>45901</v>
      </c>
      <c r="U686" s="24" t="str">
        <f t="shared" si="67"/>
        <v/>
      </c>
    </row>
    <row r="687" spans="2:21" s="46" customFormat="1" x14ac:dyDescent="0.25">
      <c r="B687" s="37" t="s">
        <v>25</v>
      </c>
      <c r="C687" s="38"/>
      <c r="D687" s="63" t="str">
        <f>INDEX(Cad_Natureza!$B$3:$C$52,MATCH('2025'!F687,Cad_Natureza!$C$3:$C$52,0),MATCH('2025'!D$2,Cad_Natureza!$B$3:$C$3,0))</f>
        <v>REC5</v>
      </c>
      <c r="E687" s="64" t="s">
        <v>870</v>
      </c>
      <c r="F687" s="65" t="s">
        <v>740</v>
      </c>
      <c r="G687" s="63" t="s">
        <v>25</v>
      </c>
      <c r="H687" s="66">
        <v>45912</v>
      </c>
      <c r="I687" s="66"/>
      <c r="J687" s="67" t="s">
        <v>878</v>
      </c>
      <c r="K687" s="68">
        <v>135.47</v>
      </c>
      <c r="L687" s="68">
        <f t="shared" si="66"/>
        <v>84.199999999999392</v>
      </c>
      <c r="M687" s="38"/>
      <c r="N687" s="44" t="str">
        <f t="shared" si="75"/>
        <v>MCSREC5CPF - Outras receitas</v>
      </c>
      <c r="O687" s="44" t="str">
        <f t="shared" si="76"/>
        <v>REC5CPF - Outras receitas</v>
      </c>
      <c r="P687" s="44" t="str">
        <f t="shared" si="77"/>
        <v>MCSREC5CPF - Outras receitas</v>
      </c>
      <c r="Q687" s="44" t="str">
        <f t="shared" si="78"/>
        <v>MCSREC5</v>
      </c>
      <c r="R687" s="44" t="str">
        <f t="shared" si="79"/>
        <v>MCSREC5</v>
      </c>
      <c r="S687" s="38"/>
      <c r="T687" s="45">
        <f t="shared" si="80"/>
        <v>45901</v>
      </c>
      <c r="U687" s="24" t="str">
        <f t="shared" si="67"/>
        <v/>
      </c>
    </row>
    <row r="688" spans="2:21" s="46" customFormat="1" x14ac:dyDescent="0.25">
      <c r="B688" s="37" t="s">
        <v>25</v>
      </c>
      <c r="C688" s="38"/>
      <c r="D688" s="86" t="str">
        <f>INDEX(Cad_Natureza!$B$3:$C$52,MATCH('2025'!F688,Cad_Natureza!$C$3:$C$52,0),MATCH('2025'!D$2,Cad_Natureza!$B$3:$C$3,0))</f>
        <v>FIN3</v>
      </c>
      <c r="E688" s="84" t="s">
        <v>680</v>
      </c>
      <c r="F688" s="85" t="s">
        <v>939</v>
      </c>
      <c r="G688" s="86" t="s">
        <v>25</v>
      </c>
      <c r="H688" s="87">
        <v>45912</v>
      </c>
      <c r="I688" s="87"/>
      <c r="J688" s="79" t="s">
        <v>572</v>
      </c>
      <c r="K688" s="62">
        <v>-134.19999999999999</v>
      </c>
      <c r="L688" s="80">
        <f t="shared" si="66"/>
        <v>-50.000000000000597</v>
      </c>
      <c r="M688" s="38"/>
      <c r="N688" s="44" t="str">
        <f t="shared" si="75"/>
        <v>MCSFIN3CPF - Desp. Financeiras - Empréstimos bancários</v>
      </c>
      <c r="O688" s="44" t="str">
        <f t="shared" si="76"/>
        <v>FIN3CPF - Desp. Financeiras - Empréstimos bancários</v>
      </c>
      <c r="P688" s="44" t="str">
        <f t="shared" si="77"/>
        <v>MCSFIN3CPF - Desp. Financeiras - Empréstimos bancários</v>
      </c>
      <c r="Q688" s="44" t="str">
        <f t="shared" si="78"/>
        <v>MCSFIN3</v>
      </c>
      <c r="R688" s="44" t="str">
        <f t="shared" si="79"/>
        <v>MCSFIN3</v>
      </c>
      <c r="S688" s="38"/>
      <c r="T688" s="45">
        <f t="shared" si="80"/>
        <v>45901</v>
      </c>
      <c r="U688" s="24" t="str">
        <f t="shared" si="67"/>
        <v/>
      </c>
    </row>
    <row r="689" spans="2:21" s="46" customFormat="1" x14ac:dyDescent="0.25">
      <c r="B689" s="37" t="s">
        <v>25</v>
      </c>
      <c r="C689" s="38"/>
      <c r="D689" s="63" t="str">
        <f>INDEX(Cad_Natureza!$B$3:$C$52,MATCH('2025'!F689,Cad_Natureza!$C$3:$C$52,0),MATCH('2025'!D$2,Cad_Natureza!$B$3:$C$3,0))</f>
        <v>DESP2</v>
      </c>
      <c r="E689" s="64" t="s">
        <v>871</v>
      </c>
      <c r="F689" s="65" t="s">
        <v>739</v>
      </c>
      <c r="G689" s="63" t="s">
        <v>25</v>
      </c>
      <c r="H689" s="66">
        <v>45915</v>
      </c>
      <c r="I689" s="66"/>
      <c r="J689" s="67" t="s">
        <v>355</v>
      </c>
      <c r="K689" s="68">
        <v>127.86</v>
      </c>
      <c r="L689" s="68">
        <f t="shared" si="66"/>
        <v>77.859999999999403</v>
      </c>
      <c r="M689" s="38"/>
      <c r="N689" s="44" t="str">
        <f t="shared" si="75"/>
        <v>MCSDESP2CPF - Desp. Telefone / Internet</v>
      </c>
      <c r="O689" s="44" t="str">
        <f t="shared" si="76"/>
        <v>DESP2CPF - Desp. Telefone / Internet</v>
      </c>
      <c r="P689" s="44" t="str">
        <f t="shared" si="77"/>
        <v>MCSDESP2CPF - Desp. Telefone / Internet</v>
      </c>
      <c r="Q689" s="44" t="str">
        <f t="shared" si="78"/>
        <v>MCSDESP2</v>
      </c>
      <c r="R689" s="44" t="str">
        <f t="shared" si="79"/>
        <v>MCSDESP2</v>
      </c>
      <c r="S689" s="38"/>
      <c r="T689" s="45">
        <f t="shared" si="80"/>
        <v>45901</v>
      </c>
      <c r="U689" s="24" t="str">
        <f t="shared" si="67"/>
        <v/>
      </c>
    </row>
    <row r="690" spans="2:21" s="46" customFormat="1" x14ac:dyDescent="0.25">
      <c r="B690" s="37" t="s">
        <v>25</v>
      </c>
      <c r="C690" s="38"/>
      <c r="D690" s="86" t="str">
        <f>INDEX(Cad_Natureza!$B$3:$C$52,MATCH('2025'!F690,Cad_Natureza!$C$3:$C$52,0),MATCH('2025'!D$2,Cad_Natureza!$B$3:$C$3,0))</f>
        <v>DESP2</v>
      </c>
      <c r="E690" s="84" t="s">
        <v>872</v>
      </c>
      <c r="F690" s="85" t="s">
        <v>739</v>
      </c>
      <c r="G690" s="86" t="s">
        <v>25</v>
      </c>
      <c r="H690" s="87">
        <v>45915</v>
      </c>
      <c r="I690" s="87"/>
      <c r="J690" s="79" t="s">
        <v>355</v>
      </c>
      <c r="K690" s="62">
        <v>-127.86</v>
      </c>
      <c r="L690" s="80">
        <f t="shared" si="66"/>
        <v>-50.000000000000597</v>
      </c>
      <c r="M690" s="38"/>
      <c r="N690" s="44" t="str">
        <f t="shared" si="75"/>
        <v>MCSDESP2CPF - Desp. Telefone / Internet</v>
      </c>
      <c r="O690" s="44" t="str">
        <f t="shared" si="76"/>
        <v>DESP2CPF - Desp. Telefone / Internet</v>
      </c>
      <c r="P690" s="44" t="str">
        <f t="shared" si="77"/>
        <v>MCSDESP2CPF - Desp. Telefone / Internet</v>
      </c>
      <c r="Q690" s="44" t="str">
        <f t="shared" si="78"/>
        <v>MCSDESP2</v>
      </c>
      <c r="R690" s="44" t="str">
        <f t="shared" si="79"/>
        <v>MCSDESP2</v>
      </c>
      <c r="S690" s="38"/>
      <c r="T690" s="45">
        <f t="shared" si="80"/>
        <v>45901</v>
      </c>
      <c r="U690" s="24" t="str">
        <f t="shared" si="67"/>
        <v/>
      </c>
    </row>
    <row r="691" spans="2:21" s="46" customFormat="1" x14ac:dyDescent="0.25">
      <c r="B691" s="37" t="s">
        <v>25</v>
      </c>
      <c r="C691" s="38"/>
      <c r="D691" s="86" t="str">
        <f>INDEX(Cad_Natureza!$B$3:$C$52,MATCH('2025'!F691,Cad_Natureza!$C$3:$C$52,0),MATCH('2025'!D$2,Cad_Natureza!$B$3:$C$3,0))</f>
        <v>FIN1</v>
      </c>
      <c r="E691" s="84" t="s">
        <v>45</v>
      </c>
      <c r="F691" s="85" t="s">
        <v>713</v>
      </c>
      <c r="G691" s="86" t="s">
        <v>25</v>
      </c>
      <c r="H691" s="87">
        <v>45922</v>
      </c>
      <c r="I691" s="87"/>
      <c r="J691" s="79" t="s">
        <v>868</v>
      </c>
      <c r="K691" s="62">
        <v>-3.99</v>
      </c>
      <c r="L691" s="80">
        <f t="shared" si="66"/>
        <v>-53.990000000000599</v>
      </c>
      <c r="M691" s="38"/>
      <c r="N691" s="44" t="str">
        <f t="shared" si="75"/>
        <v>MCSFIN1CPF - Desp. Financeiras - Empréstimos</v>
      </c>
      <c r="O691" s="44" t="str">
        <f t="shared" si="76"/>
        <v>FIN1CPF - Desp. Financeiras - Empréstimos</v>
      </c>
      <c r="P691" s="44" t="str">
        <f t="shared" si="77"/>
        <v>MCSFIN1CPF - Desp. Financeiras - Empréstimos</v>
      </c>
      <c r="Q691" s="44" t="str">
        <f t="shared" si="78"/>
        <v>MCSFIN1</v>
      </c>
      <c r="R691" s="44" t="str">
        <f t="shared" si="79"/>
        <v>MCSFIN1</v>
      </c>
      <c r="S691" s="38"/>
      <c r="T691" s="45">
        <f t="shared" si="80"/>
        <v>45901</v>
      </c>
      <c r="U691" s="24" t="str">
        <f t="shared" si="67"/>
        <v/>
      </c>
    </row>
    <row r="692" spans="2:21" s="46" customFormat="1" x14ac:dyDescent="0.25">
      <c r="B692" s="37" t="s">
        <v>25</v>
      </c>
      <c r="C692" s="38"/>
      <c r="D692" s="63" t="str">
        <f>INDEX(Cad_Natureza!$B$3:$C$52,MATCH('2025'!F692,Cad_Natureza!$C$3:$C$52,0),MATCH('2025'!D$2,Cad_Natureza!$B$3:$C$3,0))</f>
        <v>REC5</v>
      </c>
      <c r="E692" s="64" t="s">
        <v>873</v>
      </c>
      <c r="F692" s="65" t="s">
        <v>740</v>
      </c>
      <c r="G692" s="63" t="s">
        <v>25</v>
      </c>
      <c r="H692" s="66">
        <v>45926</v>
      </c>
      <c r="I692" s="66"/>
      <c r="J692" s="67" t="s">
        <v>877</v>
      </c>
      <c r="K692" s="68">
        <v>533.33000000000004</v>
      </c>
      <c r="L692" s="68">
        <f t="shared" si="66"/>
        <v>479.33999999999946</v>
      </c>
      <c r="M692" s="38"/>
      <c r="N692" s="44" t="str">
        <f t="shared" si="75"/>
        <v>MCSREC5CPF - Outras receitas</v>
      </c>
      <c r="O692" s="44" t="str">
        <f t="shared" si="76"/>
        <v>REC5CPF - Outras receitas</v>
      </c>
      <c r="P692" s="44" t="str">
        <f t="shared" si="77"/>
        <v>MCSREC5CPF - Outras receitas</v>
      </c>
      <c r="Q692" s="44" t="str">
        <f t="shared" si="78"/>
        <v>MCSREC5</v>
      </c>
      <c r="R692" s="44" t="str">
        <f t="shared" si="79"/>
        <v>MCSREC5</v>
      </c>
      <c r="S692" s="38"/>
      <c r="T692" s="45">
        <f t="shared" si="80"/>
        <v>45901</v>
      </c>
      <c r="U692" s="24" t="str">
        <f t="shared" si="67"/>
        <v/>
      </c>
    </row>
    <row r="693" spans="2:21" s="46" customFormat="1" x14ac:dyDescent="0.25">
      <c r="B693" s="37" t="s">
        <v>25</v>
      </c>
      <c r="C693" s="38"/>
      <c r="D693" s="86" t="str">
        <f>INDEX(Cad_Natureza!$B$3:$C$52,MATCH('2025'!F693,Cad_Natureza!$C$3:$C$52,0),MATCH('2025'!D$2,Cad_Natureza!$B$3:$C$3,0))</f>
        <v>FIN3</v>
      </c>
      <c r="E693" s="84" t="s">
        <v>680</v>
      </c>
      <c r="F693" s="85" t="s">
        <v>939</v>
      </c>
      <c r="G693" s="86" t="s">
        <v>25</v>
      </c>
      <c r="H693" s="87">
        <v>45926</v>
      </c>
      <c r="I693" s="87"/>
      <c r="J693" s="79" t="s">
        <v>572</v>
      </c>
      <c r="K693" s="62">
        <v>-420.3</v>
      </c>
      <c r="L693" s="68">
        <f t="shared" si="66"/>
        <v>59.039999999999452</v>
      </c>
      <c r="M693" s="38"/>
      <c r="N693" s="44" t="str">
        <f t="shared" si="75"/>
        <v>MCSFIN3CPF - Desp. Financeiras - Empréstimos bancários</v>
      </c>
      <c r="O693" s="44" t="str">
        <f t="shared" si="76"/>
        <v>FIN3CPF - Desp. Financeiras - Empréstimos bancários</v>
      </c>
      <c r="P693" s="44" t="str">
        <f t="shared" si="77"/>
        <v>MCSFIN3CPF - Desp. Financeiras - Empréstimos bancários</v>
      </c>
      <c r="Q693" s="44" t="str">
        <f t="shared" si="78"/>
        <v>MCSFIN3</v>
      </c>
      <c r="R693" s="44" t="str">
        <f t="shared" si="79"/>
        <v>MCSFIN3</v>
      </c>
      <c r="S693" s="38"/>
      <c r="T693" s="45">
        <f t="shared" si="80"/>
        <v>45901</v>
      </c>
      <c r="U693" s="24" t="str">
        <f t="shared" si="67"/>
        <v/>
      </c>
    </row>
    <row r="694" spans="2:21" s="46" customFormat="1" x14ac:dyDescent="0.25">
      <c r="B694" s="37" t="s">
        <v>25</v>
      </c>
      <c r="C694" s="38"/>
      <c r="D694" s="86" t="str">
        <f>INDEX(Cad_Natureza!$B$3:$C$52,MATCH('2025'!F694,Cad_Natureza!$C$3:$C$52,0),MATCH('2025'!D$2,Cad_Natureza!$B$3:$C$3,0))</f>
        <v>FIN3</v>
      </c>
      <c r="E694" s="84" t="s">
        <v>862</v>
      </c>
      <c r="F694" s="85" t="s">
        <v>939</v>
      </c>
      <c r="G694" s="86" t="s">
        <v>25</v>
      </c>
      <c r="H694" s="87">
        <v>45926</v>
      </c>
      <c r="I694" s="87"/>
      <c r="J694" s="79" t="s">
        <v>572</v>
      </c>
      <c r="K694" s="62">
        <v>-109.04</v>
      </c>
      <c r="L694" s="80">
        <f t="shared" si="66"/>
        <v>-50.000000000000554</v>
      </c>
      <c r="M694" s="38"/>
      <c r="N694" s="44" t="str">
        <f t="shared" si="75"/>
        <v>MCSFIN3CPF - Desp. Financeiras - Empréstimos bancários</v>
      </c>
      <c r="O694" s="44" t="str">
        <f t="shared" si="76"/>
        <v>FIN3CPF - Desp. Financeiras - Empréstimos bancários</v>
      </c>
      <c r="P694" s="44" t="str">
        <f t="shared" si="77"/>
        <v>MCSFIN3CPF - Desp. Financeiras - Empréstimos bancários</v>
      </c>
      <c r="Q694" s="44" t="str">
        <f t="shared" si="78"/>
        <v>MCSFIN3</v>
      </c>
      <c r="R694" s="44" t="str">
        <f t="shared" si="79"/>
        <v>MCSFIN3</v>
      </c>
      <c r="S694" s="38"/>
      <c r="T694" s="45">
        <f t="shared" si="80"/>
        <v>45901</v>
      </c>
      <c r="U694" s="24" t="str">
        <f t="shared" si="67"/>
        <v/>
      </c>
    </row>
    <row r="695" spans="2:21" s="46" customFormat="1" x14ac:dyDescent="0.25">
      <c r="B695" s="37" t="s">
        <v>25</v>
      </c>
      <c r="C695" s="38"/>
      <c r="D695" s="86" t="str">
        <f>INDEX(Cad_Natureza!$B$3:$C$52,MATCH('2025'!F695,Cad_Natureza!$C$3:$C$52,0),MATCH('2025'!D$2,Cad_Natureza!$B$3:$C$3,0))</f>
        <v>FIN1</v>
      </c>
      <c r="E695" s="84" t="s">
        <v>46</v>
      </c>
      <c r="F695" s="85" t="s">
        <v>713</v>
      </c>
      <c r="G695" s="86" t="s">
        <v>25</v>
      </c>
      <c r="H695" s="87">
        <v>45931</v>
      </c>
      <c r="I695" s="87"/>
      <c r="J695" s="79" t="s">
        <v>868</v>
      </c>
      <c r="K695" s="62">
        <v>-0.12</v>
      </c>
      <c r="L695" s="80">
        <f t="shared" si="66"/>
        <v>-50.120000000000552</v>
      </c>
      <c r="M695" s="38"/>
      <c r="N695" s="44" t="str">
        <f t="shared" si="75"/>
        <v>MCSFIN1CPF - Desp. Financeiras - Empréstimos</v>
      </c>
      <c r="O695" s="44" t="str">
        <f t="shared" si="76"/>
        <v>FIN1CPF - Desp. Financeiras - Empréstimos</v>
      </c>
      <c r="P695" s="44" t="str">
        <f t="shared" si="77"/>
        <v>MCSFIN1CPF - Desp. Financeiras - Empréstimos</v>
      </c>
      <c r="Q695" s="44" t="str">
        <f t="shared" si="78"/>
        <v>MCSFIN1</v>
      </c>
      <c r="R695" s="44" t="str">
        <f t="shared" si="79"/>
        <v>MCSFIN1</v>
      </c>
      <c r="S695" s="38"/>
      <c r="T695" s="45">
        <f t="shared" si="80"/>
        <v>45931</v>
      </c>
      <c r="U695" s="24" t="str">
        <f t="shared" si="67"/>
        <v/>
      </c>
    </row>
    <row r="696" spans="2:21" s="46" customFormat="1" x14ac:dyDescent="0.25">
      <c r="B696" s="37" t="s">
        <v>25</v>
      </c>
      <c r="C696" s="38"/>
      <c r="D696" s="86" t="str">
        <f>INDEX(Cad_Natureza!$B$3:$C$52,MATCH('2025'!F696,Cad_Natureza!$C$3:$C$52,0),MATCH('2025'!D$2,Cad_Natureza!$B$3:$C$3,0))</f>
        <v>FIN1</v>
      </c>
      <c r="E696" s="84" t="s">
        <v>46</v>
      </c>
      <c r="F696" s="85" t="s">
        <v>713</v>
      </c>
      <c r="G696" s="86" t="s">
        <v>25</v>
      </c>
      <c r="H696" s="87">
        <v>45931</v>
      </c>
      <c r="I696" s="87"/>
      <c r="J696" s="79" t="s">
        <v>868</v>
      </c>
      <c r="K696" s="62">
        <v>-0.08</v>
      </c>
      <c r="L696" s="80">
        <f t="shared" si="66"/>
        <v>-50.20000000000055</v>
      </c>
      <c r="M696" s="38"/>
      <c r="N696" s="44" t="str">
        <f t="shared" si="75"/>
        <v>MCSFIN1CPF - Desp. Financeiras - Empréstimos</v>
      </c>
      <c r="O696" s="44" t="str">
        <f t="shared" si="76"/>
        <v>FIN1CPF - Desp. Financeiras - Empréstimos</v>
      </c>
      <c r="P696" s="44" t="str">
        <f t="shared" si="77"/>
        <v>MCSFIN1CPF - Desp. Financeiras - Empréstimos</v>
      </c>
      <c r="Q696" s="44" t="str">
        <f t="shared" si="78"/>
        <v>MCSFIN1</v>
      </c>
      <c r="R696" s="44" t="str">
        <f t="shared" si="79"/>
        <v>MCSFIN1</v>
      </c>
      <c r="S696" s="38"/>
      <c r="T696" s="45">
        <f t="shared" si="80"/>
        <v>45931</v>
      </c>
      <c r="U696" s="24" t="str">
        <f t="shared" si="67"/>
        <v/>
      </c>
    </row>
    <row r="697" spans="2:21" s="46" customFormat="1" x14ac:dyDescent="0.25">
      <c r="B697" s="37" t="s">
        <v>25</v>
      </c>
      <c r="C697" s="38"/>
      <c r="D697" s="86" t="str">
        <f>INDEX(Cad_Natureza!$B$3:$C$52,MATCH('2025'!F697,Cad_Natureza!$C$3:$C$52,0),MATCH('2025'!D$2,Cad_Natureza!$B$3:$C$3,0))</f>
        <v>TRI1</v>
      </c>
      <c r="E697" s="84" t="s">
        <v>40</v>
      </c>
      <c r="F697" s="85" t="s">
        <v>35</v>
      </c>
      <c r="G697" s="86" t="s">
        <v>25</v>
      </c>
      <c r="H697" s="87">
        <v>45932</v>
      </c>
      <c r="I697" s="87"/>
      <c r="J697" s="79" t="s">
        <v>189</v>
      </c>
      <c r="K697" s="62">
        <v>-0.12</v>
      </c>
      <c r="L697" s="80">
        <f t="shared" si="66"/>
        <v>-50.320000000000547</v>
      </c>
      <c r="M697" s="38"/>
      <c r="N697" s="44" t="str">
        <f t="shared" si="75"/>
        <v>MCSTRI1CPF - Desp. Impostos e Obrigações</v>
      </c>
      <c r="O697" s="44" t="str">
        <f t="shared" si="76"/>
        <v>TRI1CPF - Desp. Impostos e Obrigações</v>
      </c>
      <c r="P697" s="44" t="str">
        <f t="shared" si="77"/>
        <v>MCSTRI1CPF - Desp. Impostos e Obrigações</v>
      </c>
      <c r="Q697" s="44" t="str">
        <f t="shared" si="78"/>
        <v>MCSTRI1</v>
      </c>
      <c r="R697" s="44" t="str">
        <f t="shared" si="79"/>
        <v>MCSTRI1</v>
      </c>
      <c r="S697" s="38"/>
      <c r="T697" s="45">
        <f t="shared" si="80"/>
        <v>45931</v>
      </c>
      <c r="U697" s="24" t="str">
        <f t="shared" si="67"/>
        <v/>
      </c>
    </row>
    <row r="698" spans="2:21" s="46" customFormat="1" x14ac:dyDescent="0.25">
      <c r="B698" s="37" t="s">
        <v>25</v>
      </c>
      <c r="C698" s="38"/>
      <c r="D698" s="86" t="str">
        <f>INDEX(Cad_Natureza!$B$3:$C$52,MATCH('2025'!F698,Cad_Natureza!$C$3:$C$52,0),MATCH('2025'!D$2,Cad_Natureza!$B$3:$C$3,0))</f>
        <v>FIN3</v>
      </c>
      <c r="E698" s="84" t="s">
        <v>862</v>
      </c>
      <c r="F698" s="85" t="s">
        <v>939</v>
      </c>
      <c r="G698" s="86" t="s">
        <v>25</v>
      </c>
      <c r="H698" s="87">
        <v>45939</v>
      </c>
      <c r="I698" s="87"/>
      <c r="J698" s="79" t="s">
        <v>572</v>
      </c>
      <c r="K698" s="62">
        <v>-58.56</v>
      </c>
      <c r="L698" s="80">
        <f t="shared" si="66"/>
        <v>-108.88000000000055</v>
      </c>
      <c r="M698" s="38"/>
      <c r="N698" s="44" t="str">
        <f t="shared" si="75"/>
        <v>MCSFIN3CPF - Desp. Financeiras - Empréstimos bancários</v>
      </c>
      <c r="O698" s="44" t="str">
        <f t="shared" si="76"/>
        <v>FIN3CPF - Desp. Financeiras - Empréstimos bancários</v>
      </c>
      <c r="P698" s="44" t="str">
        <f t="shared" si="77"/>
        <v>MCSFIN3CPF - Desp. Financeiras - Empréstimos bancários</v>
      </c>
      <c r="Q698" s="44" t="str">
        <f t="shared" si="78"/>
        <v>MCSFIN3</v>
      </c>
      <c r="R698" s="44" t="str">
        <f t="shared" si="79"/>
        <v>MCSFIN3</v>
      </c>
      <c r="S698" s="38"/>
      <c r="T698" s="45">
        <f t="shared" si="80"/>
        <v>45931</v>
      </c>
      <c r="U698" s="24" t="str">
        <f t="shared" si="67"/>
        <v/>
      </c>
    </row>
    <row r="699" spans="2:21" s="46" customFormat="1" x14ac:dyDescent="0.25">
      <c r="B699" s="37" t="s">
        <v>25</v>
      </c>
      <c r="C699" s="38"/>
      <c r="D699" s="63" t="str">
        <f>INDEX(Cad_Natureza!$B$3:$C$52,MATCH('2025'!F699,Cad_Natureza!$C$3:$C$52,0),MATCH('2025'!D$2,Cad_Natureza!$B$3:$C$3,0))</f>
        <v>FIN3</v>
      </c>
      <c r="E699" s="64" t="s">
        <v>52</v>
      </c>
      <c r="F699" s="65" t="s">
        <v>939</v>
      </c>
      <c r="G699" s="63" t="s">
        <v>25</v>
      </c>
      <c r="H699" s="66">
        <v>45939</v>
      </c>
      <c r="I699" s="66"/>
      <c r="J699" s="67" t="s">
        <v>572</v>
      </c>
      <c r="K699" s="68">
        <v>108.88</v>
      </c>
      <c r="L699" s="62">
        <f t="shared" si="66"/>
        <v>-5.5422333389287814E-13</v>
      </c>
      <c r="M699" s="38"/>
      <c r="N699" s="44" t="str">
        <f t="shared" si="75"/>
        <v>MCSFIN3CPF - Desp. Financeiras - Empréstimos bancários</v>
      </c>
      <c r="O699" s="44" t="str">
        <f t="shared" si="76"/>
        <v>FIN3CPF - Desp. Financeiras - Empréstimos bancários</v>
      </c>
      <c r="P699" s="44" t="str">
        <f t="shared" si="77"/>
        <v>MCSFIN3CPF - Desp. Financeiras - Empréstimos bancários</v>
      </c>
      <c r="Q699" s="44" t="str">
        <f t="shared" si="78"/>
        <v>MCSFIN3</v>
      </c>
      <c r="R699" s="44" t="str">
        <f t="shared" si="79"/>
        <v>MCSFIN3</v>
      </c>
      <c r="S699" s="38"/>
      <c r="T699" s="45">
        <f t="shared" si="80"/>
        <v>45931</v>
      </c>
      <c r="U699" s="24" t="str">
        <f t="shared" si="67"/>
        <v/>
      </c>
    </row>
    <row r="700" spans="2:21" s="46" customFormat="1" x14ac:dyDescent="0.25">
      <c r="B700" s="37" t="s">
        <v>25</v>
      </c>
      <c r="C700" s="38"/>
      <c r="D700" s="86" t="str">
        <f>INDEX(Cad_Natureza!$B$3:$C$52,MATCH('2025'!F700,Cad_Natureza!$C$3:$C$52,0),MATCH('2025'!D$2,Cad_Natureza!$B$3:$C$3,0))</f>
        <v>FIN2</v>
      </c>
      <c r="E700" s="84" t="s">
        <v>45</v>
      </c>
      <c r="F700" s="85" t="s">
        <v>751</v>
      </c>
      <c r="G700" s="86" t="s">
        <v>25</v>
      </c>
      <c r="H700" s="87">
        <v>45939</v>
      </c>
      <c r="I700" s="87"/>
      <c r="J700" s="79" t="s">
        <v>868</v>
      </c>
      <c r="K700" s="62">
        <v>-2.5299999999999998</v>
      </c>
      <c r="L700" s="80">
        <f t="shared" si="66"/>
        <v>-2.530000000000554</v>
      </c>
      <c r="M700" s="38"/>
      <c r="N700" s="44" t="str">
        <f t="shared" si="75"/>
        <v>MCSFIN2CPF - Desp. Financeiras - Juros / Tarifas</v>
      </c>
      <c r="O700" s="44" t="str">
        <f t="shared" si="76"/>
        <v>FIN2CPF - Desp. Financeiras - Juros / Tarifas</v>
      </c>
      <c r="P700" s="44" t="str">
        <f t="shared" si="77"/>
        <v>MCSFIN2CPF - Desp. Financeiras - Juros / Tarifas</v>
      </c>
      <c r="Q700" s="44" t="str">
        <f t="shared" si="78"/>
        <v>MCSFIN2</v>
      </c>
      <c r="R700" s="44" t="str">
        <f t="shared" si="79"/>
        <v>MCSFIN2</v>
      </c>
      <c r="S700" s="38"/>
      <c r="T700" s="45">
        <f t="shared" si="80"/>
        <v>45931</v>
      </c>
      <c r="U700" s="24" t="str">
        <f t="shared" si="67"/>
        <v/>
      </c>
    </row>
    <row r="701" spans="2:21" s="46" customFormat="1" x14ac:dyDescent="0.25">
      <c r="B701" s="37" t="s">
        <v>25</v>
      </c>
      <c r="C701" s="38"/>
      <c r="D701" s="63" t="str">
        <f>INDEX(Cad_Natureza!$B$3:$C$52,MATCH('2025'!F701,Cad_Natureza!$C$3:$C$52,0),MATCH('2025'!D$2,Cad_Natureza!$B$3:$C$3,0))</f>
        <v>FIN3</v>
      </c>
      <c r="E701" s="64" t="s">
        <v>874</v>
      </c>
      <c r="F701" s="65" t="s">
        <v>939</v>
      </c>
      <c r="G701" s="63" t="s">
        <v>25</v>
      </c>
      <c r="H701" s="66">
        <v>45939</v>
      </c>
      <c r="I701" s="66"/>
      <c r="J701" s="67" t="s">
        <v>572</v>
      </c>
      <c r="K701" s="68">
        <v>58.56</v>
      </c>
      <c r="L701" s="68">
        <f t="shared" si="66"/>
        <v>56.029999999999447</v>
      </c>
      <c r="M701" s="38"/>
      <c r="N701" s="44" t="str">
        <f t="shared" si="75"/>
        <v>MCSFIN3CPF - Desp. Financeiras - Empréstimos bancários</v>
      </c>
      <c r="O701" s="44" t="str">
        <f t="shared" si="76"/>
        <v>FIN3CPF - Desp. Financeiras - Empréstimos bancários</v>
      </c>
      <c r="P701" s="44" t="str">
        <f t="shared" si="77"/>
        <v>MCSFIN3CPF - Desp. Financeiras - Empréstimos bancários</v>
      </c>
      <c r="Q701" s="44" t="str">
        <f t="shared" si="78"/>
        <v>MCSFIN3</v>
      </c>
      <c r="R701" s="44" t="str">
        <f t="shared" si="79"/>
        <v>MCSFIN3</v>
      </c>
      <c r="S701" s="38"/>
      <c r="T701" s="45">
        <f t="shared" si="80"/>
        <v>45931</v>
      </c>
      <c r="U701" s="24" t="str">
        <f t="shared" si="67"/>
        <v/>
      </c>
    </row>
    <row r="702" spans="2:21" s="46" customFormat="1" x14ac:dyDescent="0.25">
      <c r="B702" s="37" t="s">
        <v>25</v>
      </c>
      <c r="C702" s="38"/>
      <c r="D702" s="86" t="str">
        <f>INDEX(Cad_Natureza!$B$3:$C$52,MATCH('2025'!F702,Cad_Natureza!$C$3:$C$52,0),MATCH('2025'!D$2,Cad_Natureza!$B$3:$C$3,0))</f>
        <v>FIN1</v>
      </c>
      <c r="E702" s="84" t="s">
        <v>875</v>
      </c>
      <c r="F702" s="85" t="s">
        <v>713</v>
      </c>
      <c r="G702" s="86" t="s">
        <v>25</v>
      </c>
      <c r="H702" s="87">
        <v>45940</v>
      </c>
      <c r="I702" s="87"/>
      <c r="J702" s="79" t="s">
        <v>572</v>
      </c>
      <c r="K702" s="62">
        <v>-0.75</v>
      </c>
      <c r="L702" s="68">
        <f t="shared" si="66"/>
        <v>55.279999999999447</v>
      </c>
      <c r="M702" s="38"/>
      <c r="N702" s="44" t="str">
        <f t="shared" si="75"/>
        <v>MCSFIN1CPF - Desp. Financeiras - Empréstimos</v>
      </c>
      <c r="O702" s="44" t="str">
        <f t="shared" si="76"/>
        <v>FIN1CPF - Desp. Financeiras - Empréstimos</v>
      </c>
      <c r="P702" s="44" t="str">
        <f t="shared" si="77"/>
        <v>MCSFIN1CPF - Desp. Financeiras - Empréstimos</v>
      </c>
      <c r="Q702" s="44" t="str">
        <f t="shared" si="78"/>
        <v>MCSFIN1</v>
      </c>
      <c r="R702" s="44" t="str">
        <f t="shared" si="79"/>
        <v>MCSFIN1</v>
      </c>
      <c r="S702" s="38"/>
      <c r="T702" s="45">
        <f t="shared" si="80"/>
        <v>45931</v>
      </c>
      <c r="U702" s="24" t="str">
        <f t="shared" si="67"/>
        <v/>
      </c>
    </row>
    <row r="703" spans="2:21" s="46" customFormat="1" x14ac:dyDescent="0.25">
      <c r="B703" s="37" t="s">
        <v>25</v>
      </c>
      <c r="C703" s="38"/>
      <c r="D703" s="86" t="str">
        <f>INDEX(Cad_Natureza!$B$3:$C$52,MATCH('2025'!F703,Cad_Natureza!$C$3:$C$52,0),MATCH('2025'!D$2,Cad_Natureza!$B$3:$C$3,0))</f>
        <v>FIN2</v>
      </c>
      <c r="E703" s="84" t="s">
        <v>876</v>
      </c>
      <c r="F703" s="85" t="s">
        <v>751</v>
      </c>
      <c r="G703" s="86" t="s">
        <v>25</v>
      </c>
      <c r="H703" s="87">
        <v>45940</v>
      </c>
      <c r="I703" s="87"/>
      <c r="J703" s="79" t="s">
        <v>188</v>
      </c>
      <c r="K703" s="62">
        <v>-28</v>
      </c>
      <c r="L703" s="68">
        <f t="shared" si="66"/>
        <v>27.279999999999447</v>
      </c>
      <c r="M703" s="38"/>
      <c r="N703" s="44" t="str">
        <f t="shared" si="75"/>
        <v>MCSFIN2CPF - Desp. Financeiras - Juros / Tarifas</v>
      </c>
      <c r="O703" s="44" t="str">
        <f t="shared" si="76"/>
        <v>FIN2CPF - Desp. Financeiras - Juros / Tarifas</v>
      </c>
      <c r="P703" s="44" t="str">
        <f t="shared" si="77"/>
        <v>MCSFIN2CPF - Desp. Financeiras - Juros / Tarifas</v>
      </c>
      <c r="Q703" s="44" t="str">
        <f t="shared" si="78"/>
        <v>MCSFIN2</v>
      </c>
      <c r="R703" s="44" t="str">
        <f t="shared" si="79"/>
        <v>MCSFIN2</v>
      </c>
      <c r="S703" s="38"/>
      <c r="T703" s="45">
        <f t="shared" si="80"/>
        <v>45931</v>
      </c>
      <c r="U703" s="24" t="str">
        <f t="shared" si="67"/>
        <v/>
      </c>
    </row>
    <row r="704" spans="2:21" s="46" customFormat="1" x14ac:dyDescent="0.25">
      <c r="B704" s="37" t="s">
        <v>25</v>
      </c>
      <c r="C704" s="38"/>
      <c r="D704" s="39" t="str">
        <f>INDEX(Cad_Natureza!$B$3:$C$52,MATCH('2025'!F704,Cad_Natureza!$C$3:$C$52,0),MATCH('2025'!D$2,Cad_Natureza!$B$3:$C$3,0))</f>
        <v>FIN3</v>
      </c>
      <c r="E704" s="40" t="s">
        <v>880</v>
      </c>
      <c r="F704" s="41" t="s">
        <v>939</v>
      </c>
      <c r="G704" s="39" t="s">
        <v>25</v>
      </c>
      <c r="H704" s="42">
        <v>45944</v>
      </c>
      <c r="I704" s="42"/>
      <c r="J704" s="79" t="s">
        <v>572</v>
      </c>
      <c r="K704" s="62">
        <v>-6.51</v>
      </c>
      <c r="L704" s="68">
        <f t="shared" si="66"/>
        <v>20.769999999999449</v>
      </c>
      <c r="M704" s="38"/>
      <c r="N704" s="44" t="str">
        <f t="shared" si="75"/>
        <v>MCSFIN3CPF - Desp. Financeiras - Empréstimos bancários</v>
      </c>
      <c r="O704" s="44" t="str">
        <f t="shared" si="76"/>
        <v>FIN3CPF - Desp. Financeiras - Empréstimos bancários</v>
      </c>
      <c r="P704" s="44" t="str">
        <f t="shared" si="77"/>
        <v>MCSFIN3CPF - Desp. Financeiras - Empréstimos bancários</v>
      </c>
      <c r="Q704" s="44" t="str">
        <f t="shared" si="78"/>
        <v>MCSFIN3</v>
      </c>
      <c r="R704" s="44" t="str">
        <f t="shared" si="79"/>
        <v>MCSFIN3</v>
      </c>
      <c r="S704" s="38"/>
      <c r="T704" s="45">
        <f t="shared" si="80"/>
        <v>45931</v>
      </c>
      <c r="U704" s="24" t="str">
        <f t="shared" si="67"/>
        <v/>
      </c>
    </row>
    <row r="705" spans="2:21" s="46" customFormat="1" x14ac:dyDescent="0.25">
      <c r="B705" s="37" t="s">
        <v>25</v>
      </c>
      <c r="C705" s="38"/>
      <c r="D705" s="63" t="str">
        <f>INDEX(Cad_Natureza!$B$3:$C$52,MATCH('2025'!F705,Cad_Natureza!$C$3:$C$52,0),MATCH('2025'!D$2,Cad_Natureza!$B$3:$C$3,0))</f>
        <v>FIN3</v>
      </c>
      <c r="E705" s="64" t="s">
        <v>881</v>
      </c>
      <c r="F705" s="65" t="s">
        <v>939</v>
      </c>
      <c r="G705" s="63" t="s">
        <v>25</v>
      </c>
      <c r="H705" s="66">
        <v>45957</v>
      </c>
      <c r="I705" s="66"/>
      <c r="J705" s="67" t="s">
        <v>819</v>
      </c>
      <c r="K705" s="68">
        <v>100</v>
      </c>
      <c r="L705" s="68">
        <f t="shared" si="66"/>
        <v>120.76999999999944</v>
      </c>
      <c r="M705" s="38"/>
      <c r="N705" s="44" t="str">
        <f t="shared" si="75"/>
        <v>MCSFIN3CPF - Desp. Financeiras - Empréstimos bancários</v>
      </c>
      <c r="O705" s="44" t="str">
        <f t="shared" si="76"/>
        <v>FIN3CPF - Desp. Financeiras - Empréstimos bancários</v>
      </c>
      <c r="P705" s="44" t="str">
        <f t="shared" si="77"/>
        <v>MCSFIN3CPF - Desp. Financeiras - Empréstimos bancários</v>
      </c>
      <c r="Q705" s="44" t="str">
        <f t="shared" si="78"/>
        <v>MCSFIN3</v>
      </c>
      <c r="R705" s="44" t="str">
        <f t="shared" si="79"/>
        <v>MCSFIN3</v>
      </c>
      <c r="S705" s="38"/>
      <c r="T705" s="45">
        <f t="shared" si="80"/>
        <v>45931</v>
      </c>
      <c r="U705" s="24" t="str">
        <f t="shared" si="67"/>
        <v/>
      </c>
    </row>
    <row r="706" spans="2:21" s="46" customFormat="1" x14ac:dyDescent="0.25">
      <c r="B706" s="37" t="s">
        <v>25</v>
      </c>
      <c r="C706" s="38"/>
      <c r="D706" s="63" t="str">
        <f>INDEX(Cad_Natureza!$B$3:$C$52,MATCH('2025'!F706,Cad_Natureza!$C$3:$C$52,0),MATCH('2025'!D$2,Cad_Natureza!$B$3:$C$3,0))</f>
        <v>REC4</v>
      </c>
      <c r="E706" s="64" t="s">
        <v>882</v>
      </c>
      <c r="F706" s="65" t="s">
        <v>734</v>
      </c>
      <c r="G706" s="63" t="s">
        <v>25</v>
      </c>
      <c r="H706" s="66">
        <v>45957</v>
      </c>
      <c r="I706" s="66"/>
      <c r="J706" s="67" t="s">
        <v>183</v>
      </c>
      <c r="K706" s="68">
        <v>-100</v>
      </c>
      <c r="L706" s="68">
        <f t="shared" si="66"/>
        <v>20.769999999999442</v>
      </c>
      <c r="M706" s="38"/>
      <c r="N706" s="44" t="str">
        <f t="shared" si="75"/>
        <v>MCSREC4CPF - Transf. Da conta PJ para a conta PF</v>
      </c>
      <c r="O706" s="44" t="str">
        <f t="shared" si="76"/>
        <v>REC4CPF - Transf. Da conta PJ para a conta PF</v>
      </c>
      <c r="P706" s="44" t="str">
        <f t="shared" si="77"/>
        <v>MCSREC4CPF - Transf. Da conta PJ para a conta PF</v>
      </c>
      <c r="Q706" s="44" t="str">
        <f t="shared" si="78"/>
        <v>MCSREC4</v>
      </c>
      <c r="R706" s="44" t="str">
        <f t="shared" si="79"/>
        <v>MCSREC4</v>
      </c>
      <c r="S706" s="38"/>
      <c r="T706" s="45">
        <f t="shared" si="80"/>
        <v>45931</v>
      </c>
      <c r="U706" s="24" t="str">
        <f t="shared" si="67"/>
        <v/>
      </c>
    </row>
    <row r="707" spans="2:21" s="46" customFormat="1" x14ac:dyDescent="0.25">
      <c r="B707" s="37" t="s">
        <v>25</v>
      </c>
      <c r="C707" s="38"/>
      <c r="D707" s="63" t="str">
        <f>INDEX(Cad_Natureza!$B$3:$C$52,MATCH('2025'!F707,Cad_Natureza!$C$3:$C$52,0),MATCH('2025'!D$2,Cad_Natureza!$B$3:$C$3,0))</f>
        <v>REC4</v>
      </c>
      <c r="E707" s="64" t="s">
        <v>882</v>
      </c>
      <c r="F707" s="65" t="s">
        <v>734</v>
      </c>
      <c r="G707" s="63" t="s">
        <v>25</v>
      </c>
      <c r="H707" s="66">
        <v>45957</v>
      </c>
      <c r="I707" s="66"/>
      <c r="J707" s="67" t="s">
        <v>183</v>
      </c>
      <c r="K707" s="68">
        <v>-20</v>
      </c>
      <c r="L707" s="68">
        <f t="shared" si="66"/>
        <v>0.7699999999994418</v>
      </c>
      <c r="M707" s="38"/>
      <c r="N707" s="44" t="str">
        <f t="shared" si="75"/>
        <v>MCSREC4CPF - Transf. Da conta PJ para a conta PF</v>
      </c>
      <c r="O707" s="44" t="str">
        <f t="shared" si="76"/>
        <v>REC4CPF - Transf. Da conta PJ para a conta PF</v>
      </c>
      <c r="P707" s="44" t="str">
        <f t="shared" si="77"/>
        <v>MCSREC4CPF - Transf. Da conta PJ para a conta PF</v>
      </c>
      <c r="Q707" s="44" t="str">
        <f t="shared" si="78"/>
        <v>MCSREC4</v>
      </c>
      <c r="R707" s="44" t="str">
        <f t="shared" si="79"/>
        <v>MCSREC4</v>
      </c>
      <c r="S707" s="38"/>
      <c r="T707" s="45">
        <f t="shared" si="80"/>
        <v>45931</v>
      </c>
      <c r="U707" s="24" t="str">
        <f t="shared" si="67"/>
        <v/>
      </c>
    </row>
    <row r="708" spans="2:21" s="46" customFormat="1" x14ac:dyDescent="0.25">
      <c r="B708" s="37" t="s">
        <v>25</v>
      </c>
      <c r="C708" s="38"/>
      <c r="D708" s="63" t="str">
        <f>INDEX(Cad_Natureza!$B$3:$C$52,MATCH('2025'!F708,Cad_Natureza!$C$3:$C$52,0),MATCH('2025'!D$2,Cad_Natureza!$B$3:$C$3,0))</f>
        <v>REC4</v>
      </c>
      <c r="E708" s="64" t="s">
        <v>883</v>
      </c>
      <c r="F708" s="65" t="s">
        <v>734</v>
      </c>
      <c r="G708" s="63" t="s">
        <v>25</v>
      </c>
      <c r="H708" s="66">
        <v>45965</v>
      </c>
      <c r="I708" s="66"/>
      <c r="J708" s="67" t="s">
        <v>183</v>
      </c>
      <c r="K708" s="68">
        <v>300</v>
      </c>
      <c r="L708" s="68">
        <f t="shared" ref="L708:L772" si="87">L707+K708</f>
        <v>300.76999999999941</v>
      </c>
      <c r="M708" s="38"/>
      <c r="N708" s="44" t="str">
        <f t="shared" si="75"/>
        <v>MCSREC4CPF - Transf. Da conta PJ para a conta PF</v>
      </c>
      <c r="O708" s="44" t="str">
        <f t="shared" si="76"/>
        <v>REC4CPF - Transf. Da conta PJ para a conta PF</v>
      </c>
      <c r="P708" s="44" t="str">
        <f t="shared" si="77"/>
        <v>MCSREC4CPF - Transf. Da conta PJ para a conta PF</v>
      </c>
      <c r="Q708" s="44" t="str">
        <f t="shared" si="78"/>
        <v>MCSREC4</v>
      </c>
      <c r="R708" s="44" t="str">
        <f t="shared" si="79"/>
        <v>MCSREC4</v>
      </c>
      <c r="S708" s="38"/>
      <c r="T708" s="45">
        <f t="shared" si="80"/>
        <v>45962</v>
      </c>
      <c r="U708" s="24" t="str">
        <f t="shared" si="67"/>
        <v/>
      </c>
    </row>
    <row r="709" spans="2:21" s="46" customFormat="1" x14ac:dyDescent="0.25">
      <c r="B709" s="37" t="s">
        <v>25</v>
      </c>
      <c r="C709" s="38"/>
      <c r="D709" s="39" t="str">
        <f>INDEX(Cad_Natureza!$B$3:$C$52,MATCH('2025'!F709,Cad_Natureza!$C$3:$C$52,0),MATCH('2025'!D$2,Cad_Natureza!$B$3:$C$3,0))</f>
        <v>FIN3</v>
      </c>
      <c r="E709" s="40" t="s">
        <v>880</v>
      </c>
      <c r="F709" s="41" t="s">
        <v>939</v>
      </c>
      <c r="G709" s="39" t="s">
        <v>25</v>
      </c>
      <c r="H709" s="42">
        <v>45965</v>
      </c>
      <c r="I709" s="42"/>
      <c r="J709" s="79" t="s">
        <v>572</v>
      </c>
      <c r="K709" s="62">
        <v>-278.06</v>
      </c>
      <c r="L709" s="68">
        <f t="shared" si="87"/>
        <v>22.709999999999411</v>
      </c>
      <c r="M709" s="38"/>
      <c r="N709" s="44" t="str">
        <f t="shared" si="75"/>
        <v>MCSFIN3CPF - Desp. Financeiras - Empréstimos bancários</v>
      </c>
      <c r="O709" s="44" t="str">
        <f t="shared" si="76"/>
        <v>FIN3CPF - Desp. Financeiras - Empréstimos bancários</v>
      </c>
      <c r="P709" s="44" t="str">
        <f t="shared" si="77"/>
        <v>MCSFIN3CPF - Desp. Financeiras - Empréstimos bancários</v>
      </c>
      <c r="Q709" s="44" t="str">
        <f t="shared" si="78"/>
        <v>MCSFIN3</v>
      </c>
      <c r="R709" s="44" t="str">
        <f t="shared" si="79"/>
        <v>MCSFIN3</v>
      </c>
      <c r="S709" s="38"/>
      <c r="T709" s="45">
        <f t="shared" si="80"/>
        <v>45962</v>
      </c>
      <c r="U709" s="24" t="str">
        <f t="shared" si="67"/>
        <v/>
      </c>
    </row>
    <row r="710" spans="2:21" s="46" customFormat="1" x14ac:dyDescent="0.25">
      <c r="B710" s="37" t="s">
        <v>25</v>
      </c>
      <c r="C710" s="38"/>
      <c r="D710" s="63" t="str">
        <f>INDEX(Cad_Natureza!$B$3:$C$52,MATCH('2025'!F710,Cad_Natureza!$C$3:$C$52,0),MATCH('2025'!D$2,Cad_Natureza!$B$3:$C$3,0))</f>
        <v>REC4</v>
      </c>
      <c r="E710" s="64" t="s">
        <v>883</v>
      </c>
      <c r="F710" s="65" t="s">
        <v>734</v>
      </c>
      <c r="G710" s="63" t="s">
        <v>25</v>
      </c>
      <c r="H710" s="66">
        <v>45965</v>
      </c>
      <c r="I710" s="66"/>
      <c r="J710" s="67" t="s">
        <v>183</v>
      </c>
      <c r="K710" s="68">
        <v>341</v>
      </c>
      <c r="L710" s="68">
        <f t="shared" si="87"/>
        <v>363.70999999999941</v>
      </c>
      <c r="M710" s="38"/>
      <c r="N710" s="44" t="str">
        <f t="shared" si="75"/>
        <v>MCSREC4CPF - Transf. Da conta PJ para a conta PF</v>
      </c>
      <c r="O710" s="44" t="str">
        <f t="shared" si="76"/>
        <v>REC4CPF - Transf. Da conta PJ para a conta PF</v>
      </c>
      <c r="P710" s="44" t="str">
        <f t="shared" si="77"/>
        <v>MCSREC4CPF - Transf. Da conta PJ para a conta PF</v>
      </c>
      <c r="Q710" s="44" t="str">
        <f t="shared" si="78"/>
        <v>MCSREC4</v>
      </c>
      <c r="R710" s="44" t="str">
        <f t="shared" si="79"/>
        <v>MCSREC4</v>
      </c>
      <c r="S710" s="38"/>
      <c r="T710" s="45">
        <f t="shared" si="80"/>
        <v>45962</v>
      </c>
      <c r="U710" s="24" t="str">
        <f t="shared" si="67"/>
        <v/>
      </c>
    </row>
    <row r="711" spans="2:21" s="46" customFormat="1" x14ac:dyDescent="0.25">
      <c r="B711" s="37" t="s">
        <v>25</v>
      </c>
      <c r="C711" s="38"/>
      <c r="D711" s="39" t="str">
        <f>INDEX(Cad_Natureza!$B$3:$C$52,MATCH('2025'!F711,Cad_Natureza!$C$3:$C$52,0),MATCH('2025'!D$2,Cad_Natureza!$B$3:$C$3,0))</f>
        <v>DESP2</v>
      </c>
      <c r="E711" s="40" t="s">
        <v>884</v>
      </c>
      <c r="F711" s="41" t="s">
        <v>739</v>
      </c>
      <c r="G711" s="39" t="s">
        <v>25</v>
      </c>
      <c r="H711" s="42">
        <v>45965</v>
      </c>
      <c r="I711" s="42"/>
      <c r="J711" s="79" t="s">
        <v>940</v>
      </c>
      <c r="K711" s="62">
        <v>-31.97</v>
      </c>
      <c r="L711" s="68">
        <f t="shared" si="87"/>
        <v>331.73999999999944</v>
      </c>
      <c r="M711" s="38"/>
      <c r="N711" s="44" t="str">
        <f t="shared" si="75"/>
        <v>MCSDESP2CPF - Desp. Telefone / Internet</v>
      </c>
      <c r="O711" s="44" t="str">
        <f t="shared" si="76"/>
        <v>DESP2CPF - Desp. Telefone / Internet</v>
      </c>
      <c r="P711" s="44" t="str">
        <f t="shared" si="77"/>
        <v>MCSDESP2CPF - Desp. Telefone / Internet</v>
      </c>
      <c r="Q711" s="44" t="str">
        <f t="shared" si="78"/>
        <v>MCSDESP2</v>
      </c>
      <c r="R711" s="44" t="str">
        <f t="shared" si="79"/>
        <v>MCSDESP2</v>
      </c>
      <c r="S711" s="38"/>
      <c r="T711" s="45">
        <f t="shared" si="80"/>
        <v>45962</v>
      </c>
      <c r="U711" s="24" t="str">
        <f t="shared" si="67"/>
        <v/>
      </c>
    </row>
    <row r="712" spans="2:21" s="46" customFormat="1" x14ac:dyDescent="0.25">
      <c r="B712" s="37" t="s">
        <v>25</v>
      </c>
      <c r="C712" s="38"/>
      <c r="D712" s="39" t="str">
        <f>INDEX(Cad_Natureza!$B$3:$C$52,MATCH('2025'!F712,Cad_Natureza!$C$3:$C$52,0),MATCH('2025'!D$2,Cad_Natureza!$B$3:$C$3,0))</f>
        <v>GAST2</v>
      </c>
      <c r="E712" s="40" t="s">
        <v>885</v>
      </c>
      <c r="F712" s="85" t="s">
        <v>743</v>
      </c>
      <c r="G712" s="39" t="s">
        <v>25</v>
      </c>
      <c r="H712" s="42">
        <v>45965</v>
      </c>
      <c r="I712" s="42"/>
      <c r="J712" s="43" t="s">
        <v>180</v>
      </c>
      <c r="K712" s="62">
        <v>-6</v>
      </c>
      <c r="L712" s="68">
        <f t="shared" si="87"/>
        <v>325.73999999999944</v>
      </c>
      <c r="M712" s="38"/>
      <c r="N712" s="44" t="str">
        <f t="shared" si="75"/>
        <v>MCSGAST2CPF - Desp. Lazer e Entretenimento - Cigarro</v>
      </c>
      <c r="O712" s="44" t="str">
        <f t="shared" si="76"/>
        <v>GAST2CPF - Desp. Lazer e Entretenimento - Cigarro</v>
      </c>
      <c r="P712" s="44" t="str">
        <f t="shared" si="77"/>
        <v>MCSGAST2CPF - Desp. Lazer e Entretenimento - Cigarro</v>
      </c>
      <c r="Q712" s="44" t="str">
        <f t="shared" si="78"/>
        <v>MCSGAST2</v>
      </c>
      <c r="R712" s="44" t="str">
        <f t="shared" si="79"/>
        <v>MCSGAST2</v>
      </c>
      <c r="S712" s="38"/>
      <c r="T712" s="45">
        <f t="shared" si="80"/>
        <v>45962</v>
      </c>
      <c r="U712" s="24" t="str">
        <f t="shared" si="67"/>
        <v/>
      </c>
    </row>
    <row r="713" spans="2:21" s="46" customFormat="1" x14ac:dyDescent="0.25">
      <c r="B713" s="37" t="s">
        <v>25</v>
      </c>
      <c r="C713" s="38"/>
      <c r="D713" s="39" t="str">
        <f>INDEX(Cad_Natureza!$B$3:$C$52,MATCH('2025'!F713,Cad_Natureza!$C$3:$C$52,0),MATCH('2025'!D$2,Cad_Natureza!$B$3:$C$3,0))</f>
        <v>GAST1</v>
      </c>
      <c r="E713" s="40" t="s">
        <v>886</v>
      </c>
      <c r="F713" s="85" t="s">
        <v>742</v>
      </c>
      <c r="G713" s="39" t="s">
        <v>25</v>
      </c>
      <c r="H713" s="42">
        <v>45965</v>
      </c>
      <c r="I713" s="42"/>
      <c r="J713" s="43" t="s">
        <v>185</v>
      </c>
      <c r="K713" s="62">
        <v>-18</v>
      </c>
      <c r="L713" s="68">
        <f t="shared" si="87"/>
        <v>307.73999999999944</v>
      </c>
      <c r="M713" s="38"/>
      <c r="N713" s="44" t="str">
        <f t="shared" si="75"/>
        <v>MCSGAST1CPF - Desp. Lazer e Entretenimento - Bares</v>
      </c>
      <c r="O713" s="44" t="str">
        <f t="shared" si="76"/>
        <v>GAST1CPF - Desp. Lazer e Entretenimento - Bares</v>
      </c>
      <c r="P713" s="44" t="str">
        <f t="shared" si="77"/>
        <v>MCSGAST1CPF - Desp. Lazer e Entretenimento - Bares</v>
      </c>
      <c r="Q713" s="44" t="str">
        <f t="shared" si="78"/>
        <v>MCSGAST1</v>
      </c>
      <c r="R713" s="44" t="str">
        <f t="shared" si="79"/>
        <v>MCSGAST1</v>
      </c>
      <c r="S713" s="38"/>
      <c r="T713" s="45">
        <f t="shared" si="80"/>
        <v>45962</v>
      </c>
      <c r="U713" s="24" t="str">
        <f t="shared" si="67"/>
        <v/>
      </c>
    </row>
    <row r="714" spans="2:21" s="46" customFormat="1" x14ac:dyDescent="0.25">
      <c r="B714" s="37" t="s">
        <v>25</v>
      </c>
      <c r="C714" s="38"/>
      <c r="D714" s="39" t="str">
        <f>INDEX(Cad_Natureza!$B$3:$C$52,MATCH('2025'!F714,Cad_Natureza!$C$3:$C$52,0),MATCH('2025'!D$2,Cad_Natureza!$B$3:$C$3,0))</f>
        <v>GAST1</v>
      </c>
      <c r="E714" s="40" t="s">
        <v>887</v>
      </c>
      <c r="F714" s="85" t="s">
        <v>742</v>
      </c>
      <c r="G714" s="39" t="s">
        <v>25</v>
      </c>
      <c r="H714" s="42">
        <v>45965</v>
      </c>
      <c r="I714" s="42"/>
      <c r="J714" s="43" t="s">
        <v>185</v>
      </c>
      <c r="K714" s="62">
        <v>-24</v>
      </c>
      <c r="L714" s="68">
        <f t="shared" si="87"/>
        <v>283.73999999999944</v>
      </c>
      <c r="M714" s="38"/>
      <c r="N714" s="44" t="str">
        <f t="shared" si="75"/>
        <v>MCSGAST1CPF - Desp. Lazer e Entretenimento - Bares</v>
      </c>
      <c r="O714" s="44" t="str">
        <f t="shared" si="76"/>
        <v>GAST1CPF - Desp. Lazer e Entretenimento - Bares</v>
      </c>
      <c r="P714" s="44" t="str">
        <f t="shared" si="77"/>
        <v>MCSGAST1CPF - Desp. Lazer e Entretenimento - Bares</v>
      </c>
      <c r="Q714" s="44" t="str">
        <f t="shared" si="78"/>
        <v>MCSGAST1</v>
      </c>
      <c r="R714" s="44" t="str">
        <f t="shared" si="79"/>
        <v>MCSGAST1</v>
      </c>
      <c r="S714" s="38"/>
      <c r="T714" s="45">
        <f t="shared" si="80"/>
        <v>45962</v>
      </c>
      <c r="U714" s="24" t="str">
        <f t="shared" si="67"/>
        <v/>
      </c>
    </row>
    <row r="715" spans="2:21" s="46" customFormat="1" x14ac:dyDescent="0.25">
      <c r="B715" s="37" t="s">
        <v>25</v>
      </c>
      <c r="C715" s="38"/>
      <c r="D715" s="63" t="str">
        <f>INDEX(Cad_Natureza!$B$3:$C$52,MATCH('2025'!F715,Cad_Natureza!$C$3:$C$52,0),MATCH('2025'!D$2,Cad_Natureza!$B$3:$C$3,0))</f>
        <v>FIN3</v>
      </c>
      <c r="E715" s="64" t="s">
        <v>888</v>
      </c>
      <c r="F715" s="65" t="s">
        <v>939</v>
      </c>
      <c r="G715" s="63" t="s">
        <v>25</v>
      </c>
      <c r="H715" s="66">
        <v>45965</v>
      </c>
      <c r="I715" s="66"/>
      <c r="J715" s="67" t="s">
        <v>937</v>
      </c>
      <c r="K715" s="68">
        <v>278.06</v>
      </c>
      <c r="L715" s="68">
        <f t="shared" si="87"/>
        <v>561.7999999999995</v>
      </c>
      <c r="M715" s="38"/>
      <c r="N715" s="44" t="str">
        <f t="shared" si="75"/>
        <v>MCSFIN3CPF - Desp. Financeiras - Empréstimos bancários</v>
      </c>
      <c r="O715" s="44" t="str">
        <f t="shared" si="76"/>
        <v>FIN3CPF - Desp. Financeiras - Empréstimos bancários</v>
      </c>
      <c r="P715" s="44" t="str">
        <f t="shared" si="77"/>
        <v>MCSFIN3CPF - Desp. Financeiras - Empréstimos bancários</v>
      </c>
      <c r="Q715" s="44" t="str">
        <f t="shared" si="78"/>
        <v>MCSFIN3</v>
      </c>
      <c r="R715" s="44" t="str">
        <f t="shared" si="79"/>
        <v>MCSFIN3</v>
      </c>
      <c r="S715" s="38"/>
      <c r="T715" s="45">
        <f t="shared" si="80"/>
        <v>45962</v>
      </c>
      <c r="U715" s="24" t="str">
        <f t="shared" si="67"/>
        <v/>
      </c>
    </row>
    <row r="716" spans="2:21" s="46" customFormat="1" x14ac:dyDescent="0.25">
      <c r="B716" s="37" t="s">
        <v>25</v>
      </c>
      <c r="C716" s="38"/>
      <c r="D716" s="39" t="str">
        <f>INDEX(Cad_Natureza!$B$3:$C$52,MATCH('2025'!F716,Cad_Natureza!$C$3:$C$52,0),MATCH('2025'!D$2,Cad_Natureza!$B$3:$C$3,0))</f>
        <v>TRI1</v>
      </c>
      <c r="E716" s="40" t="s">
        <v>261</v>
      </c>
      <c r="F716" s="85" t="s">
        <v>35</v>
      </c>
      <c r="G716" s="86" t="s">
        <v>25</v>
      </c>
      <c r="H716" s="87">
        <v>45965</v>
      </c>
      <c r="I716" s="42"/>
      <c r="J716" s="79" t="s">
        <v>189</v>
      </c>
      <c r="K716" s="62">
        <v>-0.03</v>
      </c>
      <c r="L716" s="68">
        <f t="shared" si="87"/>
        <v>561.76999999999953</v>
      </c>
      <c r="M716" s="38"/>
      <c r="N716" s="44" t="str">
        <f t="shared" si="75"/>
        <v>MCSTRI1CPF - Desp. Impostos e Obrigações</v>
      </c>
      <c r="O716" s="44" t="str">
        <f t="shared" si="76"/>
        <v>TRI1CPF - Desp. Impostos e Obrigações</v>
      </c>
      <c r="P716" s="44" t="str">
        <f t="shared" si="77"/>
        <v>MCSTRI1CPF - Desp. Impostos e Obrigações</v>
      </c>
      <c r="Q716" s="44" t="str">
        <f t="shared" si="78"/>
        <v>MCSTRI1</v>
      </c>
      <c r="R716" s="44" t="str">
        <f t="shared" si="79"/>
        <v>MCSTRI1</v>
      </c>
      <c r="S716" s="38"/>
      <c r="T716" s="45">
        <f t="shared" si="80"/>
        <v>45962</v>
      </c>
      <c r="U716" s="24" t="str">
        <f t="shared" si="67"/>
        <v/>
      </c>
    </row>
    <row r="717" spans="2:21" s="46" customFormat="1" x14ac:dyDescent="0.25">
      <c r="B717" s="37" t="s">
        <v>25</v>
      </c>
      <c r="C717" s="38"/>
      <c r="D717" s="86" t="str">
        <f>INDEX(Cad_Natureza!$B$3:$C$52,MATCH('2025'!F717,Cad_Natureza!$C$3:$C$52,0),MATCH('2025'!D$2,Cad_Natureza!$B$3:$C$3,0))</f>
        <v>FIN2</v>
      </c>
      <c r="E717" s="84" t="s">
        <v>889</v>
      </c>
      <c r="F717" s="85" t="s">
        <v>751</v>
      </c>
      <c r="G717" s="86" t="s">
        <v>25</v>
      </c>
      <c r="H717" s="87">
        <v>45965</v>
      </c>
      <c r="I717" s="87"/>
      <c r="J717" s="79" t="s">
        <v>188</v>
      </c>
      <c r="K717" s="62">
        <v>-28</v>
      </c>
      <c r="L717" s="68">
        <f t="shared" si="87"/>
        <v>533.76999999999953</v>
      </c>
      <c r="M717" s="38"/>
      <c r="N717" s="44" t="str">
        <f t="shared" si="75"/>
        <v>MCSFIN2CPF - Desp. Financeiras - Juros / Tarifas</v>
      </c>
      <c r="O717" s="44" t="str">
        <f t="shared" si="76"/>
        <v>FIN2CPF - Desp. Financeiras - Juros / Tarifas</v>
      </c>
      <c r="P717" s="44" t="str">
        <f t="shared" si="77"/>
        <v>MCSFIN2CPF - Desp. Financeiras - Juros / Tarifas</v>
      </c>
      <c r="Q717" s="44" t="str">
        <f t="shared" si="78"/>
        <v>MCSFIN2</v>
      </c>
      <c r="R717" s="44" t="str">
        <f t="shared" si="79"/>
        <v>MCSFIN2</v>
      </c>
      <c r="S717" s="38"/>
      <c r="T717" s="45">
        <f t="shared" si="80"/>
        <v>45962</v>
      </c>
      <c r="U717" s="24" t="str">
        <f t="shared" si="67"/>
        <v/>
      </c>
    </row>
    <row r="718" spans="2:21" s="46" customFormat="1" x14ac:dyDescent="0.25">
      <c r="B718" s="37" t="s">
        <v>25</v>
      </c>
      <c r="C718" s="38"/>
      <c r="D718" s="86" t="str">
        <f>INDEX(Cad_Natureza!$B$3:$C$52,MATCH('2025'!F718,Cad_Natureza!$C$3:$C$52,0),MATCH('2025'!D$2,Cad_Natureza!$B$3:$C$3,0))</f>
        <v>FIN2</v>
      </c>
      <c r="E718" s="84" t="s">
        <v>890</v>
      </c>
      <c r="F718" s="85" t="s">
        <v>751</v>
      </c>
      <c r="G718" s="86" t="s">
        <v>25</v>
      </c>
      <c r="H718" s="87">
        <v>45965</v>
      </c>
      <c r="I718" s="87"/>
      <c r="J718" s="79" t="s">
        <v>188</v>
      </c>
      <c r="K718" s="62">
        <v>-28</v>
      </c>
      <c r="L718" s="68">
        <f t="shared" si="87"/>
        <v>505.76999999999953</v>
      </c>
      <c r="M718" s="38"/>
      <c r="N718" s="44" t="str">
        <f t="shared" si="75"/>
        <v>MCSFIN2CPF - Desp. Financeiras - Juros / Tarifas</v>
      </c>
      <c r="O718" s="44" t="str">
        <f t="shared" si="76"/>
        <v>FIN2CPF - Desp. Financeiras - Juros / Tarifas</v>
      </c>
      <c r="P718" s="44" t="str">
        <f t="shared" si="77"/>
        <v>MCSFIN2CPF - Desp. Financeiras - Juros / Tarifas</v>
      </c>
      <c r="Q718" s="44" t="str">
        <f t="shared" si="78"/>
        <v>MCSFIN2</v>
      </c>
      <c r="R718" s="44" t="str">
        <f t="shared" si="79"/>
        <v>MCSFIN2</v>
      </c>
      <c r="S718" s="38"/>
      <c r="T718" s="45">
        <f t="shared" si="80"/>
        <v>45962</v>
      </c>
      <c r="U718" s="24" t="str">
        <f t="shared" si="67"/>
        <v/>
      </c>
    </row>
    <row r="719" spans="2:21" s="46" customFormat="1" x14ac:dyDescent="0.25">
      <c r="B719" s="37" t="s">
        <v>25</v>
      </c>
      <c r="C719" s="38"/>
      <c r="D719" s="63" t="str">
        <f>INDEX(Cad_Natureza!$B$3:$C$52,MATCH('2025'!F719,Cad_Natureza!$C$3:$C$52,0),MATCH('2025'!D$2,Cad_Natureza!$B$3:$C$3,0))</f>
        <v>REC5</v>
      </c>
      <c r="E719" s="64" t="s">
        <v>891</v>
      </c>
      <c r="F719" s="65" t="s">
        <v>740</v>
      </c>
      <c r="G719" s="63" t="s">
        <v>25</v>
      </c>
      <c r="H719" s="66">
        <v>45966</v>
      </c>
      <c r="I719" s="66"/>
      <c r="J719" s="67" t="s">
        <v>941</v>
      </c>
      <c r="K719" s="68">
        <v>131</v>
      </c>
      <c r="L719" s="68">
        <f t="shared" si="87"/>
        <v>636.76999999999953</v>
      </c>
      <c r="M719" s="38"/>
      <c r="N719" s="44" t="str">
        <f t="shared" si="75"/>
        <v>MCSREC5CPF - Outras receitas</v>
      </c>
      <c r="O719" s="44" t="str">
        <f t="shared" si="76"/>
        <v>REC5CPF - Outras receitas</v>
      </c>
      <c r="P719" s="44" t="str">
        <f t="shared" si="77"/>
        <v>MCSREC5CPF - Outras receitas</v>
      </c>
      <c r="Q719" s="44" t="str">
        <f t="shared" si="78"/>
        <v>MCSREC5</v>
      </c>
      <c r="R719" s="44" t="str">
        <f t="shared" si="79"/>
        <v>MCSREC5</v>
      </c>
      <c r="S719" s="38"/>
      <c r="T719" s="45">
        <f t="shared" si="80"/>
        <v>45962</v>
      </c>
      <c r="U719" s="24" t="str">
        <f t="shared" si="67"/>
        <v/>
      </c>
    </row>
    <row r="720" spans="2:21" s="46" customFormat="1" x14ac:dyDescent="0.25">
      <c r="B720" s="37" t="s">
        <v>25</v>
      </c>
      <c r="C720" s="38"/>
      <c r="D720" s="39" t="str">
        <f>INDEX(Cad_Natureza!$B$3:$C$52,MATCH('2025'!F720,Cad_Natureza!$C$3:$C$52,0),MATCH('2025'!D$2,Cad_Natureza!$B$3:$C$3,0))</f>
        <v>OPF1</v>
      </c>
      <c r="E720" s="40" t="s">
        <v>892</v>
      </c>
      <c r="F720" s="41" t="s">
        <v>744</v>
      </c>
      <c r="G720" s="39" t="s">
        <v>25</v>
      </c>
      <c r="H720" s="42">
        <v>45966</v>
      </c>
      <c r="I720" s="42"/>
      <c r="J720" s="79" t="s">
        <v>855</v>
      </c>
      <c r="K720" s="62">
        <v>-60</v>
      </c>
      <c r="L720" s="68">
        <f t="shared" si="87"/>
        <v>576.76999999999953</v>
      </c>
      <c r="M720" s="38"/>
      <c r="N720" s="44" t="str">
        <f t="shared" si="75"/>
        <v>MCSOPF1CPF - Desp. Alimentação / Refeição</v>
      </c>
      <c r="O720" s="44" t="str">
        <f t="shared" si="76"/>
        <v>OPF1CPF - Desp. Alimentação / Refeição</v>
      </c>
      <c r="P720" s="44" t="str">
        <f t="shared" si="77"/>
        <v>MCSOPF1CPF - Desp. Alimentação / Refeição</v>
      </c>
      <c r="Q720" s="44" t="str">
        <f t="shared" si="78"/>
        <v>MCSOPF1</v>
      </c>
      <c r="R720" s="44" t="str">
        <f t="shared" si="79"/>
        <v>MCSOPF1</v>
      </c>
      <c r="S720" s="38"/>
      <c r="T720" s="45">
        <f t="shared" si="80"/>
        <v>45962</v>
      </c>
      <c r="U720" s="24" t="str">
        <f t="shared" si="67"/>
        <v/>
      </c>
    </row>
    <row r="721" spans="2:22" s="46" customFormat="1" x14ac:dyDescent="0.25">
      <c r="B721" s="37" t="s">
        <v>25</v>
      </c>
      <c r="C721" s="38"/>
      <c r="D721" s="86" t="str">
        <f>INDEX(Cad_Natureza!$B$3:$C$52,MATCH('2025'!F721,Cad_Natureza!$C$3:$C$52,0),MATCH('2025'!D$2,Cad_Natureza!$B$3:$C$3,0))</f>
        <v>GAST1</v>
      </c>
      <c r="E721" s="84" t="s">
        <v>893</v>
      </c>
      <c r="F721" s="85" t="s">
        <v>742</v>
      </c>
      <c r="G721" s="86" t="s">
        <v>25</v>
      </c>
      <c r="H721" s="87">
        <v>45966</v>
      </c>
      <c r="I721" s="42"/>
      <c r="J721" s="79" t="s">
        <v>185</v>
      </c>
      <c r="K721" s="62">
        <v>-78</v>
      </c>
      <c r="L721" s="68">
        <f t="shared" si="87"/>
        <v>498.76999999999953</v>
      </c>
      <c r="M721" s="38"/>
      <c r="N721" s="44" t="str">
        <f t="shared" si="75"/>
        <v>MCSGAST1CPF - Desp. Lazer e Entretenimento - Bares</v>
      </c>
      <c r="O721" s="44" t="str">
        <f t="shared" si="76"/>
        <v>GAST1CPF - Desp. Lazer e Entretenimento - Bares</v>
      </c>
      <c r="P721" s="44" t="str">
        <f t="shared" si="77"/>
        <v>MCSGAST1CPF - Desp. Lazer e Entretenimento - Bares</v>
      </c>
      <c r="Q721" s="44" t="str">
        <f t="shared" si="78"/>
        <v>MCSGAST1</v>
      </c>
      <c r="R721" s="44" t="str">
        <f t="shared" si="79"/>
        <v>MCSGAST1</v>
      </c>
      <c r="S721" s="38"/>
      <c r="T721" s="45">
        <f t="shared" si="80"/>
        <v>45962</v>
      </c>
      <c r="U721" s="24" t="str">
        <f t="shared" si="67"/>
        <v/>
      </c>
    </row>
    <row r="722" spans="2:22" s="46" customFormat="1" x14ac:dyDescent="0.25">
      <c r="B722" s="37" t="s">
        <v>25</v>
      </c>
      <c r="C722" s="38"/>
      <c r="D722" s="39" t="str">
        <f>INDEX(Cad_Natureza!$B$3:$C$52,MATCH('2025'!F722,Cad_Natureza!$C$3:$C$52,0),MATCH('2025'!D$2,Cad_Natureza!$B$3:$C$3,0))</f>
        <v>PENS6</v>
      </c>
      <c r="E722" s="40" t="s">
        <v>894</v>
      </c>
      <c r="F722" s="41" t="s">
        <v>37</v>
      </c>
      <c r="G722" s="39" t="s">
        <v>25</v>
      </c>
      <c r="H722" s="42">
        <v>45967</v>
      </c>
      <c r="I722" s="42"/>
      <c r="J722" s="78" t="s">
        <v>942</v>
      </c>
      <c r="K722" s="62">
        <v>-9.9</v>
      </c>
      <c r="L722" s="68">
        <f t="shared" si="87"/>
        <v>488.86999999999955</v>
      </c>
      <c r="M722" s="38"/>
      <c r="N722" s="44" t="str">
        <f t="shared" si="75"/>
        <v>MCSPENS6CPF - Pensão - Farmácia e Saúde</v>
      </c>
      <c r="O722" s="44" t="str">
        <f t="shared" si="76"/>
        <v>PENS6CPF - Pensão - Farmácia e Saúde</v>
      </c>
      <c r="P722" s="44" t="str">
        <f t="shared" si="77"/>
        <v>MCSPENS6CPF - Pensão - Farmácia e Saúde</v>
      </c>
      <c r="Q722" s="44" t="str">
        <f t="shared" si="78"/>
        <v>MCSPENS6</v>
      </c>
      <c r="R722" s="44" t="str">
        <f t="shared" si="79"/>
        <v>MCSPENS6</v>
      </c>
      <c r="S722" s="38"/>
      <c r="T722" s="45">
        <f t="shared" si="80"/>
        <v>45962</v>
      </c>
      <c r="U722" s="24" t="str">
        <f t="shared" si="67"/>
        <v/>
      </c>
      <c r="V722" s="14" t="s">
        <v>731</v>
      </c>
    </row>
    <row r="723" spans="2:22" s="46" customFormat="1" x14ac:dyDescent="0.25">
      <c r="B723" s="37" t="s">
        <v>25</v>
      </c>
      <c r="C723" s="38"/>
      <c r="D723" s="39" t="str">
        <f>INDEX(Cad_Natureza!$B$3:$C$52,MATCH('2025'!F723,Cad_Natureza!$C$3:$C$52,0),MATCH('2025'!D$2,Cad_Natureza!$B$3:$C$3,0))</f>
        <v>OPF1</v>
      </c>
      <c r="E723" s="40" t="s">
        <v>895</v>
      </c>
      <c r="F723" s="41" t="s">
        <v>744</v>
      </c>
      <c r="G723" s="39" t="s">
        <v>25</v>
      </c>
      <c r="H723" s="42">
        <v>45967</v>
      </c>
      <c r="I723" s="42"/>
      <c r="J723" s="79" t="s">
        <v>182</v>
      </c>
      <c r="K723" s="62">
        <v>-20</v>
      </c>
      <c r="L723" s="68">
        <f t="shared" si="87"/>
        <v>468.86999999999955</v>
      </c>
      <c r="M723" s="38"/>
      <c r="N723" s="44" t="str">
        <f t="shared" si="75"/>
        <v>MCSOPF1CPF - Desp. Alimentação / Refeição</v>
      </c>
      <c r="O723" s="44" t="str">
        <f t="shared" si="76"/>
        <v>OPF1CPF - Desp. Alimentação / Refeição</v>
      </c>
      <c r="P723" s="44" t="str">
        <f t="shared" si="77"/>
        <v>MCSOPF1CPF - Desp. Alimentação / Refeição</v>
      </c>
      <c r="Q723" s="44" t="str">
        <f t="shared" si="78"/>
        <v>MCSOPF1</v>
      </c>
      <c r="R723" s="44" t="str">
        <f t="shared" si="79"/>
        <v>MCSOPF1</v>
      </c>
      <c r="S723" s="38"/>
      <c r="T723" s="45">
        <f t="shared" si="80"/>
        <v>45962</v>
      </c>
      <c r="U723" s="24" t="str">
        <f t="shared" si="67"/>
        <v/>
      </c>
    </row>
    <row r="724" spans="2:22" s="46" customFormat="1" x14ac:dyDescent="0.25">
      <c r="B724" s="37" t="s">
        <v>25</v>
      </c>
      <c r="C724" s="38"/>
      <c r="D724" s="39" t="str">
        <f>INDEX(Cad_Natureza!$B$3:$C$52,MATCH('2025'!F724,Cad_Natureza!$C$3:$C$52,0),MATCH('2025'!D$2,Cad_Natureza!$B$3:$C$3,0))</f>
        <v>FIN1</v>
      </c>
      <c r="E724" s="40" t="s">
        <v>896</v>
      </c>
      <c r="F724" s="41" t="s">
        <v>713</v>
      </c>
      <c r="G724" s="39" t="s">
        <v>25</v>
      </c>
      <c r="H724" s="42">
        <v>45967</v>
      </c>
      <c r="I724" s="42"/>
      <c r="J724" s="43" t="s">
        <v>943</v>
      </c>
      <c r="K724" s="62">
        <v>-200</v>
      </c>
      <c r="L724" s="68">
        <f t="shared" si="87"/>
        <v>268.86999999999955</v>
      </c>
      <c r="M724" s="38"/>
      <c r="N724" s="44" t="str">
        <f t="shared" si="75"/>
        <v>MCSFIN1CPF - Desp. Financeiras - Empréstimos</v>
      </c>
      <c r="O724" s="44" t="str">
        <f t="shared" si="76"/>
        <v>FIN1CPF - Desp. Financeiras - Empréstimos</v>
      </c>
      <c r="P724" s="44" t="str">
        <f t="shared" si="77"/>
        <v>MCSFIN1CPF - Desp. Financeiras - Empréstimos</v>
      </c>
      <c r="Q724" s="44" t="str">
        <f t="shared" si="78"/>
        <v>MCSFIN1</v>
      </c>
      <c r="R724" s="44" t="str">
        <f t="shared" si="79"/>
        <v>MCSFIN1</v>
      </c>
      <c r="S724" s="38"/>
      <c r="T724" s="45">
        <f t="shared" si="80"/>
        <v>45962</v>
      </c>
      <c r="U724" s="24" t="str">
        <f t="shared" si="67"/>
        <v/>
      </c>
    </row>
    <row r="725" spans="2:22" s="46" customFormat="1" x14ac:dyDescent="0.25">
      <c r="B725" s="37" t="s">
        <v>25</v>
      </c>
      <c r="C725" s="38"/>
      <c r="D725" s="39" t="str">
        <f>INDEX(Cad_Natureza!$B$3:$C$52,MATCH('2025'!F725,Cad_Natureza!$C$3:$C$52,0),MATCH('2025'!D$2,Cad_Natureza!$B$3:$C$3,0))</f>
        <v>FIN1</v>
      </c>
      <c r="E725" s="40" t="s">
        <v>897</v>
      </c>
      <c r="F725" s="41" t="s">
        <v>713</v>
      </c>
      <c r="G725" s="39" t="s">
        <v>25</v>
      </c>
      <c r="H725" s="42">
        <v>45967</v>
      </c>
      <c r="I725" s="42"/>
      <c r="J725" s="43" t="s">
        <v>944</v>
      </c>
      <c r="K725" s="62">
        <v>-80</v>
      </c>
      <c r="L725" s="68">
        <f t="shared" si="87"/>
        <v>188.86999999999955</v>
      </c>
      <c r="M725" s="38"/>
      <c r="N725" s="44" t="str">
        <f t="shared" si="75"/>
        <v>MCSFIN1CPF - Desp. Financeiras - Empréstimos</v>
      </c>
      <c r="O725" s="44" t="str">
        <f t="shared" si="76"/>
        <v>FIN1CPF - Desp. Financeiras - Empréstimos</v>
      </c>
      <c r="P725" s="44" t="str">
        <f t="shared" si="77"/>
        <v>MCSFIN1CPF - Desp. Financeiras - Empréstimos</v>
      </c>
      <c r="Q725" s="44" t="str">
        <f t="shared" si="78"/>
        <v>MCSFIN1</v>
      </c>
      <c r="R725" s="44" t="str">
        <f t="shared" si="79"/>
        <v>MCSFIN1</v>
      </c>
      <c r="S725" s="38"/>
      <c r="T725" s="45">
        <f t="shared" si="80"/>
        <v>45962</v>
      </c>
      <c r="U725" s="24" t="str">
        <f t="shared" si="67"/>
        <v/>
      </c>
    </row>
    <row r="726" spans="2:22" s="46" customFormat="1" x14ac:dyDescent="0.25">
      <c r="B726" s="37" t="s">
        <v>25</v>
      </c>
      <c r="C726" s="38"/>
      <c r="D726" s="39" t="str">
        <f>INDEX(Cad_Natureza!$B$3:$C$52,MATCH('2025'!F726,Cad_Natureza!$C$3:$C$52,0),MATCH('2025'!D$2,Cad_Natureza!$B$3:$C$3,0))</f>
        <v>GAST1</v>
      </c>
      <c r="E726" s="40" t="s">
        <v>898</v>
      </c>
      <c r="F726" s="85" t="s">
        <v>742</v>
      </c>
      <c r="G726" s="39" t="s">
        <v>25</v>
      </c>
      <c r="H726" s="42">
        <v>45967</v>
      </c>
      <c r="I726" s="42"/>
      <c r="J726" s="79" t="s">
        <v>945</v>
      </c>
      <c r="K726" s="62">
        <v>-5</v>
      </c>
      <c r="L726" s="68">
        <f t="shared" si="87"/>
        <v>183.86999999999955</v>
      </c>
      <c r="M726" s="38"/>
      <c r="N726" s="44" t="str">
        <f t="shared" si="75"/>
        <v>MCSGAST1CPF - Desp. Lazer e Entretenimento - Bares</v>
      </c>
      <c r="O726" s="44" t="str">
        <f t="shared" si="76"/>
        <v>GAST1CPF - Desp. Lazer e Entretenimento - Bares</v>
      </c>
      <c r="P726" s="44" t="str">
        <f t="shared" si="77"/>
        <v>MCSGAST1CPF - Desp. Lazer e Entretenimento - Bares</v>
      </c>
      <c r="Q726" s="44" t="str">
        <f t="shared" si="78"/>
        <v>MCSGAST1</v>
      </c>
      <c r="R726" s="44" t="str">
        <f t="shared" si="79"/>
        <v>MCSGAST1</v>
      </c>
      <c r="S726" s="38"/>
      <c r="T726" s="45">
        <f t="shared" si="80"/>
        <v>45962</v>
      </c>
      <c r="U726" s="24" t="str">
        <f t="shared" si="67"/>
        <v/>
      </c>
    </row>
    <row r="727" spans="2:22" s="46" customFormat="1" x14ac:dyDescent="0.25">
      <c r="B727" s="37" t="s">
        <v>25</v>
      </c>
      <c r="C727" s="38"/>
      <c r="D727" s="86" t="str">
        <f>INDEX(Cad_Natureza!$B$3:$C$52,MATCH('2025'!F727,Cad_Natureza!$C$3:$C$52,0),MATCH('2025'!D$2,Cad_Natureza!$B$3:$C$3,0))</f>
        <v>GAST1</v>
      </c>
      <c r="E727" s="84" t="s">
        <v>899</v>
      </c>
      <c r="F727" s="85" t="s">
        <v>742</v>
      </c>
      <c r="G727" s="86" t="s">
        <v>25</v>
      </c>
      <c r="H727" s="87">
        <v>45967</v>
      </c>
      <c r="I727" s="42"/>
      <c r="J727" s="79" t="s">
        <v>185</v>
      </c>
      <c r="K727" s="62">
        <v>-20</v>
      </c>
      <c r="L727" s="68">
        <f t="shared" si="87"/>
        <v>163.86999999999955</v>
      </c>
      <c r="M727" s="38"/>
      <c r="N727" s="44" t="str">
        <f t="shared" si="75"/>
        <v>MCSGAST1CPF - Desp. Lazer e Entretenimento - Bares</v>
      </c>
      <c r="O727" s="44" t="str">
        <f t="shared" si="76"/>
        <v>GAST1CPF - Desp. Lazer e Entretenimento - Bares</v>
      </c>
      <c r="P727" s="44" t="str">
        <f t="shared" si="77"/>
        <v>MCSGAST1CPF - Desp. Lazer e Entretenimento - Bares</v>
      </c>
      <c r="Q727" s="44" t="str">
        <f t="shared" si="78"/>
        <v>MCSGAST1</v>
      </c>
      <c r="R727" s="44" t="str">
        <f t="shared" si="79"/>
        <v>MCSGAST1</v>
      </c>
      <c r="S727" s="38"/>
      <c r="T727" s="45">
        <f t="shared" si="80"/>
        <v>45962</v>
      </c>
      <c r="U727" s="24" t="str">
        <f t="shared" si="67"/>
        <v/>
      </c>
    </row>
    <row r="728" spans="2:22" s="46" customFormat="1" x14ac:dyDescent="0.25">
      <c r="B728" s="37" t="s">
        <v>25</v>
      </c>
      <c r="C728" s="38"/>
      <c r="D728" s="39" t="str">
        <f>INDEX(Cad_Natureza!$B$3:$C$52,MATCH('2025'!F728,Cad_Natureza!$C$3:$C$52,0),MATCH('2025'!D$2,Cad_Natureza!$B$3:$C$3,0))</f>
        <v>PENS6</v>
      </c>
      <c r="E728" s="40" t="s">
        <v>900</v>
      </c>
      <c r="F728" s="41" t="s">
        <v>37</v>
      </c>
      <c r="G728" s="39" t="s">
        <v>25</v>
      </c>
      <c r="H728" s="42">
        <v>45967</v>
      </c>
      <c r="I728" s="42"/>
      <c r="J728" s="43" t="s">
        <v>196</v>
      </c>
      <c r="K728" s="62">
        <v>-22.99</v>
      </c>
      <c r="L728" s="68">
        <f t="shared" si="87"/>
        <v>140.87999999999954</v>
      </c>
      <c r="M728" s="38"/>
      <c r="N728" s="44" t="str">
        <f t="shared" si="75"/>
        <v>MCSPENS6CPF - Pensão - Farmácia e Saúde</v>
      </c>
      <c r="O728" s="44" t="str">
        <f t="shared" si="76"/>
        <v>PENS6CPF - Pensão - Farmácia e Saúde</v>
      </c>
      <c r="P728" s="44" t="str">
        <f t="shared" si="77"/>
        <v>MCSPENS6CPF - Pensão - Farmácia e Saúde</v>
      </c>
      <c r="Q728" s="44" t="str">
        <f t="shared" si="78"/>
        <v>MCSPENS6</v>
      </c>
      <c r="R728" s="44" t="str">
        <f t="shared" si="79"/>
        <v>MCSPENS6</v>
      </c>
      <c r="S728" s="38"/>
      <c r="T728" s="45">
        <f t="shared" si="80"/>
        <v>45962</v>
      </c>
      <c r="U728" s="24" t="str">
        <f t="shared" si="67"/>
        <v/>
      </c>
      <c r="V728" s="14" t="s">
        <v>731</v>
      </c>
    </row>
    <row r="729" spans="2:22" s="46" customFormat="1" x14ac:dyDescent="0.25">
      <c r="B729" s="37" t="s">
        <v>25</v>
      </c>
      <c r="C729" s="38"/>
      <c r="D729" s="39" t="str">
        <f>INDEX(Cad_Natureza!$B$3:$C$52,MATCH('2025'!F729,Cad_Natureza!$C$3:$C$52,0),MATCH('2025'!D$2,Cad_Natureza!$B$3:$C$3,0))</f>
        <v>OPF1</v>
      </c>
      <c r="E729" s="40" t="s">
        <v>901</v>
      </c>
      <c r="F729" s="41" t="s">
        <v>744</v>
      </c>
      <c r="G729" s="39" t="s">
        <v>25</v>
      </c>
      <c r="H729" s="42">
        <v>45968</v>
      </c>
      <c r="I729" s="42"/>
      <c r="J729" s="79" t="s">
        <v>182</v>
      </c>
      <c r="K729" s="62">
        <v>-20</v>
      </c>
      <c r="L729" s="68">
        <f t="shared" si="87"/>
        <v>120.87999999999954</v>
      </c>
      <c r="M729" s="38"/>
      <c r="N729" s="44" t="str">
        <f t="shared" si="75"/>
        <v>MCSOPF1CPF - Desp. Alimentação / Refeição</v>
      </c>
      <c r="O729" s="44" t="str">
        <f t="shared" si="76"/>
        <v>OPF1CPF - Desp. Alimentação / Refeição</v>
      </c>
      <c r="P729" s="44" t="str">
        <f t="shared" si="77"/>
        <v>MCSOPF1CPF - Desp. Alimentação / Refeição</v>
      </c>
      <c r="Q729" s="44" t="str">
        <f t="shared" si="78"/>
        <v>MCSOPF1</v>
      </c>
      <c r="R729" s="44" t="str">
        <f t="shared" si="79"/>
        <v>MCSOPF1</v>
      </c>
      <c r="S729" s="38"/>
      <c r="T729" s="45">
        <f t="shared" si="80"/>
        <v>45962</v>
      </c>
      <c r="U729" s="24" t="str">
        <f t="shared" si="67"/>
        <v/>
      </c>
    </row>
    <row r="730" spans="2:22" s="46" customFormat="1" x14ac:dyDescent="0.25">
      <c r="B730" s="37" t="s">
        <v>25</v>
      </c>
      <c r="C730" s="38"/>
      <c r="D730" s="63" t="str">
        <f>INDEX(Cad_Natureza!$B$3:$C$52,MATCH('2025'!F730,Cad_Natureza!$C$3:$C$52,0),MATCH('2025'!D$2,Cad_Natureza!$B$3:$C$3,0))</f>
        <v>REC4</v>
      </c>
      <c r="E730" s="64" t="s">
        <v>902</v>
      </c>
      <c r="F730" s="65" t="s">
        <v>734</v>
      </c>
      <c r="G730" s="63" t="s">
        <v>25</v>
      </c>
      <c r="H730" s="66">
        <v>45968</v>
      </c>
      <c r="I730" s="66"/>
      <c r="J730" s="67" t="s">
        <v>183</v>
      </c>
      <c r="K730" s="68">
        <v>3000</v>
      </c>
      <c r="L730" s="68">
        <f t="shared" si="87"/>
        <v>3120.8799999999997</v>
      </c>
      <c r="M730" s="38"/>
      <c r="N730" s="44" t="str">
        <f t="shared" si="75"/>
        <v>MCSREC4CPF - Transf. Da conta PJ para a conta PF</v>
      </c>
      <c r="O730" s="44" t="str">
        <f t="shared" si="76"/>
        <v>REC4CPF - Transf. Da conta PJ para a conta PF</v>
      </c>
      <c r="P730" s="44" t="str">
        <f t="shared" si="77"/>
        <v>MCSREC4CPF - Transf. Da conta PJ para a conta PF</v>
      </c>
      <c r="Q730" s="44" t="str">
        <f t="shared" si="78"/>
        <v>MCSREC4</v>
      </c>
      <c r="R730" s="44" t="str">
        <f t="shared" si="79"/>
        <v>MCSREC4</v>
      </c>
      <c r="S730" s="38"/>
      <c r="T730" s="45">
        <f t="shared" si="80"/>
        <v>45962</v>
      </c>
      <c r="U730" s="24" t="str">
        <f t="shared" si="67"/>
        <v/>
      </c>
    </row>
    <row r="731" spans="2:22" s="46" customFormat="1" x14ac:dyDescent="0.25">
      <c r="B731" s="37" t="s">
        <v>25</v>
      </c>
      <c r="C731" s="38"/>
      <c r="D731" s="39" t="str">
        <f>INDEX(Cad_Natureza!$B$3:$C$52,MATCH('2025'!F731,Cad_Natureza!$C$3:$C$52,0),MATCH('2025'!D$2,Cad_Natureza!$B$3:$C$3,0))</f>
        <v>PENS3</v>
      </c>
      <c r="E731" s="40" t="s">
        <v>558</v>
      </c>
      <c r="F731" s="85" t="s">
        <v>746</v>
      </c>
      <c r="G731" s="39" t="s">
        <v>25</v>
      </c>
      <c r="H731" s="42">
        <v>45968</v>
      </c>
      <c r="I731" s="42"/>
      <c r="J731" s="78" t="s">
        <v>879</v>
      </c>
      <c r="K731" s="62">
        <v>-530.63</v>
      </c>
      <c r="L731" s="68">
        <f t="shared" si="87"/>
        <v>2590.2499999999995</v>
      </c>
      <c r="M731" s="38"/>
      <c r="N731" s="44" t="str">
        <f t="shared" si="75"/>
        <v>MCSPENS3CPF - Pensão - Plano de saúde</v>
      </c>
      <c r="O731" s="44" t="str">
        <f t="shared" si="76"/>
        <v>PENS3CPF - Pensão - Plano de saúde</v>
      </c>
      <c r="P731" s="44" t="str">
        <f t="shared" si="77"/>
        <v>MCSPENS3CPF - Pensão - Plano de saúde</v>
      </c>
      <c r="Q731" s="44" t="str">
        <f t="shared" si="78"/>
        <v>MCSPENS3</v>
      </c>
      <c r="R731" s="44" t="str">
        <f t="shared" si="79"/>
        <v>MCSPENS3</v>
      </c>
      <c r="S731" s="38"/>
      <c r="T731" s="45">
        <f t="shared" si="80"/>
        <v>45962</v>
      </c>
      <c r="U731" s="24" t="str">
        <f t="shared" si="67"/>
        <v/>
      </c>
      <c r="V731" s="14" t="s">
        <v>731</v>
      </c>
    </row>
    <row r="732" spans="2:22" s="46" customFormat="1" x14ac:dyDescent="0.25">
      <c r="B732" s="37" t="s">
        <v>25</v>
      </c>
      <c r="C732" s="38"/>
      <c r="D732" s="86" t="str">
        <f>INDEX(Cad_Natureza!$B$3:$C$52,MATCH('2025'!F732,Cad_Natureza!$C$3:$C$52,0),MATCH('2025'!D$2,Cad_Natureza!$B$3:$C$3,0))</f>
        <v>PENS5</v>
      </c>
      <c r="E732" s="84" t="s">
        <v>903</v>
      </c>
      <c r="F732" s="85" t="s">
        <v>716</v>
      </c>
      <c r="G732" s="86" t="s">
        <v>25</v>
      </c>
      <c r="H732" s="87">
        <v>45968</v>
      </c>
      <c r="I732" s="42"/>
      <c r="J732" s="78" t="s">
        <v>946</v>
      </c>
      <c r="K732" s="62">
        <v>-355.77</v>
      </c>
      <c r="L732" s="68">
        <f t="shared" si="87"/>
        <v>2234.4799999999996</v>
      </c>
      <c r="M732" s="38"/>
      <c r="N732" s="44" t="str">
        <f t="shared" si="75"/>
        <v>MCSPENS5CPF - Pensão - Água</v>
      </c>
      <c r="O732" s="44" t="str">
        <f t="shared" si="76"/>
        <v>PENS5CPF - Pensão - Água</v>
      </c>
      <c r="P732" s="44" t="str">
        <f t="shared" si="77"/>
        <v>MCSPENS5CPF - Pensão - Água</v>
      </c>
      <c r="Q732" s="44" t="str">
        <f t="shared" si="78"/>
        <v>MCSPENS5</v>
      </c>
      <c r="R732" s="44" t="str">
        <f t="shared" si="79"/>
        <v>MCSPENS5</v>
      </c>
      <c r="S732" s="38"/>
      <c r="T732" s="45">
        <f t="shared" si="80"/>
        <v>45962</v>
      </c>
      <c r="U732" s="24" t="str">
        <f t="shared" si="67"/>
        <v/>
      </c>
      <c r="V732" s="14" t="s">
        <v>731</v>
      </c>
    </row>
    <row r="733" spans="2:22" s="46" customFormat="1" x14ac:dyDescent="0.25">
      <c r="B733" s="37" t="s">
        <v>25</v>
      </c>
      <c r="C733" s="38"/>
      <c r="D733" s="39" t="str">
        <f>INDEX(Cad_Natureza!$B$3:$C$52,MATCH('2025'!F733,Cad_Natureza!$C$3:$C$52,0),MATCH('2025'!D$2,Cad_Natureza!$B$3:$C$3,0))</f>
        <v>OPF2</v>
      </c>
      <c r="E733" s="40" t="s">
        <v>904</v>
      </c>
      <c r="F733" s="85" t="s">
        <v>741</v>
      </c>
      <c r="G733" s="39" t="s">
        <v>25</v>
      </c>
      <c r="H733" s="42">
        <v>45968</v>
      </c>
      <c r="I733" s="42"/>
      <c r="J733" s="79" t="s">
        <v>674</v>
      </c>
      <c r="K733" s="62">
        <v>-50</v>
      </c>
      <c r="L733" s="68">
        <f t="shared" si="87"/>
        <v>2184.4799999999996</v>
      </c>
      <c r="M733" s="38"/>
      <c r="N733" s="44" t="str">
        <f t="shared" si="75"/>
        <v>MCSOPF2CPF - Desp. Transporte / Combustível</v>
      </c>
      <c r="O733" s="44" t="str">
        <f t="shared" si="76"/>
        <v>OPF2CPF - Desp. Transporte / Combustível</v>
      </c>
      <c r="P733" s="44" t="str">
        <f t="shared" si="77"/>
        <v>MCSOPF2CPF - Desp. Transporte / Combustível</v>
      </c>
      <c r="Q733" s="44" t="str">
        <f t="shared" si="78"/>
        <v>MCSOPF2</v>
      </c>
      <c r="R733" s="44" t="str">
        <f t="shared" si="79"/>
        <v>MCSOPF2</v>
      </c>
      <c r="S733" s="38"/>
      <c r="T733" s="45">
        <f t="shared" si="80"/>
        <v>45962</v>
      </c>
      <c r="U733" s="24" t="str">
        <f t="shared" si="67"/>
        <v/>
      </c>
    </row>
    <row r="734" spans="2:22" s="46" customFormat="1" x14ac:dyDescent="0.25">
      <c r="B734" s="37" t="s">
        <v>25</v>
      </c>
      <c r="C734" s="38"/>
      <c r="D734" s="86" t="str">
        <f>INDEX(Cad_Natureza!$B$3:$C$52,MATCH('2025'!F734,Cad_Natureza!$C$3:$C$52,0),MATCH('2025'!D$2,Cad_Natureza!$B$3:$C$3,0))</f>
        <v>GAST1</v>
      </c>
      <c r="E734" s="84" t="s">
        <v>905</v>
      </c>
      <c r="F734" s="85" t="s">
        <v>742</v>
      </c>
      <c r="G734" s="86" t="s">
        <v>25</v>
      </c>
      <c r="H734" s="87">
        <v>45968</v>
      </c>
      <c r="I734" s="42"/>
      <c r="J734" s="79" t="s">
        <v>185</v>
      </c>
      <c r="K734" s="62">
        <v>-32</v>
      </c>
      <c r="L734" s="68">
        <f t="shared" si="87"/>
        <v>2152.4799999999996</v>
      </c>
      <c r="M734" s="38"/>
      <c r="N734" s="44" t="str">
        <f t="shared" si="75"/>
        <v>MCSGAST1CPF - Desp. Lazer e Entretenimento - Bares</v>
      </c>
      <c r="O734" s="44" t="str">
        <f t="shared" si="76"/>
        <v>GAST1CPF - Desp. Lazer e Entretenimento - Bares</v>
      </c>
      <c r="P734" s="44" t="str">
        <f t="shared" si="77"/>
        <v>MCSGAST1CPF - Desp. Lazer e Entretenimento - Bares</v>
      </c>
      <c r="Q734" s="44" t="str">
        <f t="shared" si="78"/>
        <v>MCSGAST1</v>
      </c>
      <c r="R734" s="44" t="str">
        <f t="shared" si="79"/>
        <v>MCSGAST1</v>
      </c>
      <c r="S734" s="38"/>
      <c r="T734" s="45">
        <f t="shared" si="80"/>
        <v>45962</v>
      </c>
      <c r="U734" s="24" t="str">
        <f t="shared" si="67"/>
        <v/>
      </c>
    </row>
    <row r="735" spans="2:22" s="46" customFormat="1" x14ac:dyDescent="0.25">
      <c r="B735" s="37" t="s">
        <v>25</v>
      </c>
      <c r="C735" s="38"/>
      <c r="D735" s="39" t="str">
        <f>INDEX(Cad_Natureza!$B$3:$C$52,MATCH('2025'!F735,Cad_Natureza!$C$3:$C$52,0),MATCH('2025'!D$2,Cad_Natureza!$B$3:$C$3,0))</f>
        <v>GAST1</v>
      </c>
      <c r="E735" s="40" t="s">
        <v>906</v>
      </c>
      <c r="F735" s="85" t="s">
        <v>742</v>
      </c>
      <c r="G735" s="39" t="s">
        <v>25</v>
      </c>
      <c r="H735" s="42">
        <v>45968</v>
      </c>
      <c r="I735" s="42"/>
      <c r="J735" s="79" t="s">
        <v>185</v>
      </c>
      <c r="K735" s="62">
        <v>-8</v>
      </c>
      <c r="L735" s="68">
        <f t="shared" si="87"/>
        <v>2144.4799999999996</v>
      </c>
      <c r="M735" s="38"/>
      <c r="N735" s="44" t="str">
        <f t="shared" si="75"/>
        <v>MCSGAST1CPF - Desp. Lazer e Entretenimento - Bares</v>
      </c>
      <c r="O735" s="44" t="str">
        <f t="shared" si="76"/>
        <v>GAST1CPF - Desp. Lazer e Entretenimento - Bares</v>
      </c>
      <c r="P735" s="44" t="str">
        <f t="shared" si="77"/>
        <v>MCSGAST1CPF - Desp. Lazer e Entretenimento - Bares</v>
      </c>
      <c r="Q735" s="44" t="str">
        <f t="shared" si="78"/>
        <v>MCSGAST1</v>
      </c>
      <c r="R735" s="44" t="str">
        <f t="shared" si="79"/>
        <v>MCSGAST1</v>
      </c>
      <c r="S735" s="38"/>
      <c r="T735" s="45">
        <f t="shared" si="80"/>
        <v>45962</v>
      </c>
      <c r="U735" s="24" t="str">
        <f t="shared" si="67"/>
        <v/>
      </c>
    </row>
    <row r="736" spans="2:22" s="46" customFormat="1" x14ac:dyDescent="0.25">
      <c r="B736" s="37" t="s">
        <v>25</v>
      </c>
      <c r="C736" s="38"/>
      <c r="D736" s="39" t="str">
        <f>INDEX(Cad_Natureza!$B$3:$C$52,MATCH('2025'!F736,Cad_Natureza!$C$3:$C$52,0),MATCH('2025'!D$2,Cad_Natureza!$B$3:$C$3,0))</f>
        <v>GAST1</v>
      </c>
      <c r="E736" s="40" t="s">
        <v>907</v>
      </c>
      <c r="F736" s="85" t="s">
        <v>742</v>
      </c>
      <c r="G736" s="39" t="s">
        <v>25</v>
      </c>
      <c r="H736" s="42">
        <v>45968</v>
      </c>
      <c r="I736" s="42"/>
      <c r="J736" s="79" t="s">
        <v>185</v>
      </c>
      <c r="K736" s="62">
        <v>-5</v>
      </c>
      <c r="L736" s="68">
        <f t="shared" si="87"/>
        <v>2139.4799999999996</v>
      </c>
      <c r="M736" s="38"/>
      <c r="N736" s="44" t="str">
        <f t="shared" si="75"/>
        <v>MCSGAST1CPF - Desp. Lazer e Entretenimento - Bares</v>
      </c>
      <c r="O736" s="44" t="str">
        <f t="shared" si="76"/>
        <v>GAST1CPF - Desp. Lazer e Entretenimento - Bares</v>
      </c>
      <c r="P736" s="44" t="str">
        <f t="shared" si="77"/>
        <v>MCSGAST1CPF - Desp. Lazer e Entretenimento - Bares</v>
      </c>
      <c r="Q736" s="44" t="str">
        <f t="shared" si="78"/>
        <v>MCSGAST1</v>
      </c>
      <c r="R736" s="44" t="str">
        <f t="shared" si="79"/>
        <v>MCSGAST1</v>
      </c>
      <c r="S736" s="38"/>
      <c r="T736" s="45">
        <f t="shared" si="80"/>
        <v>45962</v>
      </c>
      <c r="U736" s="24" t="str">
        <f t="shared" si="67"/>
        <v/>
      </c>
    </row>
    <row r="737" spans="2:21" s="46" customFormat="1" x14ac:dyDescent="0.25">
      <c r="B737" s="37" t="s">
        <v>25</v>
      </c>
      <c r="C737" s="38"/>
      <c r="D737" s="39" t="str">
        <f>INDEX(Cad_Natureza!$B$3:$C$52,MATCH('2025'!F737,Cad_Natureza!$C$3:$C$52,0),MATCH('2025'!D$2,Cad_Natureza!$B$3:$C$3,0))</f>
        <v>FIN1</v>
      </c>
      <c r="E737" s="40" t="s">
        <v>908</v>
      </c>
      <c r="F737" s="41" t="s">
        <v>713</v>
      </c>
      <c r="G737" s="39" t="s">
        <v>25</v>
      </c>
      <c r="H737" s="42">
        <v>45968</v>
      </c>
      <c r="I737" s="42"/>
      <c r="J737" s="43" t="s">
        <v>947</v>
      </c>
      <c r="K737" s="62">
        <v>-100</v>
      </c>
      <c r="L737" s="68">
        <f t="shared" si="87"/>
        <v>2039.4799999999996</v>
      </c>
      <c r="M737" s="38"/>
      <c r="N737" s="44" t="str">
        <f t="shared" si="75"/>
        <v>MCSFIN1CPF - Desp. Financeiras - Empréstimos</v>
      </c>
      <c r="O737" s="44" t="str">
        <f t="shared" si="76"/>
        <v>FIN1CPF - Desp. Financeiras - Empréstimos</v>
      </c>
      <c r="P737" s="44" t="str">
        <f t="shared" si="77"/>
        <v>MCSFIN1CPF - Desp. Financeiras - Empréstimos</v>
      </c>
      <c r="Q737" s="44" t="str">
        <f t="shared" si="78"/>
        <v>MCSFIN1</v>
      </c>
      <c r="R737" s="44" t="str">
        <f t="shared" si="79"/>
        <v>MCSFIN1</v>
      </c>
      <c r="S737" s="38"/>
      <c r="T737" s="45">
        <f t="shared" si="80"/>
        <v>45962</v>
      </c>
      <c r="U737" s="24" t="str">
        <f t="shared" si="67"/>
        <v/>
      </c>
    </row>
    <row r="738" spans="2:21" s="46" customFormat="1" x14ac:dyDescent="0.25">
      <c r="B738" s="37" t="s">
        <v>25</v>
      </c>
      <c r="C738" s="38"/>
      <c r="D738" s="39" t="str">
        <f>INDEX(Cad_Natureza!$B$3:$C$52,MATCH('2025'!F738,Cad_Natureza!$C$3:$C$52,0),MATCH('2025'!D$2,Cad_Natureza!$B$3:$C$3,0))</f>
        <v>GAST2</v>
      </c>
      <c r="E738" s="40" t="s">
        <v>909</v>
      </c>
      <c r="F738" s="41" t="s">
        <v>743</v>
      </c>
      <c r="G738" s="39" t="s">
        <v>25</v>
      </c>
      <c r="H738" s="42">
        <v>45968</v>
      </c>
      <c r="I738" s="42"/>
      <c r="J738" s="43" t="s">
        <v>180</v>
      </c>
      <c r="K738" s="62">
        <v>-5</v>
      </c>
      <c r="L738" s="68">
        <f t="shared" si="87"/>
        <v>2034.4799999999996</v>
      </c>
      <c r="M738" s="38"/>
      <c r="N738" s="44" t="str">
        <f t="shared" si="75"/>
        <v>MCSGAST2CPF - Desp. Lazer e Entretenimento - Cigarro</v>
      </c>
      <c r="O738" s="44" t="str">
        <f t="shared" si="76"/>
        <v>GAST2CPF - Desp. Lazer e Entretenimento - Cigarro</v>
      </c>
      <c r="P738" s="44" t="str">
        <f t="shared" si="77"/>
        <v>MCSGAST2CPF - Desp. Lazer e Entretenimento - Cigarro</v>
      </c>
      <c r="Q738" s="44" t="str">
        <f t="shared" si="78"/>
        <v>MCSGAST2</v>
      </c>
      <c r="R738" s="44" t="str">
        <f t="shared" si="79"/>
        <v>MCSGAST2</v>
      </c>
      <c r="S738" s="38"/>
      <c r="T738" s="45">
        <f t="shared" si="80"/>
        <v>45962</v>
      </c>
      <c r="U738" s="24" t="str">
        <f t="shared" si="67"/>
        <v/>
      </c>
    </row>
    <row r="739" spans="2:21" s="46" customFormat="1" x14ac:dyDescent="0.25">
      <c r="B739" s="37" t="s">
        <v>25</v>
      </c>
      <c r="C739" s="38"/>
      <c r="D739" s="39" t="str">
        <f>INDEX(Cad_Natureza!$B$3:$C$52,MATCH('2025'!F739,Cad_Natureza!$C$3:$C$52,0),MATCH('2025'!D$2,Cad_Natureza!$B$3:$C$3,0))</f>
        <v>GAST2</v>
      </c>
      <c r="E739" s="40" t="s">
        <v>910</v>
      </c>
      <c r="F739" s="41" t="s">
        <v>743</v>
      </c>
      <c r="G739" s="39" t="s">
        <v>25</v>
      </c>
      <c r="H739" s="42">
        <v>45968</v>
      </c>
      <c r="I739" s="42"/>
      <c r="J739" s="43" t="s">
        <v>180</v>
      </c>
      <c r="K739" s="62">
        <v>-6</v>
      </c>
      <c r="L739" s="68">
        <f t="shared" si="87"/>
        <v>2028.4799999999996</v>
      </c>
      <c r="M739" s="38"/>
      <c r="N739" s="44" t="str">
        <f t="shared" si="75"/>
        <v>MCSGAST2CPF - Desp. Lazer e Entretenimento - Cigarro</v>
      </c>
      <c r="O739" s="44" t="str">
        <f t="shared" si="76"/>
        <v>GAST2CPF - Desp. Lazer e Entretenimento - Cigarro</v>
      </c>
      <c r="P739" s="44" t="str">
        <f t="shared" si="77"/>
        <v>MCSGAST2CPF - Desp. Lazer e Entretenimento - Cigarro</v>
      </c>
      <c r="Q739" s="44" t="str">
        <f t="shared" si="78"/>
        <v>MCSGAST2</v>
      </c>
      <c r="R739" s="44" t="str">
        <f t="shared" si="79"/>
        <v>MCSGAST2</v>
      </c>
      <c r="S739" s="38"/>
      <c r="T739" s="45">
        <f t="shared" si="80"/>
        <v>45962</v>
      </c>
      <c r="U739" s="24" t="str">
        <f t="shared" si="67"/>
        <v/>
      </c>
    </row>
    <row r="740" spans="2:21" s="46" customFormat="1" x14ac:dyDescent="0.25">
      <c r="B740" s="37" t="s">
        <v>25</v>
      </c>
      <c r="C740" s="38"/>
      <c r="D740" s="39" t="str">
        <f>INDEX(Cad_Natureza!$B$3:$C$52,MATCH('2025'!F740,Cad_Natureza!$C$3:$C$52,0),MATCH('2025'!D$2,Cad_Natureza!$B$3:$C$3,0))</f>
        <v>FIN2</v>
      </c>
      <c r="E740" s="40" t="s">
        <v>911</v>
      </c>
      <c r="F740" s="41" t="s">
        <v>751</v>
      </c>
      <c r="G740" s="39" t="s">
        <v>25</v>
      </c>
      <c r="H740" s="42">
        <v>45968</v>
      </c>
      <c r="I740" s="42"/>
      <c r="J740" s="43" t="s">
        <v>188</v>
      </c>
      <c r="K740" s="62">
        <v>-0.75</v>
      </c>
      <c r="L740" s="68">
        <f t="shared" si="87"/>
        <v>2027.7299999999996</v>
      </c>
      <c r="M740" s="38"/>
      <c r="N740" s="44" t="str">
        <f t="shared" si="75"/>
        <v>MCSFIN2CPF - Desp. Financeiras - Juros / Tarifas</v>
      </c>
      <c r="O740" s="44" t="str">
        <f t="shared" si="76"/>
        <v>FIN2CPF - Desp. Financeiras - Juros / Tarifas</v>
      </c>
      <c r="P740" s="44" t="str">
        <f t="shared" si="77"/>
        <v>MCSFIN2CPF - Desp. Financeiras - Juros / Tarifas</v>
      </c>
      <c r="Q740" s="44" t="str">
        <f t="shared" si="78"/>
        <v>MCSFIN2</v>
      </c>
      <c r="R740" s="44" t="str">
        <f t="shared" si="79"/>
        <v>MCSFIN2</v>
      </c>
      <c r="S740" s="38"/>
      <c r="T740" s="45">
        <f t="shared" si="80"/>
        <v>45962</v>
      </c>
      <c r="U740" s="24" t="str">
        <f t="shared" si="67"/>
        <v/>
      </c>
    </row>
    <row r="741" spans="2:21" s="46" customFormat="1" x14ac:dyDescent="0.25">
      <c r="B741" s="37" t="s">
        <v>25</v>
      </c>
      <c r="C741" s="38"/>
      <c r="D741" s="86" t="str">
        <f>INDEX(Cad_Natureza!$B$3:$C$52,MATCH('2025'!F741,Cad_Natureza!$C$3:$C$52,0),MATCH('2025'!D$2,Cad_Natureza!$B$3:$C$3,0))</f>
        <v>GAST1</v>
      </c>
      <c r="E741" s="84" t="s">
        <v>912</v>
      </c>
      <c r="F741" s="85" t="s">
        <v>742</v>
      </c>
      <c r="G741" s="86" t="s">
        <v>25</v>
      </c>
      <c r="H741" s="87">
        <v>45968</v>
      </c>
      <c r="I741" s="87"/>
      <c r="J741" s="79" t="s">
        <v>185</v>
      </c>
      <c r="K741" s="62">
        <v>-15</v>
      </c>
      <c r="L741" s="68">
        <f t="shared" si="87"/>
        <v>2012.7299999999996</v>
      </c>
      <c r="M741" s="38"/>
      <c r="N741" s="44" t="str">
        <f t="shared" si="75"/>
        <v>MCSGAST1CPF - Desp. Lazer e Entretenimento - Bares</v>
      </c>
      <c r="O741" s="44" t="str">
        <f t="shared" si="76"/>
        <v>GAST1CPF - Desp. Lazer e Entretenimento - Bares</v>
      </c>
      <c r="P741" s="44" t="str">
        <f t="shared" si="77"/>
        <v>MCSGAST1CPF - Desp. Lazer e Entretenimento - Bares</v>
      </c>
      <c r="Q741" s="44" t="str">
        <f t="shared" si="78"/>
        <v>MCSGAST1</v>
      </c>
      <c r="R741" s="44" t="str">
        <f t="shared" si="79"/>
        <v>MCSGAST1</v>
      </c>
      <c r="S741" s="38"/>
      <c r="T741" s="45">
        <f t="shared" si="80"/>
        <v>45962</v>
      </c>
      <c r="U741" s="24" t="str">
        <f t="shared" si="67"/>
        <v/>
      </c>
    </row>
    <row r="742" spans="2:21" s="46" customFormat="1" x14ac:dyDescent="0.25">
      <c r="B742" s="37" t="s">
        <v>25</v>
      </c>
      <c r="C742" s="38"/>
      <c r="D742" s="86" t="str">
        <f>INDEX(Cad_Natureza!$B$3:$C$52,MATCH('2025'!F742,Cad_Natureza!$C$3:$C$52,0),MATCH('2025'!D$2,Cad_Natureza!$B$3:$C$3,0))</f>
        <v>GAST1</v>
      </c>
      <c r="E742" s="84" t="s">
        <v>913</v>
      </c>
      <c r="F742" s="85" t="s">
        <v>742</v>
      </c>
      <c r="G742" s="86" t="s">
        <v>25</v>
      </c>
      <c r="H742" s="87">
        <v>45971</v>
      </c>
      <c r="I742" s="87"/>
      <c r="J742" s="79" t="s">
        <v>185</v>
      </c>
      <c r="K742" s="62">
        <v>-12</v>
      </c>
      <c r="L742" s="68">
        <f t="shared" si="87"/>
        <v>2000.7299999999996</v>
      </c>
      <c r="M742" s="38"/>
      <c r="N742" s="44" t="str">
        <f t="shared" si="75"/>
        <v>MCSGAST1CPF - Desp. Lazer e Entretenimento - Bares</v>
      </c>
      <c r="O742" s="44" t="str">
        <f t="shared" si="76"/>
        <v>GAST1CPF - Desp. Lazer e Entretenimento - Bares</v>
      </c>
      <c r="P742" s="44" t="str">
        <f t="shared" si="77"/>
        <v>MCSGAST1CPF - Desp. Lazer e Entretenimento - Bares</v>
      </c>
      <c r="Q742" s="44" t="str">
        <f t="shared" si="78"/>
        <v>MCSGAST1</v>
      </c>
      <c r="R742" s="44" t="str">
        <f t="shared" si="79"/>
        <v>MCSGAST1</v>
      </c>
      <c r="S742" s="38"/>
      <c r="T742" s="45">
        <f t="shared" si="80"/>
        <v>45962</v>
      </c>
      <c r="U742" s="24" t="str">
        <f t="shared" si="67"/>
        <v/>
      </c>
    </row>
    <row r="743" spans="2:21" s="46" customFormat="1" x14ac:dyDescent="0.25">
      <c r="B743" s="37" t="s">
        <v>25</v>
      </c>
      <c r="C743" s="38"/>
      <c r="D743" s="86" t="str">
        <f>INDEX(Cad_Natureza!$B$3:$C$52,MATCH('2025'!F743,Cad_Natureza!$C$3:$C$52,0),MATCH('2025'!D$2,Cad_Natureza!$B$3:$C$3,0))</f>
        <v>GAST1</v>
      </c>
      <c r="E743" s="84" t="s">
        <v>913</v>
      </c>
      <c r="F743" s="85" t="s">
        <v>742</v>
      </c>
      <c r="G743" s="86" t="s">
        <v>25</v>
      </c>
      <c r="H743" s="87">
        <v>45971</v>
      </c>
      <c r="I743" s="87"/>
      <c r="J743" s="79" t="s">
        <v>185</v>
      </c>
      <c r="K743" s="62">
        <v>-6</v>
      </c>
      <c r="L743" s="68">
        <f t="shared" si="87"/>
        <v>1994.7299999999996</v>
      </c>
      <c r="M743" s="38"/>
      <c r="N743" s="44" t="str">
        <f t="shared" si="75"/>
        <v>MCSGAST1CPF - Desp. Lazer e Entretenimento - Bares</v>
      </c>
      <c r="O743" s="44" t="str">
        <f t="shared" si="76"/>
        <v>GAST1CPF - Desp. Lazer e Entretenimento - Bares</v>
      </c>
      <c r="P743" s="44" t="str">
        <f t="shared" si="77"/>
        <v>MCSGAST1CPF - Desp. Lazer e Entretenimento - Bares</v>
      </c>
      <c r="Q743" s="44" t="str">
        <f t="shared" si="78"/>
        <v>MCSGAST1</v>
      </c>
      <c r="R743" s="44" t="str">
        <f t="shared" si="79"/>
        <v>MCSGAST1</v>
      </c>
      <c r="S743" s="38"/>
      <c r="T743" s="45">
        <f t="shared" si="80"/>
        <v>45962</v>
      </c>
      <c r="U743" s="24" t="str">
        <f t="shared" si="67"/>
        <v/>
      </c>
    </row>
    <row r="744" spans="2:21" s="46" customFormat="1" x14ac:dyDescent="0.25">
      <c r="B744" s="37" t="s">
        <v>25</v>
      </c>
      <c r="C744" s="38"/>
      <c r="D744" s="39" t="str">
        <f>INDEX(Cad_Natureza!$B$3:$C$52,MATCH('2025'!F744,Cad_Natureza!$C$3:$C$52,0),MATCH('2025'!D$2,Cad_Natureza!$B$3:$C$3,0))</f>
        <v>GAST2</v>
      </c>
      <c r="E744" s="40" t="s">
        <v>914</v>
      </c>
      <c r="F744" s="41" t="s">
        <v>743</v>
      </c>
      <c r="G744" s="39" t="s">
        <v>25</v>
      </c>
      <c r="H744" s="42">
        <v>45971</v>
      </c>
      <c r="I744" s="42"/>
      <c r="J744" s="43" t="s">
        <v>180</v>
      </c>
      <c r="K744" s="62">
        <v>-5</v>
      </c>
      <c r="L744" s="68">
        <f t="shared" si="87"/>
        <v>1989.7299999999996</v>
      </c>
      <c r="M744" s="38"/>
      <c r="N744" s="44" t="str">
        <f t="shared" si="75"/>
        <v>MCSGAST2CPF - Desp. Lazer e Entretenimento - Cigarro</v>
      </c>
      <c r="O744" s="44" t="str">
        <f t="shared" si="76"/>
        <v>GAST2CPF - Desp. Lazer e Entretenimento - Cigarro</v>
      </c>
      <c r="P744" s="44" t="str">
        <f t="shared" si="77"/>
        <v>MCSGAST2CPF - Desp. Lazer e Entretenimento - Cigarro</v>
      </c>
      <c r="Q744" s="44" t="str">
        <f t="shared" si="78"/>
        <v>MCSGAST2</v>
      </c>
      <c r="R744" s="44" t="str">
        <f t="shared" si="79"/>
        <v>MCSGAST2</v>
      </c>
      <c r="S744" s="38"/>
      <c r="T744" s="45">
        <f t="shared" si="80"/>
        <v>45962</v>
      </c>
      <c r="U744" s="24" t="str">
        <f t="shared" si="67"/>
        <v/>
      </c>
    </row>
    <row r="745" spans="2:21" s="46" customFormat="1" x14ac:dyDescent="0.25">
      <c r="B745" s="37" t="s">
        <v>25</v>
      </c>
      <c r="C745" s="38"/>
      <c r="D745" s="39" t="str">
        <f>INDEX(Cad_Natureza!$B$3:$C$52,MATCH('2025'!F745,Cad_Natureza!$C$3:$C$52,0),MATCH('2025'!D$2,Cad_Natureza!$B$3:$C$3,0))</f>
        <v>FIN3</v>
      </c>
      <c r="E745" s="40" t="s">
        <v>915</v>
      </c>
      <c r="F745" s="41" t="s">
        <v>939</v>
      </c>
      <c r="G745" s="39" t="s">
        <v>25</v>
      </c>
      <c r="H745" s="42">
        <v>45971</v>
      </c>
      <c r="I745" s="42"/>
      <c r="J745" s="79" t="s">
        <v>572</v>
      </c>
      <c r="K745" s="62">
        <v>-297.05</v>
      </c>
      <c r="L745" s="68">
        <f t="shared" si="87"/>
        <v>1692.6799999999996</v>
      </c>
      <c r="M745" s="38"/>
      <c r="N745" s="44" t="str">
        <f t="shared" si="75"/>
        <v>MCSFIN3CPF - Desp. Financeiras - Empréstimos bancários</v>
      </c>
      <c r="O745" s="44" t="str">
        <f t="shared" si="76"/>
        <v>FIN3CPF - Desp. Financeiras - Empréstimos bancários</v>
      </c>
      <c r="P745" s="44" t="str">
        <f t="shared" si="77"/>
        <v>MCSFIN3CPF - Desp. Financeiras - Empréstimos bancários</v>
      </c>
      <c r="Q745" s="44" t="str">
        <f t="shared" si="78"/>
        <v>MCSFIN3</v>
      </c>
      <c r="R745" s="44" t="str">
        <f t="shared" si="79"/>
        <v>MCSFIN3</v>
      </c>
      <c r="S745" s="38"/>
      <c r="T745" s="45">
        <f t="shared" si="80"/>
        <v>45962</v>
      </c>
      <c r="U745" s="24" t="str">
        <f t="shared" si="67"/>
        <v/>
      </c>
    </row>
    <row r="746" spans="2:21" s="46" customFormat="1" x14ac:dyDescent="0.25">
      <c r="B746" s="37" t="s">
        <v>25</v>
      </c>
      <c r="C746" s="38"/>
      <c r="D746" s="39" t="str">
        <f>INDEX(Cad_Natureza!$B$3:$C$52,MATCH('2025'!F746,Cad_Natureza!$C$3:$C$52,0),MATCH('2025'!D$2,Cad_Natureza!$B$3:$C$3,0))</f>
        <v>GAST1</v>
      </c>
      <c r="E746" s="40" t="s">
        <v>916</v>
      </c>
      <c r="F746" s="85" t="s">
        <v>742</v>
      </c>
      <c r="G746" s="39" t="s">
        <v>25</v>
      </c>
      <c r="H746" s="42">
        <v>45971</v>
      </c>
      <c r="I746" s="42"/>
      <c r="J746" s="79" t="s">
        <v>948</v>
      </c>
      <c r="K746" s="62">
        <v>-5</v>
      </c>
      <c r="L746" s="68">
        <f t="shared" si="87"/>
        <v>1687.6799999999996</v>
      </c>
      <c r="M746" s="38"/>
      <c r="N746" s="44" t="str">
        <f t="shared" si="75"/>
        <v>MCSGAST1CPF - Desp. Lazer e Entretenimento - Bares</v>
      </c>
      <c r="O746" s="44" t="str">
        <f t="shared" si="76"/>
        <v>GAST1CPF - Desp. Lazer e Entretenimento - Bares</v>
      </c>
      <c r="P746" s="44" t="str">
        <f t="shared" si="77"/>
        <v>MCSGAST1CPF - Desp. Lazer e Entretenimento - Bares</v>
      </c>
      <c r="Q746" s="44" t="str">
        <f t="shared" si="78"/>
        <v>MCSGAST1</v>
      </c>
      <c r="R746" s="44" t="str">
        <f t="shared" si="79"/>
        <v>MCSGAST1</v>
      </c>
      <c r="S746" s="38"/>
      <c r="T746" s="45">
        <f t="shared" si="80"/>
        <v>45962</v>
      </c>
      <c r="U746" s="24" t="str">
        <f t="shared" si="67"/>
        <v/>
      </c>
    </row>
    <row r="747" spans="2:21" s="46" customFormat="1" x14ac:dyDescent="0.25">
      <c r="B747" s="37" t="s">
        <v>25</v>
      </c>
      <c r="C747" s="38"/>
      <c r="D747" s="39" t="str">
        <f>INDEX(Cad_Natureza!$B$3:$C$52,MATCH('2025'!F747,Cad_Natureza!$C$3:$C$52,0),MATCH('2025'!D$2,Cad_Natureza!$B$3:$C$3,0))</f>
        <v>OUG1</v>
      </c>
      <c r="E747" s="40" t="s">
        <v>917</v>
      </c>
      <c r="F747" s="85" t="s">
        <v>748</v>
      </c>
      <c r="G747" s="39" t="s">
        <v>25</v>
      </c>
      <c r="H747" s="42">
        <v>45971</v>
      </c>
      <c r="I747" s="42"/>
      <c r="J747" s="79" t="s">
        <v>949</v>
      </c>
      <c r="K747" s="62">
        <v>-229.9</v>
      </c>
      <c r="L747" s="68">
        <f t="shared" si="87"/>
        <v>1457.7799999999995</v>
      </c>
      <c r="M747" s="38"/>
      <c r="N747" s="44" t="str">
        <f t="shared" si="75"/>
        <v>MCSOUG1CPF - Outros gastos</v>
      </c>
      <c r="O747" s="44" t="str">
        <f t="shared" si="76"/>
        <v>OUG1CPF - Outros gastos</v>
      </c>
      <c r="P747" s="44" t="str">
        <f t="shared" si="77"/>
        <v>MCSOUG1CPF - Outros gastos</v>
      </c>
      <c r="Q747" s="44" t="str">
        <f t="shared" si="78"/>
        <v>MCSOUG1</v>
      </c>
      <c r="R747" s="44" t="str">
        <f t="shared" si="79"/>
        <v>MCSOUG1</v>
      </c>
      <c r="S747" s="38"/>
      <c r="T747" s="45">
        <f t="shared" si="80"/>
        <v>45962</v>
      </c>
      <c r="U747" s="24" t="str">
        <f t="shared" si="67"/>
        <v/>
      </c>
    </row>
    <row r="748" spans="2:21" s="46" customFormat="1" x14ac:dyDescent="0.25">
      <c r="B748" s="37" t="s">
        <v>25</v>
      </c>
      <c r="C748" s="38"/>
      <c r="D748" s="86" t="str">
        <f>INDEX(Cad_Natureza!$B$3:$C$52,MATCH('2025'!F748,Cad_Natureza!$C$3:$C$52,0),MATCH('2025'!D$2,Cad_Natureza!$B$3:$C$3,0))</f>
        <v>GAST1</v>
      </c>
      <c r="E748" s="84" t="s">
        <v>918</v>
      </c>
      <c r="F748" s="85" t="s">
        <v>742</v>
      </c>
      <c r="G748" s="86" t="s">
        <v>25</v>
      </c>
      <c r="H748" s="87">
        <v>45971</v>
      </c>
      <c r="I748" s="87"/>
      <c r="J748" s="79" t="s">
        <v>561</v>
      </c>
      <c r="K748" s="62">
        <v>-3.49</v>
      </c>
      <c r="L748" s="68">
        <f t="shared" si="87"/>
        <v>1454.2899999999995</v>
      </c>
      <c r="M748" s="38"/>
      <c r="N748" s="44" t="str">
        <f t="shared" si="75"/>
        <v>MCSGAST1CPF - Desp. Lazer e Entretenimento - Bares</v>
      </c>
      <c r="O748" s="44" t="str">
        <f t="shared" si="76"/>
        <v>GAST1CPF - Desp. Lazer e Entretenimento - Bares</v>
      </c>
      <c r="P748" s="44" t="str">
        <f t="shared" si="77"/>
        <v>MCSGAST1CPF - Desp. Lazer e Entretenimento - Bares</v>
      </c>
      <c r="Q748" s="44" t="str">
        <f t="shared" si="78"/>
        <v>MCSGAST1</v>
      </c>
      <c r="R748" s="44" t="str">
        <f t="shared" si="79"/>
        <v>MCSGAST1</v>
      </c>
      <c r="S748" s="38"/>
      <c r="T748" s="45">
        <f t="shared" si="80"/>
        <v>45962</v>
      </c>
      <c r="U748" s="24" t="str">
        <f t="shared" si="67"/>
        <v/>
      </c>
    </row>
    <row r="749" spans="2:21" s="46" customFormat="1" x14ac:dyDescent="0.25">
      <c r="B749" s="37" t="s">
        <v>25</v>
      </c>
      <c r="C749" s="38"/>
      <c r="D749" s="86" t="str">
        <f>INDEX(Cad_Natureza!$B$3:$C$52,MATCH('2025'!F749,Cad_Natureza!$C$3:$C$52,0),MATCH('2025'!D$2,Cad_Natureza!$B$3:$C$3,0))</f>
        <v>GAST1</v>
      </c>
      <c r="E749" s="84" t="s">
        <v>918</v>
      </c>
      <c r="F749" s="85" t="s">
        <v>742</v>
      </c>
      <c r="G749" s="86" t="s">
        <v>25</v>
      </c>
      <c r="H749" s="87">
        <v>45971</v>
      </c>
      <c r="I749" s="87"/>
      <c r="J749" s="79" t="s">
        <v>561</v>
      </c>
      <c r="K749" s="62">
        <v>-8.98</v>
      </c>
      <c r="L749" s="68">
        <f t="shared" si="87"/>
        <v>1445.3099999999995</v>
      </c>
      <c r="M749" s="38"/>
      <c r="N749" s="44" t="str">
        <f t="shared" si="75"/>
        <v>MCSGAST1CPF - Desp. Lazer e Entretenimento - Bares</v>
      </c>
      <c r="O749" s="44" t="str">
        <f t="shared" si="76"/>
        <v>GAST1CPF - Desp. Lazer e Entretenimento - Bares</v>
      </c>
      <c r="P749" s="44" t="str">
        <f t="shared" si="77"/>
        <v>MCSGAST1CPF - Desp. Lazer e Entretenimento - Bares</v>
      </c>
      <c r="Q749" s="44" t="str">
        <f t="shared" si="78"/>
        <v>MCSGAST1</v>
      </c>
      <c r="R749" s="44" t="str">
        <f t="shared" si="79"/>
        <v>MCSGAST1</v>
      </c>
      <c r="S749" s="38"/>
      <c r="T749" s="45">
        <f t="shared" si="80"/>
        <v>45962</v>
      </c>
      <c r="U749" s="24" t="str">
        <f t="shared" si="67"/>
        <v/>
      </c>
    </row>
    <row r="750" spans="2:21" s="46" customFormat="1" x14ac:dyDescent="0.25">
      <c r="B750" s="37" t="s">
        <v>25</v>
      </c>
      <c r="C750" s="38"/>
      <c r="D750" s="39" t="str">
        <f>INDEX(Cad_Natureza!$B$3:$C$52,MATCH('2025'!F750,Cad_Natureza!$C$3:$C$52,0),MATCH('2025'!D$2,Cad_Natureza!$B$3:$C$3,0))</f>
        <v>GAST2</v>
      </c>
      <c r="E750" s="40" t="s">
        <v>919</v>
      </c>
      <c r="F750" s="41" t="s">
        <v>743</v>
      </c>
      <c r="G750" s="39" t="s">
        <v>25</v>
      </c>
      <c r="H750" s="42">
        <v>45971</v>
      </c>
      <c r="I750" s="42"/>
      <c r="J750" s="43" t="s">
        <v>180</v>
      </c>
      <c r="K750" s="62">
        <v>-35</v>
      </c>
      <c r="L750" s="68">
        <f t="shared" si="87"/>
        <v>1410.3099999999995</v>
      </c>
      <c r="M750" s="38"/>
      <c r="N750" s="44" t="str">
        <f t="shared" si="75"/>
        <v>MCSGAST2CPF - Desp. Lazer e Entretenimento - Cigarro</v>
      </c>
      <c r="O750" s="44" t="str">
        <f t="shared" si="76"/>
        <v>GAST2CPF - Desp. Lazer e Entretenimento - Cigarro</v>
      </c>
      <c r="P750" s="44" t="str">
        <f t="shared" si="77"/>
        <v>MCSGAST2CPF - Desp. Lazer e Entretenimento - Cigarro</v>
      </c>
      <c r="Q750" s="44" t="str">
        <f t="shared" si="78"/>
        <v>MCSGAST2</v>
      </c>
      <c r="R750" s="44" t="str">
        <f t="shared" si="79"/>
        <v>MCSGAST2</v>
      </c>
      <c r="S750" s="38"/>
      <c r="T750" s="45">
        <f t="shared" si="80"/>
        <v>45962</v>
      </c>
      <c r="U750" s="24" t="str">
        <f t="shared" si="67"/>
        <v/>
      </c>
    </row>
    <row r="751" spans="2:21" s="46" customFormat="1" x14ac:dyDescent="0.25">
      <c r="B751" s="37" t="s">
        <v>25</v>
      </c>
      <c r="C751" s="38"/>
      <c r="D751" s="39" t="str">
        <f>INDEX(Cad_Natureza!$B$3:$C$52,MATCH('2025'!F751,Cad_Natureza!$C$3:$C$52,0),MATCH('2025'!D$2,Cad_Natureza!$B$3:$C$3,0))</f>
        <v>GAST1</v>
      </c>
      <c r="E751" s="40" t="s">
        <v>920</v>
      </c>
      <c r="F751" s="85" t="s">
        <v>742</v>
      </c>
      <c r="G751" s="39" t="s">
        <v>25</v>
      </c>
      <c r="H751" s="42">
        <v>45971</v>
      </c>
      <c r="I751" s="42"/>
      <c r="J751" s="79" t="s">
        <v>185</v>
      </c>
      <c r="K751" s="62">
        <v>-4</v>
      </c>
      <c r="L751" s="68">
        <f t="shared" si="87"/>
        <v>1406.3099999999995</v>
      </c>
      <c r="M751" s="38"/>
      <c r="N751" s="44" t="str">
        <f t="shared" si="75"/>
        <v>MCSGAST1CPF - Desp. Lazer e Entretenimento - Bares</v>
      </c>
      <c r="O751" s="44" t="str">
        <f t="shared" si="76"/>
        <v>GAST1CPF - Desp. Lazer e Entretenimento - Bares</v>
      </c>
      <c r="P751" s="44" t="str">
        <f t="shared" si="77"/>
        <v>MCSGAST1CPF - Desp. Lazer e Entretenimento - Bares</v>
      </c>
      <c r="Q751" s="44" t="str">
        <f t="shared" si="78"/>
        <v>MCSGAST1</v>
      </c>
      <c r="R751" s="44" t="str">
        <f t="shared" si="79"/>
        <v>MCSGAST1</v>
      </c>
      <c r="S751" s="38"/>
      <c r="T751" s="45">
        <f t="shared" si="80"/>
        <v>45962</v>
      </c>
      <c r="U751" s="24" t="str">
        <f t="shared" si="67"/>
        <v/>
      </c>
    </row>
    <row r="752" spans="2:21" s="46" customFormat="1" x14ac:dyDescent="0.25">
      <c r="B752" s="37" t="s">
        <v>25</v>
      </c>
      <c r="C752" s="38"/>
      <c r="D752" s="39" t="str">
        <f>INDEX(Cad_Natureza!$B$3:$C$52,MATCH('2025'!F752,Cad_Natureza!$C$3:$C$52,0),MATCH('2025'!D$2,Cad_Natureza!$B$3:$C$3,0))</f>
        <v>OPF2</v>
      </c>
      <c r="E752" s="40" t="s">
        <v>921</v>
      </c>
      <c r="F752" s="85" t="s">
        <v>741</v>
      </c>
      <c r="G752" s="39" t="s">
        <v>25</v>
      </c>
      <c r="H752" s="42">
        <v>45971</v>
      </c>
      <c r="I752" s="42"/>
      <c r="J752" s="79" t="s">
        <v>674</v>
      </c>
      <c r="K752" s="62">
        <v>-50</v>
      </c>
      <c r="L752" s="68">
        <f t="shared" si="87"/>
        <v>1356.3099999999995</v>
      </c>
      <c r="M752" s="38"/>
      <c r="N752" s="44" t="str">
        <f t="shared" si="75"/>
        <v>MCSOPF2CPF - Desp. Transporte / Combustível</v>
      </c>
      <c r="O752" s="44" t="str">
        <f t="shared" si="76"/>
        <v>OPF2CPF - Desp. Transporte / Combustível</v>
      </c>
      <c r="P752" s="44" t="str">
        <f t="shared" si="77"/>
        <v>MCSOPF2CPF - Desp. Transporte / Combustível</v>
      </c>
      <c r="Q752" s="44" t="str">
        <f t="shared" si="78"/>
        <v>MCSOPF2</v>
      </c>
      <c r="R752" s="44" t="str">
        <f t="shared" si="79"/>
        <v>MCSOPF2</v>
      </c>
      <c r="S752" s="38"/>
      <c r="T752" s="45">
        <f t="shared" si="80"/>
        <v>45962</v>
      </c>
      <c r="U752" s="24" t="str">
        <f t="shared" si="67"/>
        <v/>
      </c>
    </row>
    <row r="753" spans="2:22" s="46" customFormat="1" x14ac:dyDescent="0.25">
      <c r="B753" s="37" t="s">
        <v>25</v>
      </c>
      <c r="C753" s="38"/>
      <c r="D753" s="86" t="str">
        <f>INDEX(Cad_Natureza!$B$3:$C$52,MATCH('2025'!F753,Cad_Natureza!$C$3:$C$52,0),MATCH('2025'!D$2,Cad_Natureza!$B$3:$C$3,0))</f>
        <v>GAST1</v>
      </c>
      <c r="E753" s="84" t="s">
        <v>913</v>
      </c>
      <c r="F753" s="85" t="s">
        <v>742</v>
      </c>
      <c r="G753" s="86" t="s">
        <v>25</v>
      </c>
      <c r="H753" s="87">
        <v>45971</v>
      </c>
      <c r="I753" s="87"/>
      <c r="J753" s="79" t="s">
        <v>185</v>
      </c>
      <c r="K753" s="62">
        <v>-15</v>
      </c>
      <c r="L753" s="68">
        <f t="shared" si="87"/>
        <v>1341.3099999999995</v>
      </c>
      <c r="M753" s="38"/>
      <c r="N753" s="44" t="str">
        <f t="shared" si="75"/>
        <v>MCSGAST1CPF - Desp. Lazer e Entretenimento - Bares</v>
      </c>
      <c r="O753" s="44" t="str">
        <f t="shared" si="76"/>
        <v>GAST1CPF - Desp. Lazer e Entretenimento - Bares</v>
      </c>
      <c r="P753" s="44" t="str">
        <f t="shared" si="77"/>
        <v>MCSGAST1CPF - Desp. Lazer e Entretenimento - Bares</v>
      </c>
      <c r="Q753" s="44" t="str">
        <f t="shared" si="78"/>
        <v>MCSGAST1</v>
      </c>
      <c r="R753" s="44" t="str">
        <f t="shared" si="79"/>
        <v>MCSGAST1</v>
      </c>
      <c r="S753" s="38"/>
      <c r="T753" s="45">
        <f t="shared" si="80"/>
        <v>45962</v>
      </c>
      <c r="U753" s="24" t="str">
        <f t="shared" si="67"/>
        <v/>
      </c>
    </row>
    <row r="754" spans="2:22" s="46" customFormat="1" x14ac:dyDescent="0.25">
      <c r="B754" s="37" t="s">
        <v>25</v>
      </c>
      <c r="C754" s="38"/>
      <c r="D754" s="86" t="str">
        <f>INDEX(Cad_Natureza!$B$3:$C$52,MATCH('2025'!F754,Cad_Natureza!$C$3:$C$52,0),MATCH('2025'!D$2,Cad_Natureza!$B$3:$C$3,0))</f>
        <v>GAST1</v>
      </c>
      <c r="E754" s="84" t="s">
        <v>913</v>
      </c>
      <c r="F754" s="85" t="s">
        <v>742</v>
      </c>
      <c r="G754" s="86" t="s">
        <v>25</v>
      </c>
      <c r="H754" s="87">
        <v>45971</v>
      </c>
      <c r="I754" s="87"/>
      <c r="J754" s="79" t="s">
        <v>185</v>
      </c>
      <c r="K754" s="62">
        <v>-6</v>
      </c>
      <c r="L754" s="68">
        <f t="shared" si="87"/>
        <v>1335.3099999999995</v>
      </c>
      <c r="M754" s="38"/>
      <c r="N754" s="44" t="str">
        <f t="shared" si="75"/>
        <v>MCSGAST1CPF - Desp. Lazer e Entretenimento - Bares</v>
      </c>
      <c r="O754" s="44" t="str">
        <f t="shared" si="76"/>
        <v>GAST1CPF - Desp. Lazer e Entretenimento - Bares</v>
      </c>
      <c r="P754" s="44" t="str">
        <f t="shared" si="77"/>
        <v>MCSGAST1CPF - Desp. Lazer e Entretenimento - Bares</v>
      </c>
      <c r="Q754" s="44" t="str">
        <f t="shared" si="78"/>
        <v>MCSGAST1</v>
      </c>
      <c r="R754" s="44" t="str">
        <f t="shared" si="79"/>
        <v>MCSGAST1</v>
      </c>
      <c r="S754" s="38"/>
      <c r="T754" s="45">
        <f t="shared" si="80"/>
        <v>45962</v>
      </c>
      <c r="U754" s="24" t="str">
        <f t="shared" si="67"/>
        <v/>
      </c>
    </row>
    <row r="755" spans="2:22" s="46" customFormat="1" x14ac:dyDescent="0.25">
      <c r="B755" s="37" t="s">
        <v>25</v>
      </c>
      <c r="C755" s="38"/>
      <c r="D755" s="86" t="str">
        <f>INDEX(Cad_Natureza!$B$3:$C$52,MATCH('2025'!F755,Cad_Natureza!$C$3:$C$52,0),MATCH('2025'!D$2,Cad_Natureza!$B$3:$C$3,0))</f>
        <v>GAST1</v>
      </c>
      <c r="E755" s="84" t="s">
        <v>913</v>
      </c>
      <c r="F755" s="85" t="s">
        <v>742</v>
      </c>
      <c r="G755" s="86" t="s">
        <v>25</v>
      </c>
      <c r="H755" s="87">
        <v>45971</v>
      </c>
      <c r="I755" s="87"/>
      <c r="J755" s="79" t="s">
        <v>185</v>
      </c>
      <c r="K755" s="62">
        <v>-6</v>
      </c>
      <c r="L755" s="68">
        <f t="shared" si="87"/>
        <v>1329.3099999999995</v>
      </c>
      <c r="M755" s="38"/>
      <c r="N755" s="44" t="str">
        <f t="shared" si="75"/>
        <v>MCSGAST1CPF - Desp. Lazer e Entretenimento - Bares</v>
      </c>
      <c r="O755" s="44" t="str">
        <f t="shared" si="76"/>
        <v>GAST1CPF - Desp. Lazer e Entretenimento - Bares</v>
      </c>
      <c r="P755" s="44" t="str">
        <f t="shared" si="77"/>
        <v>MCSGAST1CPF - Desp. Lazer e Entretenimento - Bares</v>
      </c>
      <c r="Q755" s="44" t="str">
        <f t="shared" si="78"/>
        <v>MCSGAST1</v>
      </c>
      <c r="R755" s="44" t="str">
        <f t="shared" si="79"/>
        <v>MCSGAST1</v>
      </c>
      <c r="S755" s="38"/>
      <c r="T755" s="45">
        <f t="shared" si="80"/>
        <v>45962</v>
      </c>
      <c r="U755" s="24" t="str">
        <f t="shared" si="67"/>
        <v/>
      </c>
    </row>
    <row r="756" spans="2:22" s="46" customFormat="1" x14ac:dyDescent="0.25">
      <c r="B756" s="37" t="s">
        <v>25</v>
      </c>
      <c r="C756" s="38"/>
      <c r="D756" s="86" t="str">
        <f>INDEX(Cad_Natureza!$B$3:$C$52,MATCH('2025'!F756,Cad_Natureza!$C$3:$C$52,0),MATCH('2025'!D$2,Cad_Natureza!$B$3:$C$3,0))</f>
        <v>GAST1</v>
      </c>
      <c r="E756" s="84" t="s">
        <v>922</v>
      </c>
      <c r="F756" s="85" t="s">
        <v>742</v>
      </c>
      <c r="G756" s="86" t="s">
        <v>25</v>
      </c>
      <c r="H756" s="87">
        <v>45971</v>
      </c>
      <c r="I756" s="87"/>
      <c r="J756" s="79" t="s">
        <v>185</v>
      </c>
      <c r="K756" s="62">
        <v>-11</v>
      </c>
      <c r="L756" s="68">
        <f t="shared" si="87"/>
        <v>1318.3099999999995</v>
      </c>
      <c r="M756" s="38"/>
      <c r="N756" s="44" t="str">
        <f t="shared" si="75"/>
        <v>MCSGAST1CPF - Desp. Lazer e Entretenimento - Bares</v>
      </c>
      <c r="O756" s="44" t="str">
        <f t="shared" si="76"/>
        <v>GAST1CPF - Desp. Lazer e Entretenimento - Bares</v>
      </c>
      <c r="P756" s="44" t="str">
        <f t="shared" si="77"/>
        <v>MCSGAST1CPF - Desp. Lazer e Entretenimento - Bares</v>
      </c>
      <c r="Q756" s="44" t="str">
        <f t="shared" si="78"/>
        <v>MCSGAST1</v>
      </c>
      <c r="R756" s="44" t="str">
        <f t="shared" si="79"/>
        <v>MCSGAST1</v>
      </c>
      <c r="S756" s="38"/>
      <c r="T756" s="45">
        <f t="shared" si="80"/>
        <v>45962</v>
      </c>
      <c r="U756" s="24" t="str">
        <f t="shared" si="67"/>
        <v/>
      </c>
    </row>
    <row r="757" spans="2:22" s="46" customFormat="1" x14ac:dyDescent="0.25">
      <c r="B757" s="37" t="s">
        <v>25</v>
      </c>
      <c r="C757" s="38"/>
      <c r="D757" s="39" t="str">
        <f>INDEX(Cad_Natureza!$B$3:$C$52,MATCH('2025'!F757,Cad_Natureza!$C$3:$C$52,0),MATCH('2025'!D$2,Cad_Natureza!$B$3:$C$3,0))</f>
        <v>GAST2</v>
      </c>
      <c r="E757" s="40" t="s">
        <v>923</v>
      </c>
      <c r="F757" s="41" t="s">
        <v>743</v>
      </c>
      <c r="G757" s="39" t="s">
        <v>25</v>
      </c>
      <c r="H757" s="42">
        <v>45971</v>
      </c>
      <c r="I757" s="42"/>
      <c r="J757" s="43" t="s">
        <v>180</v>
      </c>
      <c r="K757" s="62">
        <v>-6</v>
      </c>
      <c r="L757" s="68">
        <f t="shared" si="87"/>
        <v>1312.3099999999995</v>
      </c>
      <c r="M757" s="38"/>
      <c r="N757" s="44" t="str">
        <f t="shared" si="75"/>
        <v>MCSGAST2CPF - Desp. Lazer e Entretenimento - Cigarro</v>
      </c>
      <c r="O757" s="44" t="str">
        <f t="shared" si="76"/>
        <v>GAST2CPF - Desp. Lazer e Entretenimento - Cigarro</v>
      </c>
      <c r="P757" s="44" t="str">
        <f t="shared" si="77"/>
        <v>MCSGAST2CPF - Desp. Lazer e Entretenimento - Cigarro</v>
      </c>
      <c r="Q757" s="44" t="str">
        <f t="shared" si="78"/>
        <v>MCSGAST2</v>
      </c>
      <c r="R757" s="44" t="str">
        <f t="shared" si="79"/>
        <v>MCSGAST2</v>
      </c>
      <c r="S757" s="38"/>
      <c r="T757" s="45">
        <f t="shared" si="80"/>
        <v>45962</v>
      </c>
      <c r="U757" s="24" t="str">
        <f t="shared" si="67"/>
        <v/>
      </c>
    </row>
    <row r="758" spans="2:22" s="46" customFormat="1" x14ac:dyDescent="0.25">
      <c r="B758" s="37" t="s">
        <v>25</v>
      </c>
      <c r="C758" s="38"/>
      <c r="D758" s="39" t="str">
        <f>INDEX(Cad_Natureza!$B$3:$C$52,MATCH('2025'!F758,Cad_Natureza!$C$3:$C$52,0),MATCH('2025'!D$2,Cad_Natureza!$B$3:$C$3,0))</f>
        <v>GAST1</v>
      </c>
      <c r="E758" s="40" t="s">
        <v>924</v>
      </c>
      <c r="F758" s="85" t="s">
        <v>742</v>
      </c>
      <c r="G758" s="39" t="s">
        <v>25</v>
      </c>
      <c r="H758" s="42">
        <v>45971</v>
      </c>
      <c r="I758" s="42"/>
      <c r="J758" s="79" t="s">
        <v>185</v>
      </c>
      <c r="K758" s="62">
        <v>-20</v>
      </c>
      <c r="L758" s="68">
        <f t="shared" si="87"/>
        <v>1292.3099999999995</v>
      </c>
      <c r="M758" s="38"/>
      <c r="N758" s="44" t="str">
        <f t="shared" si="75"/>
        <v>MCSGAST1CPF - Desp. Lazer e Entretenimento - Bares</v>
      </c>
      <c r="O758" s="44" t="str">
        <f t="shared" si="76"/>
        <v>GAST1CPF - Desp. Lazer e Entretenimento - Bares</v>
      </c>
      <c r="P758" s="44" t="str">
        <f t="shared" si="77"/>
        <v>MCSGAST1CPF - Desp. Lazer e Entretenimento - Bares</v>
      </c>
      <c r="Q758" s="44" t="str">
        <f t="shared" si="78"/>
        <v>MCSGAST1</v>
      </c>
      <c r="R758" s="44" t="str">
        <f t="shared" si="79"/>
        <v>MCSGAST1</v>
      </c>
      <c r="S758" s="38"/>
      <c r="T758" s="45">
        <f t="shared" si="80"/>
        <v>45962</v>
      </c>
      <c r="U758" s="24" t="str">
        <f t="shared" si="67"/>
        <v/>
      </c>
    </row>
    <row r="759" spans="2:22" s="46" customFormat="1" x14ac:dyDescent="0.25">
      <c r="B759" s="37" t="s">
        <v>25</v>
      </c>
      <c r="C759" s="38"/>
      <c r="D759" s="39" t="str">
        <f>INDEX(Cad_Natureza!$B$3:$C$52,MATCH('2025'!F759,Cad_Natureza!$C$3:$C$52,0),MATCH('2025'!D$2,Cad_Natureza!$B$3:$C$3,0))</f>
        <v>DESP3</v>
      </c>
      <c r="E759" s="40" t="s">
        <v>925</v>
      </c>
      <c r="F759" s="41" t="s">
        <v>736</v>
      </c>
      <c r="G759" s="39" t="s">
        <v>25</v>
      </c>
      <c r="H759" s="42">
        <v>45971</v>
      </c>
      <c r="I759" s="42"/>
      <c r="J759" s="43" t="s">
        <v>950</v>
      </c>
      <c r="K759" s="62">
        <v>-60</v>
      </c>
      <c r="L759" s="68">
        <f t="shared" si="87"/>
        <v>1232.3099999999995</v>
      </c>
      <c r="M759" s="38"/>
      <c r="N759" s="44" t="str">
        <f t="shared" si="75"/>
        <v xml:space="preserve">MCSDESP3CPF - Desp. com veículo - Manut. / Gastos </v>
      </c>
      <c r="O759" s="44" t="str">
        <f t="shared" si="76"/>
        <v xml:space="preserve">DESP3CPF - Desp. com veículo - Manut. / Gastos </v>
      </c>
      <c r="P759" s="44" t="str">
        <f t="shared" si="77"/>
        <v xml:space="preserve">MCSDESP3CPF - Desp. com veículo - Manut. / Gastos </v>
      </c>
      <c r="Q759" s="44" t="str">
        <f t="shared" si="78"/>
        <v>MCSDESP3</v>
      </c>
      <c r="R759" s="44" t="str">
        <f t="shared" si="79"/>
        <v>MCSDESP3</v>
      </c>
      <c r="S759" s="38"/>
      <c r="T759" s="45">
        <f t="shared" si="80"/>
        <v>45962</v>
      </c>
      <c r="U759" s="24" t="str">
        <f t="shared" si="67"/>
        <v/>
      </c>
    </row>
    <row r="760" spans="2:22" s="46" customFormat="1" x14ac:dyDescent="0.25">
      <c r="B760" s="37" t="s">
        <v>25</v>
      </c>
      <c r="C760" s="38"/>
      <c r="D760" s="39" t="str">
        <f>INDEX(Cad_Natureza!$B$3:$C$52,MATCH('2025'!F760,Cad_Natureza!$C$3:$C$52,0),MATCH('2025'!D$2,Cad_Natureza!$B$3:$C$3,0))</f>
        <v>DESP1</v>
      </c>
      <c r="E760" s="40" t="s">
        <v>926</v>
      </c>
      <c r="F760" s="85" t="s">
        <v>733</v>
      </c>
      <c r="G760" s="39" t="s">
        <v>25</v>
      </c>
      <c r="H760" s="42">
        <v>45971</v>
      </c>
      <c r="I760" s="42"/>
      <c r="J760" s="79" t="s">
        <v>361</v>
      </c>
      <c r="K760" s="62">
        <v>-5.9</v>
      </c>
      <c r="L760" s="68">
        <f t="shared" si="87"/>
        <v>1226.4099999999994</v>
      </c>
      <c r="M760" s="38"/>
      <c r="N760" s="44" t="str">
        <f t="shared" si="75"/>
        <v>MCSDESP1CPF - Desp. Cartão de crédito</v>
      </c>
      <c r="O760" s="44" t="str">
        <f t="shared" si="76"/>
        <v>DESP1CPF - Desp. Cartão de crédito</v>
      </c>
      <c r="P760" s="44" t="str">
        <f t="shared" si="77"/>
        <v>MCSDESP1CPF - Desp. Cartão de crédito</v>
      </c>
      <c r="Q760" s="44" t="str">
        <f t="shared" si="78"/>
        <v>MCSDESP1</v>
      </c>
      <c r="R760" s="44" t="str">
        <f t="shared" si="79"/>
        <v>MCSDESP1</v>
      </c>
      <c r="S760" s="38"/>
      <c r="T760" s="45">
        <f t="shared" si="80"/>
        <v>45962</v>
      </c>
      <c r="U760" s="24" t="str">
        <f t="shared" si="67"/>
        <v/>
      </c>
    </row>
    <row r="761" spans="2:22" s="46" customFormat="1" x14ac:dyDescent="0.25">
      <c r="B761" s="37" t="s">
        <v>25</v>
      </c>
      <c r="C761" s="38"/>
      <c r="D761" s="39" t="str">
        <f>INDEX(Cad_Natureza!$B$3:$C$52,MATCH('2025'!F761,Cad_Natureza!$C$3:$C$52,0),MATCH('2025'!D$2,Cad_Natureza!$B$3:$C$3,0))</f>
        <v>GAST1</v>
      </c>
      <c r="E761" s="40" t="s">
        <v>927</v>
      </c>
      <c r="F761" s="85" t="s">
        <v>742</v>
      </c>
      <c r="G761" s="39" t="s">
        <v>25</v>
      </c>
      <c r="H761" s="42">
        <v>45971</v>
      </c>
      <c r="I761" s="42"/>
      <c r="J761" s="79" t="s">
        <v>948</v>
      </c>
      <c r="K761" s="62">
        <v>-12.5</v>
      </c>
      <c r="L761" s="68">
        <f t="shared" si="87"/>
        <v>1213.9099999999994</v>
      </c>
      <c r="M761" s="38"/>
      <c r="N761" s="44" t="str">
        <f t="shared" si="75"/>
        <v>MCSGAST1CPF - Desp. Lazer e Entretenimento - Bares</v>
      </c>
      <c r="O761" s="44" t="str">
        <f t="shared" si="76"/>
        <v>GAST1CPF - Desp. Lazer e Entretenimento - Bares</v>
      </c>
      <c r="P761" s="44" t="str">
        <f t="shared" si="77"/>
        <v>MCSGAST1CPF - Desp. Lazer e Entretenimento - Bares</v>
      </c>
      <c r="Q761" s="44" t="str">
        <f t="shared" si="78"/>
        <v>MCSGAST1</v>
      </c>
      <c r="R761" s="44" t="str">
        <f t="shared" si="79"/>
        <v>MCSGAST1</v>
      </c>
      <c r="S761" s="38"/>
      <c r="T761" s="45">
        <f t="shared" si="80"/>
        <v>45962</v>
      </c>
      <c r="U761" s="24" t="str">
        <f t="shared" si="67"/>
        <v/>
      </c>
    </row>
    <row r="762" spans="2:22" s="46" customFormat="1" x14ac:dyDescent="0.25">
      <c r="B762" s="37" t="s">
        <v>25</v>
      </c>
      <c r="C762" s="38"/>
      <c r="D762" s="39" t="str">
        <f>INDEX(Cad_Natureza!$B$3:$C$52,MATCH('2025'!F762,Cad_Natureza!$C$3:$C$52,0),MATCH('2025'!D$2,Cad_Natureza!$B$3:$C$3,0))</f>
        <v>PENS2</v>
      </c>
      <c r="E762" s="40" t="s">
        <v>1184</v>
      </c>
      <c r="F762" s="85" t="s">
        <v>715</v>
      </c>
      <c r="G762" s="39" t="s">
        <v>25</v>
      </c>
      <c r="H762" s="42">
        <v>45971</v>
      </c>
      <c r="I762" s="42"/>
      <c r="J762" s="78" t="s">
        <v>1191</v>
      </c>
      <c r="K762" s="62">
        <v>0</v>
      </c>
      <c r="L762" s="68">
        <f t="shared" si="87"/>
        <v>1213.9099999999994</v>
      </c>
      <c r="M762" s="38"/>
      <c r="N762" s="44" t="str">
        <f t="shared" ref="N762" si="88">B762&amp;D762&amp;F762</f>
        <v>MCSPENS2CPF - Pensão - Energia</v>
      </c>
      <c r="O762" s="44" t="str">
        <f t="shared" ref="O762" si="89">D762&amp;F762</f>
        <v>PENS2CPF - Pensão - Energia</v>
      </c>
      <c r="P762" s="44" t="str">
        <f t="shared" ref="P762" si="90">"MCS"&amp;D762&amp;F762</f>
        <v>MCSPENS2CPF - Pensão - Energia</v>
      </c>
      <c r="Q762" s="44" t="str">
        <f t="shared" ref="Q762" si="91">"MCS"&amp;D762</f>
        <v>MCSPENS2</v>
      </c>
      <c r="R762" s="44" t="str">
        <f t="shared" ref="R762" si="92">B762&amp;D762</f>
        <v>MCSPENS2</v>
      </c>
      <c r="S762" s="38"/>
      <c r="T762" s="45">
        <f t="shared" ref="T762" si="93">(1&amp;"/"&amp;MONTH(H762)&amp;"/"&amp;YEAR(H762))*1</f>
        <v>45962</v>
      </c>
      <c r="U762" s="24" t="str">
        <f t="shared" ref="U762" si="94">IF(I762="","",(1&amp;"/"&amp;MONTH(I762)&amp;"/"&amp;YEAR(I762))*1)</f>
        <v/>
      </c>
      <c r="V762" s="14" t="s">
        <v>1185</v>
      </c>
    </row>
    <row r="763" spans="2:22" s="46" customFormat="1" x14ac:dyDescent="0.25">
      <c r="B763" s="37" t="s">
        <v>25</v>
      </c>
      <c r="C763" s="38"/>
      <c r="D763" s="39" t="str">
        <f>INDEX(Cad_Natureza!$B$3:$C$52,MATCH('2025'!F763,Cad_Natureza!$C$3:$C$52,0),MATCH('2025'!D$2,Cad_Natureza!$B$3:$C$3,0))</f>
        <v>PENS2</v>
      </c>
      <c r="E763" s="40" t="s">
        <v>928</v>
      </c>
      <c r="F763" s="85" t="s">
        <v>715</v>
      </c>
      <c r="G763" s="39" t="s">
        <v>25</v>
      </c>
      <c r="H763" s="42">
        <v>45971</v>
      </c>
      <c r="I763" s="42"/>
      <c r="J763" s="78" t="s">
        <v>869</v>
      </c>
      <c r="K763" s="62">
        <v>-708.58</v>
      </c>
      <c r="L763" s="68">
        <f t="shared" si="87"/>
        <v>505.32999999999936</v>
      </c>
      <c r="M763" s="38"/>
      <c r="N763" s="44" t="str">
        <f t="shared" si="75"/>
        <v>MCSPENS2CPF - Pensão - Energia</v>
      </c>
      <c r="O763" s="44" t="str">
        <f t="shared" si="76"/>
        <v>PENS2CPF - Pensão - Energia</v>
      </c>
      <c r="P763" s="44" t="str">
        <f t="shared" si="77"/>
        <v>MCSPENS2CPF - Pensão - Energia</v>
      </c>
      <c r="Q763" s="44" t="str">
        <f t="shared" si="78"/>
        <v>MCSPENS2</v>
      </c>
      <c r="R763" s="44" t="str">
        <f t="shared" si="79"/>
        <v>MCSPENS2</v>
      </c>
      <c r="S763" s="38"/>
      <c r="T763" s="45">
        <f t="shared" si="80"/>
        <v>45962</v>
      </c>
      <c r="U763" s="24" t="str">
        <f t="shared" si="67"/>
        <v/>
      </c>
      <c r="V763" s="14" t="s">
        <v>1185</v>
      </c>
    </row>
    <row r="764" spans="2:22" s="46" customFormat="1" x14ac:dyDescent="0.25">
      <c r="B764" s="37" t="s">
        <v>25</v>
      </c>
      <c r="C764" s="38"/>
      <c r="D764" s="39" t="str">
        <f>INDEX(Cad_Natureza!$B$3:$C$52,MATCH('2025'!F764,Cad_Natureza!$C$3:$C$52,0),MATCH('2025'!D$2,Cad_Natureza!$B$3:$C$3,0))</f>
        <v>GAST1</v>
      </c>
      <c r="E764" s="40" t="s">
        <v>929</v>
      </c>
      <c r="F764" s="85" t="s">
        <v>742</v>
      </c>
      <c r="G764" s="39" t="s">
        <v>25</v>
      </c>
      <c r="H764" s="42">
        <v>45971</v>
      </c>
      <c r="I764" s="42"/>
      <c r="J764" s="79" t="s">
        <v>561</v>
      </c>
      <c r="K764" s="62">
        <v>-3.5</v>
      </c>
      <c r="L764" s="68">
        <f t="shared" si="87"/>
        <v>501.82999999999936</v>
      </c>
      <c r="M764" s="38"/>
      <c r="N764" s="44" t="str">
        <f t="shared" si="75"/>
        <v>MCSGAST1CPF - Desp. Lazer e Entretenimento - Bares</v>
      </c>
      <c r="O764" s="44" t="str">
        <f t="shared" si="76"/>
        <v>GAST1CPF - Desp. Lazer e Entretenimento - Bares</v>
      </c>
      <c r="P764" s="44" t="str">
        <f t="shared" si="77"/>
        <v>MCSGAST1CPF - Desp. Lazer e Entretenimento - Bares</v>
      </c>
      <c r="Q764" s="44" t="str">
        <f t="shared" si="78"/>
        <v>MCSGAST1</v>
      </c>
      <c r="R764" s="44" t="str">
        <f t="shared" si="79"/>
        <v>MCSGAST1</v>
      </c>
      <c r="S764" s="38"/>
      <c r="T764" s="45">
        <f t="shared" si="80"/>
        <v>45962</v>
      </c>
      <c r="U764" s="24" t="str">
        <f t="shared" si="67"/>
        <v/>
      </c>
    </row>
    <row r="765" spans="2:22" s="46" customFormat="1" x14ac:dyDescent="0.25">
      <c r="B765" s="37" t="s">
        <v>25</v>
      </c>
      <c r="C765" s="38"/>
      <c r="D765" s="86" t="str">
        <f>INDEX(Cad_Natureza!$B$3:$C$52,MATCH('2025'!F765,Cad_Natureza!$C$3:$C$52,0),MATCH('2025'!D$2,Cad_Natureza!$B$3:$C$3,0))</f>
        <v>GAST1</v>
      </c>
      <c r="E765" s="84" t="s">
        <v>930</v>
      </c>
      <c r="F765" s="85" t="s">
        <v>742</v>
      </c>
      <c r="G765" s="86" t="s">
        <v>25</v>
      </c>
      <c r="H765" s="87">
        <v>45971</v>
      </c>
      <c r="I765" s="87"/>
      <c r="J765" s="79" t="s">
        <v>561</v>
      </c>
      <c r="K765" s="62">
        <v>-3.49</v>
      </c>
      <c r="L765" s="68">
        <f t="shared" si="87"/>
        <v>498.33999999999935</v>
      </c>
      <c r="M765" s="38"/>
      <c r="N765" s="44" t="str">
        <f t="shared" si="75"/>
        <v>MCSGAST1CPF - Desp. Lazer e Entretenimento - Bares</v>
      </c>
      <c r="O765" s="44" t="str">
        <f t="shared" si="76"/>
        <v>GAST1CPF - Desp. Lazer e Entretenimento - Bares</v>
      </c>
      <c r="P765" s="44" t="str">
        <f t="shared" si="77"/>
        <v>MCSGAST1CPF - Desp. Lazer e Entretenimento - Bares</v>
      </c>
      <c r="Q765" s="44" t="str">
        <f t="shared" si="78"/>
        <v>MCSGAST1</v>
      </c>
      <c r="R765" s="44" t="str">
        <f t="shared" si="79"/>
        <v>MCSGAST1</v>
      </c>
      <c r="S765" s="38"/>
      <c r="T765" s="45">
        <f t="shared" si="80"/>
        <v>45962</v>
      </c>
      <c r="U765" s="24" t="str">
        <f t="shared" si="67"/>
        <v/>
      </c>
    </row>
    <row r="766" spans="2:22" s="46" customFormat="1" x14ac:dyDescent="0.25">
      <c r="B766" s="37" t="s">
        <v>25</v>
      </c>
      <c r="C766" s="38"/>
      <c r="D766" s="86" t="str">
        <f>INDEX(Cad_Natureza!$B$3:$C$52,MATCH('2025'!F766,Cad_Natureza!$C$3:$C$52,0),MATCH('2025'!D$2,Cad_Natureza!$B$3:$C$3,0))</f>
        <v>GAST1</v>
      </c>
      <c r="E766" s="84" t="s">
        <v>930</v>
      </c>
      <c r="F766" s="85" t="s">
        <v>742</v>
      </c>
      <c r="G766" s="86" t="s">
        <v>25</v>
      </c>
      <c r="H766" s="87">
        <v>45971</v>
      </c>
      <c r="I766" s="87"/>
      <c r="J766" s="79" t="s">
        <v>561</v>
      </c>
      <c r="K766" s="62">
        <v>-3.49</v>
      </c>
      <c r="L766" s="68">
        <f t="shared" si="87"/>
        <v>494.84999999999934</v>
      </c>
      <c r="M766" s="38"/>
      <c r="N766" s="44" t="str">
        <f t="shared" si="75"/>
        <v>MCSGAST1CPF - Desp. Lazer e Entretenimento - Bares</v>
      </c>
      <c r="O766" s="44" t="str">
        <f t="shared" si="76"/>
        <v>GAST1CPF - Desp. Lazer e Entretenimento - Bares</v>
      </c>
      <c r="P766" s="44" t="str">
        <f t="shared" si="77"/>
        <v>MCSGAST1CPF - Desp. Lazer e Entretenimento - Bares</v>
      </c>
      <c r="Q766" s="44" t="str">
        <f t="shared" si="78"/>
        <v>MCSGAST1</v>
      </c>
      <c r="R766" s="44" t="str">
        <f t="shared" si="79"/>
        <v>MCSGAST1</v>
      </c>
      <c r="S766" s="38"/>
      <c r="T766" s="45">
        <f t="shared" si="80"/>
        <v>45962</v>
      </c>
      <c r="U766" s="24" t="str">
        <f t="shared" si="67"/>
        <v/>
      </c>
    </row>
    <row r="767" spans="2:22" s="46" customFormat="1" x14ac:dyDescent="0.25">
      <c r="B767" s="37" t="s">
        <v>25</v>
      </c>
      <c r="C767" s="38"/>
      <c r="D767" s="86" t="str">
        <f>INDEX(Cad_Natureza!$B$3:$C$52,MATCH('2025'!F767,Cad_Natureza!$C$3:$C$52,0),MATCH('2025'!D$2,Cad_Natureza!$B$3:$C$3,0))</f>
        <v>GAST1</v>
      </c>
      <c r="E767" s="84" t="s">
        <v>931</v>
      </c>
      <c r="F767" s="85" t="s">
        <v>742</v>
      </c>
      <c r="G767" s="86" t="s">
        <v>25</v>
      </c>
      <c r="H767" s="87">
        <v>45971</v>
      </c>
      <c r="I767" s="87"/>
      <c r="J767" s="79" t="s">
        <v>561</v>
      </c>
      <c r="K767" s="62">
        <v>-3.49</v>
      </c>
      <c r="L767" s="68">
        <f t="shared" si="87"/>
        <v>491.35999999999933</v>
      </c>
      <c r="M767" s="38"/>
      <c r="N767" s="44" t="str">
        <f t="shared" si="75"/>
        <v>MCSGAST1CPF - Desp. Lazer e Entretenimento - Bares</v>
      </c>
      <c r="O767" s="44" t="str">
        <f t="shared" si="76"/>
        <v>GAST1CPF - Desp. Lazer e Entretenimento - Bares</v>
      </c>
      <c r="P767" s="44" t="str">
        <f t="shared" si="77"/>
        <v>MCSGAST1CPF - Desp. Lazer e Entretenimento - Bares</v>
      </c>
      <c r="Q767" s="44" t="str">
        <f t="shared" si="78"/>
        <v>MCSGAST1</v>
      </c>
      <c r="R767" s="44" t="str">
        <f t="shared" si="79"/>
        <v>MCSGAST1</v>
      </c>
      <c r="S767" s="38"/>
      <c r="T767" s="45">
        <f t="shared" si="80"/>
        <v>45962</v>
      </c>
      <c r="U767" s="24" t="str">
        <f t="shared" si="67"/>
        <v/>
      </c>
    </row>
    <row r="768" spans="2:22" s="46" customFormat="1" x14ac:dyDescent="0.25">
      <c r="B768" s="37" t="s">
        <v>25</v>
      </c>
      <c r="C768" s="38"/>
      <c r="D768" s="86" t="str">
        <f>INDEX(Cad_Natureza!$B$3:$C$52,MATCH('2025'!F768,Cad_Natureza!$C$3:$C$52,0),MATCH('2025'!D$2,Cad_Natureza!$B$3:$C$3,0))</f>
        <v>GAST1</v>
      </c>
      <c r="E768" s="84" t="s">
        <v>931</v>
      </c>
      <c r="F768" s="85" t="s">
        <v>742</v>
      </c>
      <c r="G768" s="86" t="s">
        <v>25</v>
      </c>
      <c r="H768" s="87">
        <v>45971</v>
      </c>
      <c r="I768" s="87"/>
      <c r="J768" s="79" t="s">
        <v>561</v>
      </c>
      <c r="K768" s="62">
        <v>-2.99</v>
      </c>
      <c r="L768" s="68">
        <f t="shared" si="87"/>
        <v>488.36999999999932</v>
      </c>
      <c r="M768" s="38"/>
      <c r="N768" s="44" t="str">
        <f t="shared" si="75"/>
        <v>MCSGAST1CPF - Desp. Lazer e Entretenimento - Bares</v>
      </c>
      <c r="O768" s="44" t="str">
        <f t="shared" si="76"/>
        <v>GAST1CPF - Desp. Lazer e Entretenimento - Bares</v>
      </c>
      <c r="P768" s="44" t="str">
        <f t="shared" si="77"/>
        <v>MCSGAST1CPF - Desp. Lazer e Entretenimento - Bares</v>
      </c>
      <c r="Q768" s="44" t="str">
        <f t="shared" si="78"/>
        <v>MCSGAST1</v>
      </c>
      <c r="R768" s="44" t="str">
        <f t="shared" si="79"/>
        <v>MCSGAST1</v>
      </c>
      <c r="S768" s="38"/>
      <c r="T768" s="45">
        <f t="shared" si="80"/>
        <v>45962</v>
      </c>
      <c r="U768" s="24" t="str">
        <f t="shared" si="67"/>
        <v/>
      </c>
    </row>
    <row r="769" spans="2:22" s="46" customFormat="1" x14ac:dyDescent="0.25">
      <c r="B769" s="37" t="s">
        <v>25</v>
      </c>
      <c r="C769" s="38"/>
      <c r="D769" s="39" t="str">
        <f>INDEX(Cad_Natureza!$B$3:$C$52,MATCH('2025'!F769,Cad_Natureza!$C$3:$C$52,0),MATCH('2025'!D$2,Cad_Natureza!$B$3:$C$3,0))</f>
        <v>OPF1</v>
      </c>
      <c r="E769" s="40" t="s">
        <v>932</v>
      </c>
      <c r="F769" s="41" t="s">
        <v>744</v>
      </c>
      <c r="G769" s="39" t="s">
        <v>25</v>
      </c>
      <c r="H769" s="42">
        <v>45971</v>
      </c>
      <c r="I769" s="42"/>
      <c r="J769" s="79" t="s">
        <v>182</v>
      </c>
      <c r="K769" s="62">
        <v>-20</v>
      </c>
      <c r="L769" s="68">
        <f t="shared" si="87"/>
        <v>468.36999999999932</v>
      </c>
      <c r="M769" s="38"/>
      <c r="N769" s="44" t="str">
        <f t="shared" si="75"/>
        <v>MCSOPF1CPF - Desp. Alimentação / Refeição</v>
      </c>
      <c r="O769" s="44" t="str">
        <f t="shared" si="76"/>
        <v>OPF1CPF - Desp. Alimentação / Refeição</v>
      </c>
      <c r="P769" s="44" t="str">
        <f t="shared" si="77"/>
        <v>MCSOPF1CPF - Desp. Alimentação / Refeição</v>
      </c>
      <c r="Q769" s="44" t="str">
        <f t="shared" si="78"/>
        <v>MCSOPF1</v>
      </c>
      <c r="R769" s="44" t="str">
        <f t="shared" si="79"/>
        <v>MCSOPF1</v>
      </c>
      <c r="S769" s="38"/>
      <c r="T769" s="45">
        <f t="shared" si="80"/>
        <v>45962</v>
      </c>
      <c r="U769" s="24" t="str">
        <f t="shared" si="67"/>
        <v/>
      </c>
    </row>
    <row r="770" spans="2:22" s="46" customFormat="1" x14ac:dyDescent="0.25">
      <c r="B770" s="37" t="s">
        <v>25</v>
      </c>
      <c r="C770" s="38"/>
      <c r="D770" s="39" t="str">
        <f>INDEX(Cad_Natureza!$B$3:$C$52,MATCH('2025'!F770,Cad_Natureza!$C$3:$C$52,0),MATCH('2025'!D$2,Cad_Natureza!$B$3:$C$3,0))</f>
        <v>DESP2</v>
      </c>
      <c r="E770" s="40" t="s">
        <v>933</v>
      </c>
      <c r="F770" s="41" t="s">
        <v>739</v>
      </c>
      <c r="G770" s="39" t="s">
        <v>25</v>
      </c>
      <c r="H770" s="42">
        <v>45971</v>
      </c>
      <c r="I770" s="42"/>
      <c r="J770" s="79" t="s">
        <v>455</v>
      </c>
      <c r="K770" s="62">
        <v>-121.43</v>
      </c>
      <c r="L770" s="68">
        <f t="shared" si="87"/>
        <v>346.93999999999932</v>
      </c>
      <c r="M770" s="38"/>
      <c r="N770" s="44" t="str">
        <f t="shared" si="75"/>
        <v>MCSDESP2CPF - Desp. Telefone / Internet</v>
      </c>
      <c r="O770" s="44" t="str">
        <f t="shared" si="76"/>
        <v>DESP2CPF - Desp. Telefone / Internet</v>
      </c>
      <c r="P770" s="44" t="str">
        <f t="shared" si="77"/>
        <v>MCSDESP2CPF - Desp. Telefone / Internet</v>
      </c>
      <c r="Q770" s="44" t="str">
        <f t="shared" si="78"/>
        <v>MCSDESP2</v>
      </c>
      <c r="R770" s="44" t="str">
        <f t="shared" si="79"/>
        <v>MCSDESP2</v>
      </c>
      <c r="S770" s="38"/>
      <c r="T770" s="45">
        <f t="shared" si="80"/>
        <v>45962</v>
      </c>
      <c r="U770" s="24" t="str">
        <f t="shared" si="67"/>
        <v/>
      </c>
    </row>
    <row r="771" spans="2:22" s="46" customFormat="1" x14ac:dyDescent="0.25">
      <c r="B771" s="37" t="s">
        <v>25</v>
      </c>
      <c r="C771" s="38"/>
      <c r="D771" s="63" t="str">
        <f>INDEX(Cad_Natureza!$B$3:$C$52,MATCH('2025'!F771,Cad_Natureza!$C$3:$C$52,0),MATCH('2025'!D$2,Cad_Natureza!$B$3:$C$3,0))</f>
        <v>REC4</v>
      </c>
      <c r="E771" s="64" t="s">
        <v>934</v>
      </c>
      <c r="F771" s="65" t="s">
        <v>734</v>
      </c>
      <c r="G771" s="63" t="s">
        <v>25</v>
      </c>
      <c r="H771" s="66">
        <v>45971</v>
      </c>
      <c r="I771" s="66"/>
      <c r="J771" s="67" t="s">
        <v>183</v>
      </c>
      <c r="K771" s="68">
        <v>1800</v>
      </c>
      <c r="L771" s="68">
        <f t="shared" si="87"/>
        <v>2146.9399999999991</v>
      </c>
      <c r="M771" s="38"/>
      <c r="N771" s="44" t="str">
        <f t="shared" si="75"/>
        <v>MCSREC4CPF - Transf. Da conta PJ para a conta PF</v>
      </c>
      <c r="O771" s="44" t="str">
        <f t="shared" si="76"/>
        <v>REC4CPF - Transf. Da conta PJ para a conta PF</v>
      </c>
      <c r="P771" s="44" t="str">
        <f t="shared" si="77"/>
        <v>MCSREC4CPF - Transf. Da conta PJ para a conta PF</v>
      </c>
      <c r="Q771" s="44" t="str">
        <f t="shared" si="78"/>
        <v>MCSREC4</v>
      </c>
      <c r="R771" s="44" t="str">
        <f t="shared" si="79"/>
        <v>MCSREC4</v>
      </c>
      <c r="S771" s="38"/>
      <c r="T771" s="45">
        <f t="shared" si="80"/>
        <v>45962</v>
      </c>
      <c r="U771" s="24" t="str">
        <f t="shared" si="67"/>
        <v/>
      </c>
    </row>
    <row r="772" spans="2:22" s="46" customFormat="1" x14ac:dyDescent="0.25">
      <c r="B772" s="37" t="s">
        <v>25</v>
      </c>
      <c r="C772" s="38"/>
      <c r="D772" s="39" t="str">
        <f>INDEX(Cad_Natureza!$B$3:$C$52,MATCH('2025'!F772,Cad_Natureza!$C$3:$C$52,0),MATCH('2025'!D$2,Cad_Natureza!$B$3:$C$3,0))</f>
        <v>PENS1</v>
      </c>
      <c r="E772" s="40" t="s">
        <v>935</v>
      </c>
      <c r="F772" s="85" t="s">
        <v>717</v>
      </c>
      <c r="G772" s="39" t="s">
        <v>25</v>
      </c>
      <c r="H772" s="42">
        <v>45971</v>
      </c>
      <c r="I772" s="42"/>
      <c r="J772" s="78" t="s">
        <v>951</v>
      </c>
      <c r="K772" s="62">
        <v>-700</v>
      </c>
      <c r="L772" s="68">
        <f t="shared" si="87"/>
        <v>1446.9399999999991</v>
      </c>
      <c r="M772" s="38"/>
      <c r="N772" s="44" t="str">
        <f t="shared" si="75"/>
        <v>MCSPENS1CPF - Pensão - Aluguel</v>
      </c>
      <c r="O772" s="44" t="str">
        <f t="shared" si="76"/>
        <v>PENS1CPF - Pensão - Aluguel</v>
      </c>
      <c r="P772" s="44" t="str">
        <f t="shared" si="77"/>
        <v>MCSPENS1CPF - Pensão - Aluguel</v>
      </c>
      <c r="Q772" s="44" t="str">
        <f t="shared" si="78"/>
        <v>MCSPENS1</v>
      </c>
      <c r="R772" s="44" t="str">
        <f t="shared" si="79"/>
        <v>MCSPENS1</v>
      </c>
      <c r="S772" s="38"/>
      <c r="T772" s="45">
        <f t="shared" si="80"/>
        <v>45962</v>
      </c>
      <c r="U772" s="24" t="str">
        <f t="shared" si="67"/>
        <v/>
      </c>
      <c r="V772" s="14" t="s">
        <v>731</v>
      </c>
    </row>
    <row r="773" spans="2:22" s="46" customFormat="1" x14ac:dyDescent="0.25">
      <c r="B773" s="37" t="s">
        <v>25</v>
      </c>
      <c r="C773" s="38"/>
      <c r="D773" s="39" t="str">
        <f>INDEX(Cad_Natureza!$B$3:$C$52,MATCH('2025'!F773,Cad_Natureza!$C$3:$C$52,0),MATCH('2025'!D$2,Cad_Natureza!$B$3:$C$3,0))</f>
        <v>OPF1</v>
      </c>
      <c r="E773" s="40" t="s">
        <v>955</v>
      </c>
      <c r="F773" s="41" t="s">
        <v>744</v>
      </c>
      <c r="G773" s="39" t="s">
        <v>25</v>
      </c>
      <c r="H773" s="42">
        <v>45972</v>
      </c>
      <c r="I773" s="42"/>
      <c r="J773" s="79" t="s">
        <v>182</v>
      </c>
      <c r="K773" s="62">
        <v>-23.5</v>
      </c>
      <c r="L773" s="68">
        <f t="shared" ref="L773:L836" si="95">L772+K773</f>
        <v>1423.4399999999991</v>
      </c>
      <c r="M773" s="38"/>
      <c r="N773" s="44" t="str">
        <f t="shared" si="75"/>
        <v>MCSOPF1CPF - Desp. Alimentação / Refeição</v>
      </c>
      <c r="O773" s="44" t="str">
        <f t="shared" si="76"/>
        <v>OPF1CPF - Desp. Alimentação / Refeição</v>
      </c>
      <c r="P773" s="44" t="str">
        <f t="shared" si="77"/>
        <v>MCSOPF1CPF - Desp. Alimentação / Refeição</v>
      </c>
      <c r="Q773" s="44" t="str">
        <f t="shared" si="78"/>
        <v>MCSOPF1</v>
      </c>
      <c r="R773" s="44" t="str">
        <f t="shared" si="79"/>
        <v>MCSOPF1</v>
      </c>
      <c r="S773" s="38"/>
      <c r="T773" s="45">
        <f t="shared" si="80"/>
        <v>45962</v>
      </c>
      <c r="U773" s="24" t="str">
        <f t="shared" si="67"/>
        <v/>
      </c>
    </row>
    <row r="774" spans="2:22" s="46" customFormat="1" x14ac:dyDescent="0.25">
      <c r="B774" s="37" t="s">
        <v>25</v>
      </c>
      <c r="C774" s="38"/>
      <c r="D774" s="39" t="str">
        <f>INDEX(Cad_Natureza!$B$3:$C$52,MATCH('2025'!F774,Cad_Natureza!$C$3:$C$52,0),MATCH('2025'!D$2,Cad_Natureza!$B$3:$C$3,0))</f>
        <v>OPF2</v>
      </c>
      <c r="E774" s="40" t="s">
        <v>956</v>
      </c>
      <c r="F774" s="85" t="s">
        <v>741</v>
      </c>
      <c r="G774" s="39" t="s">
        <v>25</v>
      </c>
      <c r="H774" s="42">
        <v>45972</v>
      </c>
      <c r="I774" s="42"/>
      <c r="J774" s="79" t="s">
        <v>674</v>
      </c>
      <c r="K774" s="62">
        <v>-50</v>
      </c>
      <c r="L774" s="68">
        <f t="shared" si="95"/>
        <v>1373.4399999999991</v>
      </c>
      <c r="M774" s="38"/>
      <c r="N774" s="44" t="str">
        <f t="shared" si="75"/>
        <v>MCSOPF2CPF - Desp. Transporte / Combustível</v>
      </c>
      <c r="O774" s="44" t="str">
        <f t="shared" si="76"/>
        <v>OPF2CPF - Desp. Transporte / Combustível</v>
      </c>
      <c r="P774" s="44" t="str">
        <f t="shared" si="77"/>
        <v>MCSOPF2CPF - Desp. Transporte / Combustível</v>
      </c>
      <c r="Q774" s="44" t="str">
        <f t="shared" si="78"/>
        <v>MCSOPF2</v>
      </c>
      <c r="R774" s="44" t="str">
        <f t="shared" si="79"/>
        <v>MCSOPF2</v>
      </c>
      <c r="S774" s="38"/>
      <c r="T774" s="45">
        <f t="shared" si="80"/>
        <v>45962</v>
      </c>
      <c r="U774" s="24" t="str">
        <f t="shared" si="67"/>
        <v/>
      </c>
    </row>
    <row r="775" spans="2:22" s="46" customFormat="1" x14ac:dyDescent="0.25">
      <c r="B775" s="37" t="s">
        <v>25</v>
      </c>
      <c r="C775" s="38"/>
      <c r="D775" s="39" t="str">
        <f>INDEX(Cad_Natureza!$B$3:$C$52,MATCH('2025'!F775,Cad_Natureza!$C$3:$C$52,0),MATCH('2025'!D$2,Cad_Natureza!$B$3:$C$3,0))</f>
        <v>OUG1</v>
      </c>
      <c r="E775" s="40" t="s">
        <v>957</v>
      </c>
      <c r="F775" s="41" t="s">
        <v>748</v>
      </c>
      <c r="G775" s="39" t="s">
        <v>25</v>
      </c>
      <c r="H775" s="42">
        <v>45972</v>
      </c>
      <c r="I775" s="42"/>
      <c r="J775" s="43" t="s">
        <v>959</v>
      </c>
      <c r="K775" s="62">
        <v>-15.99</v>
      </c>
      <c r="L775" s="68">
        <f t="shared" si="95"/>
        <v>1357.4499999999991</v>
      </c>
      <c r="M775" s="38"/>
      <c r="N775" s="44" t="str">
        <f t="shared" si="75"/>
        <v>MCSOUG1CPF - Outros gastos</v>
      </c>
      <c r="O775" s="44" t="str">
        <f t="shared" si="76"/>
        <v>OUG1CPF - Outros gastos</v>
      </c>
      <c r="P775" s="44" t="str">
        <f t="shared" si="77"/>
        <v>MCSOUG1CPF - Outros gastos</v>
      </c>
      <c r="Q775" s="44" t="str">
        <f t="shared" si="78"/>
        <v>MCSOUG1</v>
      </c>
      <c r="R775" s="44" t="str">
        <f t="shared" si="79"/>
        <v>MCSOUG1</v>
      </c>
      <c r="S775" s="38"/>
      <c r="T775" s="45">
        <f t="shared" si="80"/>
        <v>45962</v>
      </c>
      <c r="U775" s="24" t="str">
        <f t="shared" si="67"/>
        <v/>
      </c>
    </row>
    <row r="776" spans="2:22" s="46" customFormat="1" x14ac:dyDescent="0.25">
      <c r="B776" s="37" t="s">
        <v>25</v>
      </c>
      <c r="C776" s="38"/>
      <c r="D776" s="39" t="str">
        <f>INDEX(Cad_Natureza!$B$3:$C$52,MATCH('2025'!F776,Cad_Natureza!$C$3:$C$52,0),MATCH('2025'!D$2,Cad_Natureza!$B$3:$C$3,0))</f>
        <v>OPF1</v>
      </c>
      <c r="E776" s="40" t="s">
        <v>958</v>
      </c>
      <c r="F776" s="41" t="s">
        <v>744</v>
      </c>
      <c r="G776" s="39" t="s">
        <v>25</v>
      </c>
      <c r="H776" s="42">
        <v>45973</v>
      </c>
      <c r="I776" s="42"/>
      <c r="J776" s="79" t="s">
        <v>182</v>
      </c>
      <c r="K776" s="62">
        <v>-23.5</v>
      </c>
      <c r="L776" s="68">
        <f t="shared" si="95"/>
        <v>1333.9499999999991</v>
      </c>
      <c r="M776" s="38"/>
      <c r="N776" s="44" t="str">
        <f t="shared" si="75"/>
        <v>MCSOPF1CPF - Desp. Alimentação / Refeição</v>
      </c>
      <c r="O776" s="44" t="str">
        <f t="shared" si="76"/>
        <v>OPF1CPF - Desp. Alimentação / Refeição</v>
      </c>
      <c r="P776" s="44" t="str">
        <f t="shared" si="77"/>
        <v>MCSOPF1CPF - Desp. Alimentação / Refeição</v>
      </c>
      <c r="Q776" s="44" t="str">
        <f t="shared" si="78"/>
        <v>MCSOPF1</v>
      </c>
      <c r="R776" s="44" t="str">
        <f t="shared" si="79"/>
        <v>MCSOPF1</v>
      </c>
      <c r="S776" s="38"/>
      <c r="T776" s="45">
        <f t="shared" si="80"/>
        <v>45962</v>
      </c>
      <c r="U776" s="24" t="str">
        <f t="shared" si="67"/>
        <v/>
      </c>
    </row>
    <row r="777" spans="2:22" s="46" customFormat="1" x14ac:dyDescent="0.25">
      <c r="B777" s="37" t="s">
        <v>25</v>
      </c>
      <c r="C777" s="38"/>
      <c r="D777" s="39" t="str">
        <f>INDEX(Cad_Natureza!$B$3:$C$52,MATCH('2025'!F777,Cad_Natureza!$C$3:$C$52,0),MATCH('2025'!D$2,Cad_Natureza!$B$3:$C$3,0))</f>
        <v>OPF1</v>
      </c>
      <c r="E777" s="40" t="s">
        <v>960</v>
      </c>
      <c r="F777" s="41" t="s">
        <v>744</v>
      </c>
      <c r="G777" s="39" t="s">
        <v>25</v>
      </c>
      <c r="H777" s="42">
        <v>45974</v>
      </c>
      <c r="I777" s="42"/>
      <c r="J777" s="79" t="s">
        <v>182</v>
      </c>
      <c r="K777" s="62">
        <v>-23.5</v>
      </c>
      <c r="L777" s="68">
        <f t="shared" si="95"/>
        <v>1310.4499999999991</v>
      </c>
      <c r="M777" s="38"/>
      <c r="N777" s="44" t="str">
        <f t="shared" si="75"/>
        <v>MCSOPF1CPF - Desp. Alimentação / Refeição</v>
      </c>
      <c r="O777" s="44" t="str">
        <f t="shared" si="76"/>
        <v>OPF1CPF - Desp. Alimentação / Refeição</v>
      </c>
      <c r="P777" s="44" t="str">
        <f t="shared" si="77"/>
        <v>MCSOPF1CPF - Desp. Alimentação / Refeição</v>
      </c>
      <c r="Q777" s="44" t="str">
        <f t="shared" si="78"/>
        <v>MCSOPF1</v>
      </c>
      <c r="R777" s="44" t="str">
        <f t="shared" si="79"/>
        <v>MCSOPF1</v>
      </c>
      <c r="S777" s="38"/>
      <c r="T777" s="45">
        <f t="shared" si="80"/>
        <v>45962</v>
      </c>
      <c r="U777" s="24" t="str">
        <f t="shared" si="67"/>
        <v/>
      </c>
    </row>
    <row r="778" spans="2:22" s="46" customFormat="1" x14ac:dyDescent="0.25">
      <c r="B778" s="37" t="s">
        <v>25</v>
      </c>
      <c r="C778" s="38"/>
      <c r="D778" s="39" t="str">
        <f>INDEX(Cad_Natureza!$B$3:$C$52,MATCH('2025'!F778,Cad_Natureza!$C$3:$C$52,0),MATCH('2025'!D$2,Cad_Natureza!$B$3:$C$3,0))</f>
        <v>OPF2</v>
      </c>
      <c r="E778" s="40" t="s">
        <v>961</v>
      </c>
      <c r="F778" s="85" t="s">
        <v>741</v>
      </c>
      <c r="G778" s="39" t="s">
        <v>25</v>
      </c>
      <c r="H778" s="42">
        <v>45974</v>
      </c>
      <c r="I778" s="42"/>
      <c r="J778" s="79" t="s">
        <v>674</v>
      </c>
      <c r="K778" s="62">
        <v>-50</v>
      </c>
      <c r="L778" s="68">
        <f t="shared" si="95"/>
        <v>1260.4499999999991</v>
      </c>
      <c r="M778" s="38"/>
      <c r="N778" s="44" t="str">
        <f t="shared" si="75"/>
        <v>MCSOPF2CPF - Desp. Transporte / Combustível</v>
      </c>
      <c r="O778" s="44" t="str">
        <f t="shared" si="76"/>
        <v>OPF2CPF - Desp. Transporte / Combustível</v>
      </c>
      <c r="P778" s="44" t="str">
        <f t="shared" si="77"/>
        <v>MCSOPF2CPF - Desp. Transporte / Combustível</v>
      </c>
      <c r="Q778" s="44" t="str">
        <f t="shared" si="78"/>
        <v>MCSOPF2</v>
      </c>
      <c r="R778" s="44" t="str">
        <f t="shared" si="79"/>
        <v>MCSOPF2</v>
      </c>
      <c r="S778" s="38"/>
      <c r="T778" s="45">
        <f t="shared" si="80"/>
        <v>45962</v>
      </c>
      <c r="U778" s="24" t="str">
        <f t="shared" si="67"/>
        <v/>
      </c>
    </row>
    <row r="779" spans="2:22" s="46" customFormat="1" x14ac:dyDescent="0.25">
      <c r="B779" s="37" t="s">
        <v>25</v>
      </c>
      <c r="C779" s="38"/>
      <c r="D779" s="39" t="str">
        <f>INDEX(Cad_Natureza!$B$3:$C$52,MATCH('2025'!F779,Cad_Natureza!$C$3:$C$52,0),MATCH('2025'!D$2,Cad_Natureza!$B$3:$C$3,0))</f>
        <v>OPF1</v>
      </c>
      <c r="E779" s="40" t="s">
        <v>963</v>
      </c>
      <c r="F779" s="41" t="s">
        <v>744</v>
      </c>
      <c r="G779" s="39" t="s">
        <v>25</v>
      </c>
      <c r="H779" s="42">
        <v>45975</v>
      </c>
      <c r="I779" s="42"/>
      <c r="J779" s="79" t="s">
        <v>182</v>
      </c>
      <c r="K779" s="19">
        <v>-23.5</v>
      </c>
      <c r="L779" s="19">
        <f t="shared" si="95"/>
        <v>1236.9499999999991</v>
      </c>
      <c r="M779" s="38"/>
      <c r="N779" s="44" t="str">
        <f t="shared" si="75"/>
        <v>MCSOPF1CPF - Desp. Alimentação / Refeição</v>
      </c>
      <c r="O779" s="44" t="str">
        <f t="shared" si="76"/>
        <v>OPF1CPF - Desp. Alimentação / Refeição</v>
      </c>
      <c r="P779" s="44" t="str">
        <f t="shared" si="77"/>
        <v>MCSOPF1CPF - Desp. Alimentação / Refeição</v>
      </c>
      <c r="Q779" s="44" t="str">
        <f t="shared" si="78"/>
        <v>MCSOPF1</v>
      </c>
      <c r="R779" s="44" t="str">
        <f t="shared" si="79"/>
        <v>MCSOPF1</v>
      </c>
      <c r="S779" s="38"/>
      <c r="T779" s="45">
        <f t="shared" si="80"/>
        <v>45962</v>
      </c>
      <c r="U779" s="24" t="str">
        <f t="shared" si="67"/>
        <v/>
      </c>
    </row>
    <row r="780" spans="2:22" s="46" customFormat="1" x14ac:dyDescent="0.25">
      <c r="B780" s="37" t="s">
        <v>25</v>
      </c>
      <c r="C780" s="38"/>
      <c r="D780" s="39" t="str">
        <f>INDEX(Cad_Natureza!$B$3:$C$52,MATCH('2025'!F780,Cad_Natureza!$C$3:$C$52,0),MATCH('2025'!D$2,Cad_Natureza!$B$3:$C$3,0))</f>
        <v>DESP3</v>
      </c>
      <c r="E780" s="40" t="s">
        <v>964</v>
      </c>
      <c r="F780" s="41" t="s">
        <v>736</v>
      </c>
      <c r="G780" s="39" t="s">
        <v>25</v>
      </c>
      <c r="H780" s="42">
        <v>45975</v>
      </c>
      <c r="I780" s="42"/>
      <c r="J780" s="43" t="s">
        <v>1108</v>
      </c>
      <c r="K780" s="19">
        <v>-530</v>
      </c>
      <c r="L780" s="19">
        <f t="shared" si="95"/>
        <v>706.94999999999914</v>
      </c>
      <c r="M780" s="38"/>
      <c r="N780" s="44" t="str">
        <f t="shared" si="75"/>
        <v xml:space="preserve">MCSDESP3CPF - Desp. com veículo - Manut. / Gastos </v>
      </c>
      <c r="O780" s="44" t="str">
        <f t="shared" si="76"/>
        <v xml:space="preserve">DESP3CPF - Desp. com veículo - Manut. / Gastos </v>
      </c>
      <c r="P780" s="44" t="str">
        <f t="shared" si="77"/>
        <v xml:space="preserve">MCSDESP3CPF - Desp. com veículo - Manut. / Gastos </v>
      </c>
      <c r="Q780" s="44" t="str">
        <f t="shared" si="78"/>
        <v>MCSDESP3</v>
      </c>
      <c r="R780" s="44" t="str">
        <f t="shared" si="79"/>
        <v>MCSDESP3</v>
      </c>
      <c r="S780" s="38"/>
      <c r="T780" s="45">
        <f t="shared" si="80"/>
        <v>45962</v>
      </c>
      <c r="U780" s="24" t="str">
        <f t="shared" si="67"/>
        <v/>
      </c>
    </row>
    <row r="781" spans="2:22" s="46" customFormat="1" x14ac:dyDescent="0.25">
      <c r="B781" s="37" t="s">
        <v>25</v>
      </c>
      <c r="C781" s="38"/>
      <c r="D781" s="39" t="str">
        <f>INDEX(Cad_Natureza!$B$3:$C$52,MATCH('2025'!F781,Cad_Natureza!$C$3:$C$52,0),MATCH('2025'!D$2,Cad_Natureza!$B$3:$C$3,0))</f>
        <v>GAST1</v>
      </c>
      <c r="E781" s="40" t="s">
        <v>965</v>
      </c>
      <c r="F781" s="85" t="s">
        <v>742</v>
      </c>
      <c r="G781" s="39" t="s">
        <v>25</v>
      </c>
      <c r="H781" s="42">
        <v>45975</v>
      </c>
      <c r="I781" s="42"/>
      <c r="J781" s="79" t="s">
        <v>185</v>
      </c>
      <c r="K781" s="19">
        <v>-41</v>
      </c>
      <c r="L781" s="19">
        <f t="shared" si="95"/>
        <v>665.94999999999914</v>
      </c>
      <c r="M781" s="38"/>
      <c r="N781" s="44" t="str">
        <f t="shared" si="75"/>
        <v>MCSGAST1CPF - Desp. Lazer e Entretenimento - Bares</v>
      </c>
      <c r="O781" s="44" t="str">
        <f t="shared" si="76"/>
        <v>GAST1CPF - Desp. Lazer e Entretenimento - Bares</v>
      </c>
      <c r="P781" s="44" t="str">
        <f t="shared" si="77"/>
        <v>MCSGAST1CPF - Desp. Lazer e Entretenimento - Bares</v>
      </c>
      <c r="Q781" s="44" t="str">
        <f t="shared" si="78"/>
        <v>MCSGAST1</v>
      </c>
      <c r="R781" s="44" t="str">
        <f t="shared" si="79"/>
        <v>MCSGAST1</v>
      </c>
      <c r="S781" s="38"/>
      <c r="T781" s="45">
        <f t="shared" si="80"/>
        <v>45962</v>
      </c>
      <c r="U781" s="24" t="str">
        <f t="shared" si="67"/>
        <v/>
      </c>
    </row>
    <row r="782" spans="2:22" s="46" customFormat="1" x14ac:dyDescent="0.25">
      <c r="B782" s="37" t="s">
        <v>25</v>
      </c>
      <c r="C782" s="38"/>
      <c r="D782" s="39" t="str">
        <f>INDEX(Cad_Natureza!$B$3:$C$52,MATCH('2025'!F782,Cad_Natureza!$C$3:$C$52,0),MATCH('2025'!D$2,Cad_Natureza!$B$3:$C$3,0))</f>
        <v>PENS6</v>
      </c>
      <c r="E782" s="40" t="s">
        <v>966</v>
      </c>
      <c r="F782" s="41" t="s">
        <v>37</v>
      </c>
      <c r="G782" s="39" t="s">
        <v>25</v>
      </c>
      <c r="H782" s="42">
        <v>45975</v>
      </c>
      <c r="I782" s="42"/>
      <c r="J782" s="43" t="s">
        <v>568</v>
      </c>
      <c r="K782" s="19">
        <v>-29.99</v>
      </c>
      <c r="L782" s="19">
        <f t="shared" si="95"/>
        <v>635.95999999999913</v>
      </c>
      <c r="M782" s="38"/>
      <c r="N782" s="44" t="str">
        <f t="shared" si="75"/>
        <v>MCSPENS6CPF - Pensão - Farmácia e Saúde</v>
      </c>
      <c r="O782" s="44" t="str">
        <f t="shared" si="76"/>
        <v>PENS6CPF - Pensão - Farmácia e Saúde</v>
      </c>
      <c r="P782" s="44" t="str">
        <f t="shared" si="77"/>
        <v>MCSPENS6CPF - Pensão - Farmácia e Saúde</v>
      </c>
      <c r="Q782" s="44" t="str">
        <f t="shared" si="78"/>
        <v>MCSPENS6</v>
      </c>
      <c r="R782" s="44" t="str">
        <f t="shared" si="79"/>
        <v>MCSPENS6</v>
      </c>
      <c r="S782" s="38"/>
      <c r="T782" s="45">
        <f t="shared" si="80"/>
        <v>45962</v>
      </c>
      <c r="U782" s="24" t="str">
        <f t="shared" si="67"/>
        <v/>
      </c>
    </row>
    <row r="783" spans="2:22" s="46" customFormat="1" x14ac:dyDescent="0.25">
      <c r="B783" s="37" t="s">
        <v>25</v>
      </c>
      <c r="C783" s="38"/>
      <c r="D783" s="39" t="str">
        <f>INDEX(Cad_Natureza!$B$3:$C$52,MATCH('2025'!F783,Cad_Natureza!$C$3:$C$52,0),MATCH('2025'!D$2,Cad_Natureza!$B$3:$C$3,0))</f>
        <v>OPF2</v>
      </c>
      <c r="E783" s="40" t="s">
        <v>967</v>
      </c>
      <c r="F783" s="85" t="s">
        <v>741</v>
      </c>
      <c r="G783" s="39" t="s">
        <v>25</v>
      </c>
      <c r="H783" s="42">
        <v>45975</v>
      </c>
      <c r="I783" s="42"/>
      <c r="J783" s="79" t="s">
        <v>674</v>
      </c>
      <c r="K783" s="19">
        <v>-50</v>
      </c>
      <c r="L783" s="19">
        <f t="shared" si="95"/>
        <v>585.95999999999913</v>
      </c>
      <c r="M783" s="38"/>
      <c r="N783" s="44" t="str">
        <f t="shared" si="75"/>
        <v>MCSOPF2CPF - Desp. Transporte / Combustível</v>
      </c>
      <c r="O783" s="44" t="str">
        <f t="shared" si="76"/>
        <v>OPF2CPF - Desp. Transporte / Combustível</v>
      </c>
      <c r="P783" s="44" t="str">
        <f t="shared" si="77"/>
        <v>MCSOPF2CPF - Desp. Transporte / Combustível</v>
      </c>
      <c r="Q783" s="44" t="str">
        <f t="shared" si="78"/>
        <v>MCSOPF2</v>
      </c>
      <c r="R783" s="44" t="str">
        <f t="shared" si="79"/>
        <v>MCSOPF2</v>
      </c>
      <c r="S783" s="38"/>
      <c r="T783" s="45">
        <f t="shared" si="80"/>
        <v>45962</v>
      </c>
      <c r="U783" s="24" t="str">
        <f t="shared" si="67"/>
        <v/>
      </c>
    </row>
    <row r="784" spans="2:22" s="46" customFormat="1" x14ac:dyDescent="0.25">
      <c r="B784" s="37" t="s">
        <v>25</v>
      </c>
      <c r="C784" s="38"/>
      <c r="D784" s="39" t="str">
        <f>INDEX(Cad_Natureza!$B$3:$C$52,MATCH('2025'!F784,Cad_Natureza!$C$3:$C$52,0),MATCH('2025'!D$2,Cad_Natureza!$B$3:$C$3,0))</f>
        <v>PENS6</v>
      </c>
      <c r="E784" s="40" t="s">
        <v>968</v>
      </c>
      <c r="F784" s="41" t="s">
        <v>37</v>
      </c>
      <c r="G784" s="39" t="s">
        <v>25</v>
      </c>
      <c r="H784" s="42">
        <v>45975</v>
      </c>
      <c r="I784" s="42"/>
      <c r="J784" s="43" t="s">
        <v>568</v>
      </c>
      <c r="K784" s="19">
        <v>-41.9</v>
      </c>
      <c r="L784" s="19">
        <f t="shared" si="95"/>
        <v>544.05999999999915</v>
      </c>
      <c r="M784" s="38"/>
      <c r="N784" s="44" t="str">
        <f t="shared" si="75"/>
        <v>MCSPENS6CPF - Pensão - Farmácia e Saúde</v>
      </c>
      <c r="O784" s="44" t="str">
        <f t="shared" si="76"/>
        <v>PENS6CPF - Pensão - Farmácia e Saúde</v>
      </c>
      <c r="P784" s="44" t="str">
        <f t="shared" si="77"/>
        <v>MCSPENS6CPF - Pensão - Farmácia e Saúde</v>
      </c>
      <c r="Q784" s="44" t="str">
        <f t="shared" si="78"/>
        <v>MCSPENS6</v>
      </c>
      <c r="R784" s="44" t="str">
        <f t="shared" si="79"/>
        <v>MCSPENS6</v>
      </c>
      <c r="S784" s="38"/>
      <c r="T784" s="45">
        <f t="shared" si="80"/>
        <v>45962</v>
      </c>
      <c r="U784" s="24" t="str">
        <f t="shared" si="67"/>
        <v/>
      </c>
    </row>
    <row r="785" spans="2:21" s="46" customFormat="1" x14ac:dyDescent="0.25">
      <c r="B785" s="37" t="s">
        <v>25</v>
      </c>
      <c r="C785" s="38"/>
      <c r="D785" s="39" t="str">
        <f>INDEX(Cad_Natureza!$B$3:$C$52,MATCH('2025'!F785,Cad_Natureza!$C$3:$C$52,0),MATCH('2025'!D$2,Cad_Natureza!$B$3:$C$3,0))</f>
        <v>GAST2</v>
      </c>
      <c r="E785" s="40" t="s">
        <v>969</v>
      </c>
      <c r="F785" s="41" t="s">
        <v>743</v>
      </c>
      <c r="G785" s="39" t="s">
        <v>25</v>
      </c>
      <c r="H785" s="42">
        <v>45978</v>
      </c>
      <c r="I785" s="42"/>
      <c r="J785" s="43" t="s">
        <v>180</v>
      </c>
      <c r="K785" s="19">
        <v>-5</v>
      </c>
      <c r="L785" s="19">
        <f t="shared" si="95"/>
        <v>539.05999999999915</v>
      </c>
      <c r="M785" s="38"/>
      <c r="N785" s="44" t="str">
        <f t="shared" si="75"/>
        <v>MCSGAST2CPF - Desp. Lazer e Entretenimento - Cigarro</v>
      </c>
      <c r="O785" s="44" t="str">
        <f t="shared" si="76"/>
        <v>GAST2CPF - Desp. Lazer e Entretenimento - Cigarro</v>
      </c>
      <c r="P785" s="44" t="str">
        <f t="shared" si="77"/>
        <v>MCSGAST2CPF - Desp. Lazer e Entretenimento - Cigarro</v>
      </c>
      <c r="Q785" s="44" t="str">
        <f t="shared" si="78"/>
        <v>MCSGAST2</v>
      </c>
      <c r="R785" s="44" t="str">
        <f t="shared" si="79"/>
        <v>MCSGAST2</v>
      </c>
      <c r="S785" s="38"/>
      <c r="T785" s="45">
        <f t="shared" si="80"/>
        <v>45962</v>
      </c>
      <c r="U785" s="24" t="str">
        <f t="shared" si="67"/>
        <v/>
      </c>
    </row>
    <row r="786" spans="2:21" s="46" customFormat="1" x14ac:dyDescent="0.25">
      <c r="B786" s="37" t="s">
        <v>25</v>
      </c>
      <c r="C786" s="38"/>
      <c r="D786" s="39" t="str">
        <f>INDEX(Cad_Natureza!$B$3:$C$52,MATCH('2025'!F786,Cad_Natureza!$C$3:$C$52,0),MATCH('2025'!D$2,Cad_Natureza!$B$3:$C$3,0))</f>
        <v>GAST2</v>
      </c>
      <c r="E786" s="40" t="s">
        <v>970</v>
      </c>
      <c r="F786" s="41" t="s">
        <v>743</v>
      </c>
      <c r="G786" s="39" t="s">
        <v>25</v>
      </c>
      <c r="H786" s="42">
        <v>45978</v>
      </c>
      <c r="I786" s="42"/>
      <c r="J786" s="43" t="s">
        <v>180</v>
      </c>
      <c r="K786" s="19">
        <v>-10</v>
      </c>
      <c r="L786" s="19">
        <f t="shared" si="95"/>
        <v>529.05999999999915</v>
      </c>
      <c r="M786" s="38"/>
      <c r="N786" s="44" t="str">
        <f t="shared" si="75"/>
        <v>MCSGAST2CPF - Desp. Lazer e Entretenimento - Cigarro</v>
      </c>
      <c r="O786" s="44" t="str">
        <f t="shared" si="76"/>
        <v>GAST2CPF - Desp. Lazer e Entretenimento - Cigarro</v>
      </c>
      <c r="P786" s="44" t="str">
        <f t="shared" si="77"/>
        <v>MCSGAST2CPF - Desp. Lazer e Entretenimento - Cigarro</v>
      </c>
      <c r="Q786" s="44" t="str">
        <f t="shared" si="78"/>
        <v>MCSGAST2</v>
      </c>
      <c r="R786" s="44" t="str">
        <f t="shared" si="79"/>
        <v>MCSGAST2</v>
      </c>
      <c r="S786" s="38"/>
      <c r="T786" s="45">
        <f t="shared" si="80"/>
        <v>45962</v>
      </c>
      <c r="U786" s="24" t="str">
        <f t="shared" si="67"/>
        <v/>
      </c>
    </row>
    <row r="787" spans="2:21" s="46" customFormat="1" x14ac:dyDescent="0.25">
      <c r="B787" s="37" t="s">
        <v>25</v>
      </c>
      <c r="C787" s="38"/>
      <c r="D787" s="39" t="str">
        <f>INDEX(Cad_Natureza!$B$3:$C$52,MATCH('2025'!F787,Cad_Natureza!$C$3:$C$52,0),MATCH('2025'!D$2,Cad_Natureza!$B$3:$C$3,0))</f>
        <v>GAST2</v>
      </c>
      <c r="E787" s="40" t="s">
        <v>970</v>
      </c>
      <c r="F787" s="41" t="s">
        <v>743</v>
      </c>
      <c r="G787" s="39" t="s">
        <v>25</v>
      </c>
      <c r="H787" s="42">
        <v>45978</v>
      </c>
      <c r="I787" s="42"/>
      <c r="J787" s="43" t="s">
        <v>180</v>
      </c>
      <c r="K787" s="19">
        <v>-5</v>
      </c>
      <c r="L787" s="19">
        <f t="shared" si="95"/>
        <v>524.05999999999915</v>
      </c>
      <c r="M787" s="38"/>
      <c r="N787" s="44" t="str">
        <f t="shared" si="75"/>
        <v>MCSGAST2CPF - Desp. Lazer e Entretenimento - Cigarro</v>
      </c>
      <c r="O787" s="44" t="str">
        <f t="shared" si="76"/>
        <v>GAST2CPF - Desp. Lazer e Entretenimento - Cigarro</v>
      </c>
      <c r="P787" s="44" t="str">
        <f t="shared" si="77"/>
        <v>MCSGAST2CPF - Desp. Lazer e Entretenimento - Cigarro</v>
      </c>
      <c r="Q787" s="44" t="str">
        <f t="shared" si="78"/>
        <v>MCSGAST2</v>
      </c>
      <c r="R787" s="44" t="str">
        <f t="shared" si="79"/>
        <v>MCSGAST2</v>
      </c>
      <c r="S787" s="38"/>
      <c r="T787" s="45">
        <f t="shared" si="80"/>
        <v>45962</v>
      </c>
      <c r="U787" s="24" t="str">
        <f t="shared" si="67"/>
        <v/>
      </c>
    </row>
    <row r="788" spans="2:21" s="46" customFormat="1" x14ac:dyDescent="0.25">
      <c r="B788" s="37" t="s">
        <v>25</v>
      </c>
      <c r="C788" s="38"/>
      <c r="D788" s="39" t="str">
        <f>INDEX(Cad_Natureza!$B$3:$C$52,MATCH('2025'!F788,Cad_Natureza!$C$3:$C$52,0),MATCH('2025'!D$2,Cad_Natureza!$B$3:$C$3,0))</f>
        <v>GAST2</v>
      </c>
      <c r="E788" s="40" t="s">
        <v>971</v>
      </c>
      <c r="F788" s="41" t="s">
        <v>743</v>
      </c>
      <c r="G788" s="39" t="s">
        <v>25</v>
      </c>
      <c r="H788" s="42">
        <v>45978</v>
      </c>
      <c r="I788" s="42"/>
      <c r="J788" s="43" t="s">
        <v>180</v>
      </c>
      <c r="K788" s="19">
        <v>-35</v>
      </c>
      <c r="L788" s="19">
        <f t="shared" si="95"/>
        <v>489.05999999999915</v>
      </c>
      <c r="M788" s="38"/>
      <c r="N788" s="44" t="str">
        <f t="shared" si="75"/>
        <v>MCSGAST2CPF - Desp. Lazer e Entretenimento - Cigarro</v>
      </c>
      <c r="O788" s="44" t="str">
        <f t="shared" si="76"/>
        <v>GAST2CPF - Desp. Lazer e Entretenimento - Cigarro</v>
      </c>
      <c r="P788" s="44" t="str">
        <f t="shared" si="77"/>
        <v>MCSGAST2CPF - Desp. Lazer e Entretenimento - Cigarro</v>
      </c>
      <c r="Q788" s="44" t="str">
        <f t="shared" si="78"/>
        <v>MCSGAST2</v>
      </c>
      <c r="R788" s="44" t="str">
        <f t="shared" si="79"/>
        <v>MCSGAST2</v>
      </c>
      <c r="S788" s="38"/>
      <c r="T788" s="45">
        <f t="shared" si="80"/>
        <v>45962</v>
      </c>
      <c r="U788" s="24" t="str">
        <f t="shared" si="67"/>
        <v/>
      </c>
    </row>
    <row r="789" spans="2:21" s="46" customFormat="1" x14ac:dyDescent="0.25">
      <c r="B789" s="37" t="s">
        <v>25</v>
      </c>
      <c r="C789" s="38"/>
      <c r="D789" s="86" t="str">
        <f>INDEX(Cad_Natureza!$B$3:$C$52,MATCH('2025'!F789,Cad_Natureza!$C$3:$C$52,0),MATCH('2025'!D$2,Cad_Natureza!$B$3:$C$3,0))</f>
        <v>GAST1</v>
      </c>
      <c r="E789" s="84" t="s">
        <v>972</v>
      </c>
      <c r="F789" s="85" t="s">
        <v>742</v>
      </c>
      <c r="G789" s="39" t="s">
        <v>25</v>
      </c>
      <c r="H789" s="42">
        <v>45978</v>
      </c>
      <c r="I789" s="42"/>
      <c r="J789" s="79" t="s">
        <v>821</v>
      </c>
      <c r="K789" s="19">
        <v>-6</v>
      </c>
      <c r="L789" s="19">
        <f t="shared" si="95"/>
        <v>483.05999999999915</v>
      </c>
      <c r="M789" s="38"/>
      <c r="N789" s="44" t="str">
        <f t="shared" si="75"/>
        <v>MCSGAST1CPF - Desp. Lazer e Entretenimento - Bares</v>
      </c>
      <c r="O789" s="44" t="str">
        <f t="shared" si="76"/>
        <v>GAST1CPF - Desp. Lazer e Entretenimento - Bares</v>
      </c>
      <c r="P789" s="44" t="str">
        <f t="shared" si="77"/>
        <v>MCSGAST1CPF - Desp. Lazer e Entretenimento - Bares</v>
      </c>
      <c r="Q789" s="44" t="str">
        <f t="shared" si="78"/>
        <v>MCSGAST1</v>
      </c>
      <c r="R789" s="44" t="str">
        <f t="shared" si="79"/>
        <v>MCSGAST1</v>
      </c>
      <c r="S789" s="38"/>
      <c r="T789" s="45">
        <f t="shared" si="80"/>
        <v>45962</v>
      </c>
      <c r="U789" s="24" t="str">
        <f t="shared" si="67"/>
        <v/>
      </c>
    </row>
    <row r="790" spans="2:21" s="46" customFormat="1" x14ac:dyDescent="0.25">
      <c r="B790" s="37" t="s">
        <v>25</v>
      </c>
      <c r="C790" s="38"/>
      <c r="D790" s="39" t="str">
        <f>INDEX(Cad_Natureza!$B$3:$C$52,MATCH('2025'!F790,Cad_Natureza!$C$3:$C$52,0),MATCH('2025'!D$2,Cad_Natureza!$B$3:$C$3,0))</f>
        <v>GAST1</v>
      </c>
      <c r="E790" s="40" t="s">
        <v>973</v>
      </c>
      <c r="F790" s="85" t="s">
        <v>742</v>
      </c>
      <c r="G790" s="39" t="s">
        <v>25</v>
      </c>
      <c r="H790" s="42">
        <v>45978</v>
      </c>
      <c r="I790" s="42"/>
      <c r="J790" s="79" t="s">
        <v>185</v>
      </c>
      <c r="K790" s="19">
        <v>-6</v>
      </c>
      <c r="L790" s="19">
        <f t="shared" si="95"/>
        <v>477.05999999999915</v>
      </c>
      <c r="M790" s="38"/>
      <c r="N790" s="44" t="str">
        <f t="shared" si="75"/>
        <v>MCSGAST1CPF - Desp. Lazer e Entretenimento - Bares</v>
      </c>
      <c r="O790" s="44" t="str">
        <f t="shared" si="76"/>
        <v>GAST1CPF - Desp. Lazer e Entretenimento - Bares</v>
      </c>
      <c r="P790" s="44" t="str">
        <f t="shared" si="77"/>
        <v>MCSGAST1CPF - Desp. Lazer e Entretenimento - Bares</v>
      </c>
      <c r="Q790" s="44" t="str">
        <f t="shared" si="78"/>
        <v>MCSGAST1</v>
      </c>
      <c r="R790" s="44" t="str">
        <f t="shared" si="79"/>
        <v>MCSGAST1</v>
      </c>
      <c r="S790" s="38"/>
      <c r="T790" s="45">
        <f t="shared" si="80"/>
        <v>45962</v>
      </c>
      <c r="U790" s="24" t="str">
        <f t="shared" si="67"/>
        <v/>
      </c>
    </row>
    <row r="791" spans="2:21" s="46" customFormat="1" x14ac:dyDescent="0.25">
      <c r="B791" s="37" t="s">
        <v>25</v>
      </c>
      <c r="C791" s="38"/>
      <c r="D791" s="39" t="str">
        <f>INDEX(Cad_Natureza!$B$3:$C$52,MATCH('2025'!F791,Cad_Natureza!$C$3:$C$52,0),MATCH('2025'!D$2,Cad_Natureza!$B$3:$C$3,0))</f>
        <v>OPF1</v>
      </c>
      <c r="E791" s="40" t="s">
        <v>974</v>
      </c>
      <c r="F791" s="41" t="s">
        <v>744</v>
      </c>
      <c r="G791" s="39" t="s">
        <v>25</v>
      </c>
      <c r="H791" s="42">
        <v>45978</v>
      </c>
      <c r="I791" s="42"/>
      <c r="J791" s="79" t="s">
        <v>182</v>
      </c>
      <c r="K791" s="19">
        <v>-20</v>
      </c>
      <c r="L791" s="19">
        <f t="shared" si="95"/>
        <v>457.05999999999915</v>
      </c>
      <c r="M791" s="38"/>
      <c r="N791" s="44" t="str">
        <f t="shared" si="75"/>
        <v>MCSOPF1CPF - Desp. Alimentação / Refeição</v>
      </c>
      <c r="O791" s="44" t="str">
        <f t="shared" si="76"/>
        <v>OPF1CPF - Desp. Alimentação / Refeição</v>
      </c>
      <c r="P791" s="44" t="str">
        <f t="shared" si="77"/>
        <v>MCSOPF1CPF - Desp. Alimentação / Refeição</v>
      </c>
      <c r="Q791" s="44" t="str">
        <f t="shared" si="78"/>
        <v>MCSOPF1</v>
      </c>
      <c r="R791" s="44" t="str">
        <f t="shared" si="79"/>
        <v>MCSOPF1</v>
      </c>
      <c r="S791" s="38"/>
      <c r="T791" s="45">
        <f t="shared" si="80"/>
        <v>45962</v>
      </c>
      <c r="U791" s="24" t="str">
        <f t="shared" si="67"/>
        <v/>
      </c>
    </row>
    <row r="792" spans="2:21" s="46" customFormat="1" x14ac:dyDescent="0.25">
      <c r="B792" s="37" t="s">
        <v>25</v>
      </c>
      <c r="C792" s="38"/>
      <c r="D792" s="39" t="str">
        <f>INDEX(Cad_Natureza!$B$3:$C$52,MATCH('2025'!F792,Cad_Natureza!$C$3:$C$52,0),MATCH('2025'!D$2,Cad_Natureza!$B$3:$C$3,0))</f>
        <v>OPF2</v>
      </c>
      <c r="E792" s="40" t="s">
        <v>975</v>
      </c>
      <c r="F792" s="85" t="s">
        <v>741</v>
      </c>
      <c r="G792" s="39" t="s">
        <v>25</v>
      </c>
      <c r="H792" s="42">
        <v>45979</v>
      </c>
      <c r="I792" s="42"/>
      <c r="J792" s="79" t="s">
        <v>674</v>
      </c>
      <c r="K792" s="19">
        <v>-50</v>
      </c>
      <c r="L792" s="19">
        <f t="shared" si="95"/>
        <v>407.05999999999915</v>
      </c>
      <c r="M792" s="38"/>
      <c r="N792" s="44" t="str">
        <f t="shared" si="75"/>
        <v>MCSOPF2CPF - Desp. Transporte / Combustível</v>
      </c>
      <c r="O792" s="44" t="str">
        <f t="shared" si="76"/>
        <v>OPF2CPF - Desp. Transporte / Combustível</v>
      </c>
      <c r="P792" s="44" t="str">
        <f t="shared" si="77"/>
        <v>MCSOPF2CPF - Desp. Transporte / Combustível</v>
      </c>
      <c r="Q792" s="44" t="str">
        <f t="shared" si="78"/>
        <v>MCSOPF2</v>
      </c>
      <c r="R792" s="44" t="str">
        <f t="shared" si="79"/>
        <v>MCSOPF2</v>
      </c>
      <c r="S792" s="38"/>
      <c r="T792" s="45">
        <f t="shared" si="80"/>
        <v>45962</v>
      </c>
      <c r="U792" s="24" t="str">
        <f t="shared" si="67"/>
        <v/>
      </c>
    </row>
    <row r="793" spans="2:21" s="46" customFormat="1" x14ac:dyDescent="0.25">
      <c r="B793" s="37" t="s">
        <v>25</v>
      </c>
      <c r="C793" s="38"/>
      <c r="D793" s="39" t="str">
        <f>INDEX(Cad_Natureza!$B$3:$C$52,MATCH('2025'!F793,Cad_Natureza!$C$3:$C$52,0),MATCH('2025'!D$2,Cad_Natureza!$B$3:$C$3,0))</f>
        <v>OPF1</v>
      </c>
      <c r="E793" s="40" t="s">
        <v>976</v>
      </c>
      <c r="F793" s="41" t="s">
        <v>744</v>
      </c>
      <c r="G793" s="39" t="s">
        <v>25</v>
      </c>
      <c r="H793" s="42">
        <v>45979</v>
      </c>
      <c r="I793" s="42"/>
      <c r="J793" s="79" t="s">
        <v>182</v>
      </c>
      <c r="K793" s="19">
        <v>-20</v>
      </c>
      <c r="L793" s="19">
        <f t="shared" si="95"/>
        <v>387.05999999999915</v>
      </c>
      <c r="M793" s="38"/>
      <c r="N793" s="44" t="str">
        <f t="shared" si="75"/>
        <v>MCSOPF1CPF - Desp. Alimentação / Refeição</v>
      </c>
      <c r="O793" s="44" t="str">
        <f t="shared" si="76"/>
        <v>OPF1CPF - Desp. Alimentação / Refeição</v>
      </c>
      <c r="P793" s="44" t="str">
        <f t="shared" si="77"/>
        <v>MCSOPF1CPF - Desp. Alimentação / Refeição</v>
      </c>
      <c r="Q793" s="44" t="str">
        <f t="shared" si="78"/>
        <v>MCSOPF1</v>
      </c>
      <c r="R793" s="44" t="str">
        <f t="shared" si="79"/>
        <v>MCSOPF1</v>
      </c>
      <c r="S793" s="38"/>
      <c r="T793" s="45">
        <f t="shared" si="80"/>
        <v>45962</v>
      </c>
      <c r="U793" s="24" t="str">
        <f t="shared" si="67"/>
        <v/>
      </c>
    </row>
    <row r="794" spans="2:21" s="46" customFormat="1" x14ac:dyDescent="0.25">
      <c r="B794" s="37" t="s">
        <v>25</v>
      </c>
      <c r="C794" s="38"/>
      <c r="D794" s="39" t="str">
        <f>INDEX(Cad_Natureza!$B$3:$C$52,MATCH('2025'!F794,Cad_Natureza!$C$3:$C$52,0),MATCH('2025'!D$2,Cad_Natureza!$B$3:$C$3,0))</f>
        <v>OPF1</v>
      </c>
      <c r="E794" s="40" t="s">
        <v>977</v>
      </c>
      <c r="F794" s="41" t="s">
        <v>744</v>
      </c>
      <c r="G794" s="39" t="s">
        <v>25</v>
      </c>
      <c r="H794" s="42">
        <v>45980</v>
      </c>
      <c r="I794" s="42"/>
      <c r="J794" s="79" t="s">
        <v>182</v>
      </c>
      <c r="K794" s="19">
        <v>-20</v>
      </c>
      <c r="L794" s="19">
        <f t="shared" si="95"/>
        <v>367.05999999999915</v>
      </c>
      <c r="M794" s="38"/>
      <c r="N794" s="44" t="str">
        <f t="shared" si="75"/>
        <v>MCSOPF1CPF - Desp. Alimentação / Refeição</v>
      </c>
      <c r="O794" s="44" t="str">
        <f t="shared" si="76"/>
        <v>OPF1CPF - Desp. Alimentação / Refeição</v>
      </c>
      <c r="P794" s="44" t="str">
        <f t="shared" si="77"/>
        <v>MCSOPF1CPF - Desp. Alimentação / Refeição</v>
      </c>
      <c r="Q794" s="44" t="str">
        <f t="shared" si="78"/>
        <v>MCSOPF1</v>
      </c>
      <c r="R794" s="44" t="str">
        <f t="shared" si="79"/>
        <v>MCSOPF1</v>
      </c>
      <c r="S794" s="38"/>
      <c r="T794" s="45">
        <f t="shared" si="80"/>
        <v>45962</v>
      </c>
      <c r="U794" s="24" t="str">
        <f t="shared" si="67"/>
        <v/>
      </c>
    </row>
    <row r="795" spans="2:21" s="46" customFormat="1" x14ac:dyDescent="0.25">
      <c r="B795" s="37" t="s">
        <v>25</v>
      </c>
      <c r="C795" s="38"/>
      <c r="D795" s="39" t="str">
        <f>INDEX(Cad_Natureza!$B$3:$C$52,MATCH('2025'!F795,Cad_Natureza!$C$3:$C$52,0),MATCH('2025'!D$2,Cad_Natureza!$B$3:$C$3,0))</f>
        <v>OPF2</v>
      </c>
      <c r="E795" s="40" t="s">
        <v>978</v>
      </c>
      <c r="F795" s="85" t="s">
        <v>741</v>
      </c>
      <c r="G795" s="39" t="s">
        <v>25</v>
      </c>
      <c r="H795" s="42">
        <v>45980</v>
      </c>
      <c r="I795" s="42"/>
      <c r="J795" s="79" t="s">
        <v>674</v>
      </c>
      <c r="K795" s="19">
        <v>-50</v>
      </c>
      <c r="L795" s="19">
        <f t="shared" si="95"/>
        <v>317.05999999999915</v>
      </c>
      <c r="M795" s="38"/>
      <c r="N795" s="44" t="str">
        <f t="shared" si="75"/>
        <v>MCSOPF2CPF - Desp. Transporte / Combustível</v>
      </c>
      <c r="O795" s="44" t="str">
        <f t="shared" si="76"/>
        <v>OPF2CPF - Desp. Transporte / Combustível</v>
      </c>
      <c r="P795" s="44" t="str">
        <f t="shared" si="77"/>
        <v>MCSOPF2CPF - Desp. Transporte / Combustível</v>
      </c>
      <c r="Q795" s="44" t="str">
        <f t="shared" si="78"/>
        <v>MCSOPF2</v>
      </c>
      <c r="R795" s="44" t="str">
        <f t="shared" si="79"/>
        <v>MCSOPF2</v>
      </c>
      <c r="S795" s="38"/>
      <c r="T795" s="45">
        <f t="shared" si="80"/>
        <v>45962</v>
      </c>
      <c r="U795" s="24" t="str">
        <f t="shared" si="67"/>
        <v/>
      </c>
    </row>
    <row r="796" spans="2:21" s="46" customFormat="1" x14ac:dyDescent="0.25">
      <c r="B796" s="37" t="s">
        <v>25</v>
      </c>
      <c r="C796" s="38"/>
      <c r="D796" s="39" t="str">
        <f>INDEX(Cad_Natureza!$B$3:$C$52,MATCH('2025'!F796,Cad_Natureza!$C$3:$C$52,0),MATCH('2025'!D$2,Cad_Natureza!$B$3:$C$3,0))</f>
        <v>GAST1</v>
      </c>
      <c r="E796" s="40" t="s">
        <v>979</v>
      </c>
      <c r="F796" s="85" t="s">
        <v>742</v>
      </c>
      <c r="G796" s="39" t="s">
        <v>25</v>
      </c>
      <c r="H796" s="42">
        <v>45980</v>
      </c>
      <c r="I796" s="42"/>
      <c r="J796" s="79" t="s">
        <v>185</v>
      </c>
      <c r="K796" s="19">
        <v>-10</v>
      </c>
      <c r="L796" s="19">
        <f t="shared" si="95"/>
        <v>307.05999999999915</v>
      </c>
      <c r="M796" s="38"/>
      <c r="N796" s="44" t="str">
        <f t="shared" si="75"/>
        <v>MCSGAST1CPF - Desp. Lazer e Entretenimento - Bares</v>
      </c>
      <c r="O796" s="44" t="str">
        <f t="shared" si="76"/>
        <v>GAST1CPF - Desp. Lazer e Entretenimento - Bares</v>
      </c>
      <c r="P796" s="44" t="str">
        <f t="shared" si="77"/>
        <v>MCSGAST1CPF - Desp. Lazer e Entretenimento - Bares</v>
      </c>
      <c r="Q796" s="44" t="str">
        <f t="shared" si="78"/>
        <v>MCSGAST1</v>
      </c>
      <c r="R796" s="44" t="str">
        <f t="shared" si="79"/>
        <v>MCSGAST1</v>
      </c>
      <c r="S796" s="38"/>
      <c r="T796" s="45">
        <f t="shared" si="80"/>
        <v>45962</v>
      </c>
      <c r="U796" s="24" t="str">
        <f t="shared" si="67"/>
        <v/>
      </c>
    </row>
    <row r="797" spans="2:21" s="46" customFormat="1" x14ac:dyDescent="0.25">
      <c r="B797" s="37" t="s">
        <v>25</v>
      </c>
      <c r="C797" s="38"/>
      <c r="D797" s="39" t="str">
        <f>INDEX(Cad_Natureza!$B$3:$C$52,MATCH('2025'!F797,Cad_Natureza!$C$3:$C$52,0),MATCH('2025'!D$2,Cad_Natureza!$B$3:$C$3,0))</f>
        <v>GAST1</v>
      </c>
      <c r="E797" s="40" t="s">
        <v>980</v>
      </c>
      <c r="F797" s="85" t="s">
        <v>742</v>
      </c>
      <c r="G797" s="39" t="s">
        <v>25</v>
      </c>
      <c r="H797" s="42">
        <v>45980</v>
      </c>
      <c r="I797" s="42"/>
      <c r="J797" s="79" t="s">
        <v>185</v>
      </c>
      <c r="K797" s="19">
        <v>-7</v>
      </c>
      <c r="L797" s="19">
        <f t="shared" si="95"/>
        <v>300.05999999999915</v>
      </c>
      <c r="M797" s="38"/>
      <c r="N797" s="44" t="str">
        <f t="shared" si="75"/>
        <v>MCSGAST1CPF - Desp. Lazer e Entretenimento - Bares</v>
      </c>
      <c r="O797" s="44" t="str">
        <f t="shared" si="76"/>
        <v>GAST1CPF - Desp. Lazer e Entretenimento - Bares</v>
      </c>
      <c r="P797" s="44" t="str">
        <f t="shared" si="77"/>
        <v>MCSGAST1CPF - Desp. Lazer e Entretenimento - Bares</v>
      </c>
      <c r="Q797" s="44" t="str">
        <f t="shared" si="78"/>
        <v>MCSGAST1</v>
      </c>
      <c r="R797" s="44" t="str">
        <f t="shared" si="79"/>
        <v>MCSGAST1</v>
      </c>
      <c r="S797" s="38"/>
      <c r="T797" s="45">
        <f t="shared" si="80"/>
        <v>45962</v>
      </c>
      <c r="U797" s="24" t="str">
        <f t="shared" si="67"/>
        <v/>
      </c>
    </row>
    <row r="798" spans="2:21" s="46" customFormat="1" x14ac:dyDescent="0.25">
      <c r="B798" s="37" t="s">
        <v>25</v>
      </c>
      <c r="C798" s="38"/>
      <c r="D798" s="39" t="str">
        <f>INDEX(Cad_Natureza!$B$3:$C$52,MATCH('2025'!F798,Cad_Natureza!$C$3:$C$52,0),MATCH('2025'!D$2,Cad_Natureza!$B$3:$C$3,0))</f>
        <v>GAST1</v>
      </c>
      <c r="E798" s="40" t="s">
        <v>981</v>
      </c>
      <c r="F798" s="85" t="s">
        <v>742</v>
      </c>
      <c r="G798" s="39" t="s">
        <v>25</v>
      </c>
      <c r="H798" s="42">
        <v>45982</v>
      </c>
      <c r="I798" s="42"/>
      <c r="J798" s="79" t="s">
        <v>185</v>
      </c>
      <c r="K798" s="19">
        <v>-20</v>
      </c>
      <c r="L798" s="19">
        <f t="shared" si="95"/>
        <v>280.05999999999915</v>
      </c>
      <c r="M798" s="38"/>
      <c r="N798" s="44" t="str">
        <f t="shared" si="75"/>
        <v>MCSGAST1CPF - Desp. Lazer e Entretenimento - Bares</v>
      </c>
      <c r="O798" s="44" t="str">
        <f t="shared" si="76"/>
        <v>GAST1CPF - Desp. Lazer e Entretenimento - Bares</v>
      </c>
      <c r="P798" s="44" t="str">
        <f t="shared" si="77"/>
        <v>MCSGAST1CPF - Desp. Lazer e Entretenimento - Bares</v>
      </c>
      <c r="Q798" s="44" t="str">
        <f t="shared" si="78"/>
        <v>MCSGAST1</v>
      </c>
      <c r="R798" s="44" t="str">
        <f t="shared" si="79"/>
        <v>MCSGAST1</v>
      </c>
      <c r="S798" s="38"/>
      <c r="T798" s="45">
        <f t="shared" si="80"/>
        <v>45962</v>
      </c>
      <c r="U798" s="24" t="str">
        <f t="shared" si="67"/>
        <v/>
      </c>
    </row>
    <row r="799" spans="2:21" s="46" customFormat="1" x14ac:dyDescent="0.25">
      <c r="B799" s="37" t="s">
        <v>25</v>
      </c>
      <c r="C799" s="38"/>
      <c r="D799" s="39" t="str">
        <f>INDEX(Cad_Natureza!$B$3:$C$52,MATCH('2025'!F799,Cad_Natureza!$C$3:$C$52,0),MATCH('2025'!D$2,Cad_Natureza!$B$3:$C$3,0))</f>
        <v>GAST1</v>
      </c>
      <c r="E799" s="40" t="s">
        <v>982</v>
      </c>
      <c r="F799" s="85" t="s">
        <v>742</v>
      </c>
      <c r="G799" s="39" t="s">
        <v>25</v>
      </c>
      <c r="H799" s="42">
        <v>45982</v>
      </c>
      <c r="I799" s="42"/>
      <c r="J799" s="79" t="s">
        <v>185</v>
      </c>
      <c r="K799" s="19">
        <v>-27</v>
      </c>
      <c r="L799" s="19">
        <f t="shared" si="95"/>
        <v>253.05999999999915</v>
      </c>
      <c r="M799" s="38"/>
      <c r="N799" s="44" t="str">
        <f t="shared" si="75"/>
        <v>MCSGAST1CPF - Desp. Lazer e Entretenimento - Bares</v>
      </c>
      <c r="O799" s="44" t="str">
        <f t="shared" si="76"/>
        <v>GAST1CPF - Desp. Lazer e Entretenimento - Bares</v>
      </c>
      <c r="P799" s="44" t="str">
        <f t="shared" si="77"/>
        <v>MCSGAST1CPF - Desp. Lazer e Entretenimento - Bares</v>
      </c>
      <c r="Q799" s="44" t="str">
        <f t="shared" si="78"/>
        <v>MCSGAST1</v>
      </c>
      <c r="R799" s="44" t="str">
        <f t="shared" si="79"/>
        <v>MCSGAST1</v>
      </c>
      <c r="S799" s="38"/>
      <c r="T799" s="45">
        <f t="shared" si="80"/>
        <v>45962</v>
      </c>
      <c r="U799" s="24" t="str">
        <f t="shared" si="67"/>
        <v/>
      </c>
    </row>
    <row r="800" spans="2:21" s="46" customFormat="1" x14ac:dyDescent="0.25">
      <c r="B800" s="37" t="s">
        <v>25</v>
      </c>
      <c r="C800" s="38"/>
      <c r="D800" s="39" t="str">
        <f>INDEX(Cad_Natureza!$B$3:$C$52,MATCH('2025'!F800,Cad_Natureza!$C$3:$C$52,0),MATCH('2025'!D$2,Cad_Natureza!$B$3:$C$3,0))</f>
        <v>GAST1</v>
      </c>
      <c r="E800" s="40" t="s">
        <v>983</v>
      </c>
      <c r="F800" s="85" t="s">
        <v>742</v>
      </c>
      <c r="G800" s="39" t="s">
        <v>25</v>
      </c>
      <c r="H800" s="42">
        <v>45982</v>
      </c>
      <c r="I800" s="42"/>
      <c r="J800" s="79" t="s">
        <v>185</v>
      </c>
      <c r="K800" s="19">
        <v>-21.45</v>
      </c>
      <c r="L800" s="19">
        <f t="shared" si="95"/>
        <v>231.60999999999916</v>
      </c>
      <c r="M800" s="38"/>
      <c r="N800" s="44" t="str">
        <f t="shared" si="75"/>
        <v>MCSGAST1CPF - Desp. Lazer e Entretenimento - Bares</v>
      </c>
      <c r="O800" s="44" t="str">
        <f t="shared" si="76"/>
        <v>GAST1CPF - Desp. Lazer e Entretenimento - Bares</v>
      </c>
      <c r="P800" s="44" t="str">
        <f t="shared" si="77"/>
        <v>MCSGAST1CPF - Desp. Lazer e Entretenimento - Bares</v>
      </c>
      <c r="Q800" s="44" t="str">
        <f t="shared" si="78"/>
        <v>MCSGAST1</v>
      </c>
      <c r="R800" s="44" t="str">
        <f t="shared" si="79"/>
        <v>MCSGAST1</v>
      </c>
      <c r="S800" s="38"/>
      <c r="T800" s="45">
        <f t="shared" si="80"/>
        <v>45962</v>
      </c>
      <c r="U800" s="24" t="str">
        <f t="shared" si="67"/>
        <v/>
      </c>
    </row>
    <row r="801" spans="2:21" s="46" customFormat="1" x14ac:dyDescent="0.25">
      <c r="B801" s="37" t="s">
        <v>25</v>
      </c>
      <c r="C801" s="38"/>
      <c r="D801" s="39" t="str">
        <f>INDEX(Cad_Natureza!$B$3:$C$52,MATCH('2025'!F801,Cad_Natureza!$C$3:$C$52,0),MATCH('2025'!D$2,Cad_Natureza!$B$3:$C$3,0))</f>
        <v>GAST2</v>
      </c>
      <c r="E801" s="40" t="s">
        <v>984</v>
      </c>
      <c r="F801" s="41" t="s">
        <v>743</v>
      </c>
      <c r="G801" s="39" t="s">
        <v>25</v>
      </c>
      <c r="H801" s="42">
        <v>45982</v>
      </c>
      <c r="I801" s="42"/>
      <c r="J801" s="43" t="s">
        <v>180</v>
      </c>
      <c r="K801" s="19">
        <v>-12</v>
      </c>
      <c r="L801" s="19">
        <f t="shared" si="95"/>
        <v>219.60999999999916</v>
      </c>
      <c r="M801" s="38"/>
      <c r="N801" s="44" t="str">
        <f t="shared" si="75"/>
        <v>MCSGAST2CPF - Desp. Lazer e Entretenimento - Cigarro</v>
      </c>
      <c r="O801" s="44" t="str">
        <f t="shared" si="76"/>
        <v>GAST2CPF - Desp. Lazer e Entretenimento - Cigarro</v>
      </c>
      <c r="P801" s="44" t="str">
        <f t="shared" si="77"/>
        <v>MCSGAST2CPF - Desp. Lazer e Entretenimento - Cigarro</v>
      </c>
      <c r="Q801" s="44" t="str">
        <f t="shared" si="78"/>
        <v>MCSGAST2</v>
      </c>
      <c r="R801" s="44" t="str">
        <f t="shared" si="79"/>
        <v>MCSGAST2</v>
      </c>
      <c r="S801" s="38"/>
      <c r="T801" s="45">
        <f t="shared" si="80"/>
        <v>45962</v>
      </c>
      <c r="U801" s="24" t="str">
        <f t="shared" si="67"/>
        <v/>
      </c>
    </row>
    <row r="802" spans="2:21" s="46" customFormat="1" x14ac:dyDescent="0.25">
      <c r="B802" s="37" t="s">
        <v>25</v>
      </c>
      <c r="C802" s="38"/>
      <c r="D802" s="39" t="str">
        <f>INDEX(Cad_Natureza!$B$3:$C$52,MATCH('2025'!F802,Cad_Natureza!$C$3:$C$52,0),MATCH('2025'!D$2,Cad_Natureza!$B$3:$C$3,0))</f>
        <v>OPF2</v>
      </c>
      <c r="E802" s="40" t="s">
        <v>985</v>
      </c>
      <c r="F802" s="85" t="s">
        <v>741</v>
      </c>
      <c r="G802" s="39" t="s">
        <v>25</v>
      </c>
      <c r="H802" s="42">
        <v>45982</v>
      </c>
      <c r="I802" s="42"/>
      <c r="J802" s="79" t="s">
        <v>674</v>
      </c>
      <c r="K802" s="19">
        <v>-50</v>
      </c>
      <c r="L802" s="19">
        <f t="shared" si="95"/>
        <v>169.60999999999916</v>
      </c>
      <c r="M802" s="38"/>
      <c r="N802" s="44" t="str">
        <f t="shared" si="75"/>
        <v>MCSOPF2CPF - Desp. Transporte / Combustível</v>
      </c>
      <c r="O802" s="44" t="str">
        <f t="shared" si="76"/>
        <v>OPF2CPF - Desp. Transporte / Combustível</v>
      </c>
      <c r="P802" s="44" t="str">
        <f t="shared" si="77"/>
        <v>MCSOPF2CPF - Desp. Transporte / Combustível</v>
      </c>
      <c r="Q802" s="44" t="str">
        <f t="shared" si="78"/>
        <v>MCSOPF2</v>
      </c>
      <c r="R802" s="44" t="str">
        <f t="shared" si="79"/>
        <v>MCSOPF2</v>
      </c>
      <c r="S802" s="38"/>
      <c r="T802" s="45">
        <f t="shared" si="80"/>
        <v>45962</v>
      </c>
      <c r="U802" s="24" t="str">
        <f t="shared" si="67"/>
        <v/>
      </c>
    </row>
    <row r="803" spans="2:21" s="46" customFormat="1" x14ac:dyDescent="0.25">
      <c r="B803" s="37" t="s">
        <v>25</v>
      </c>
      <c r="C803" s="38"/>
      <c r="D803" s="39" t="str">
        <f>INDEX(Cad_Natureza!$B$3:$C$52,MATCH('2025'!F803,Cad_Natureza!$C$3:$C$52,0),MATCH('2025'!D$2,Cad_Natureza!$B$3:$C$3,0))</f>
        <v>GAST1</v>
      </c>
      <c r="E803" s="40" t="s">
        <v>986</v>
      </c>
      <c r="F803" s="85" t="s">
        <v>742</v>
      </c>
      <c r="G803" s="39" t="s">
        <v>25</v>
      </c>
      <c r="H803" s="42">
        <v>45982</v>
      </c>
      <c r="I803" s="42"/>
      <c r="J803" s="79" t="s">
        <v>185</v>
      </c>
      <c r="K803" s="19">
        <v>-36</v>
      </c>
      <c r="L803" s="19">
        <f t="shared" si="95"/>
        <v>133.60999999999916</v>
      </c>
      <c r="M803" s="38"/>
      <c r="N803" s="44" t="str">
        <f t="shared" si="75"/>
        <v>MCSGAST1CPF - Desp. Lazer e Entretenimento - Bares</v>
      </c>
      <c r="O803" s="44" t="str">
        <f t="shared" si="76"/>
        <v>GAST1CPF - Desp. Lazer e Entretenimento - Bares</v>
      </c>
      <c r="P803" s="44" t="str">
        <f t="shared" si="77"/>
        <v>MCSGAST1CPF - Desp. Lazer e Entretenimento - Bares</v>
      </c>
      <c r="Q803" s="44" t="str">
        <f t="shared" si="78"/>
        <v>MCSGAST1</v>
      </c>
      <c r="R803" s="44" t="str">
        <f t="shared" si="79"/>
        <v>MCSGAST1</v>
      </c>
      <c r="S803" s="38"/>
      <c r="T803" s="45">
        <f t="shared" si="80"/>
        <v>45962</v>
      </c>
      <c r="U803" s="24" t="str">
        <f t="shared" si="67"/>
        <v/>
      </c>
    </row>
    <row r="804" spans="2:21" s="46" customFormat="1" x14ac:dyDescent="0.25">
      <c r="B804" s="37" t="s">
        <v>25</v>
      </c>
      <c r="C804" s="38"/>
      <c r="D804" s="39" t="str">
        <f>INDEX(Cad_Natureza!$B$3:$C$52,MATCH('2025'!F804,Cad_Natureza!$C$3:$C$52,0),MATCH('2025'!D$2,Cad_Natureza!$B$3:$C$3,0))</f>
        <v>GAST1</v>
      </c>
      <c r="E804" s="40" t="s">
        <v>987</v>
      </c>
      <c r="F804" s="85" t="s">
        <v>742</v>
      </c>
      <c r="G804" s="39" t="s">
        <v>25</v>
      </c>
      <c r="H804" s="42">
        <v>45982</v>
      </c>
      <c r="I804" s="42"/>
      <c r="J804" s="79" t="s">
        <v>185</v>
      </c>
      <c r="K804" s="19">
        <v>-12</v>
      </c>
      <c r="L804" s="19">
        <f t="shared" si="95"/>
        <v>121.60999999999916</v>
      </c>
      <c r="M804" s="38"/>
      <c r="N804" s="44" t="str">
        <f t="shared" si="75"/>
        <v>MCSGAST1CPF - Desp. Lazer e Entretenimento - Bares</v>
      </c>
      <c r="O804" s="44" t="str">
        <f t="shared" si="76"/>
        <v>GAST1CPF - Desp. Lazer e Entretenimento - Bares</v>
      </c>
      <c r="P804" s="44" t="str">
        <f t="shared" si="77"/>
        <v>MCSGAST1CPF - Desp. Lazer e Entretenimento - Bares</v>
      </c>
      <c r="Q804" s="44" t="str">
        <f t="shared" si="78"/>
        <v>MCSGAST1</v>
      </c>
      <c r="R804" s="44" t="str">
        <f t="shared" si="79"/>
        <v>MCSGAST1</v>
      </c>
      <c r="S804" s="38"/>
      <c r="T804" s="45">
        <f t="shared" si="80"/>
        <v>45962</v>
      </c>
      <c r="U804" s="24" t="str">
        <f t="shared" si="67"/>
        <v/>
      </c>
    </row>
    <row r="805" spans="2:21" s="46" customFormat="1" x14ac:dyDescent="0.25">
      <c r="B805" s="37" t="s">
        <v>25</v>
      </c>
      <c r="C805" s="38"/>
      <c r="D805" s="63" t="str">
        <f>INDEX(Cad_Natureza!$B$3:$C$52,MATCH('2025'!F805,Cad_Natureza!$C$3:$C$52,0),MATCH('2025'!D$2,Cad_Natureza!$B$3:$C$3,0))</f>
        <v>REC4</v>
      </c>
      <c r="E805" s="64" t="s">
        <v>988</v>
      </c>
      <c r="F805" s="65" t="s">
        <v>734</v>
      </c>
      <c r="G805" s="63" t="s">
        <v>25</v>
      </c>
      <c r="H805" s="66">
        <v>45982</v>
      </c>
      <c r="I805" s="66"/>
      <c r="J805" s="67" t="s">
        <v>183</v>
      </c>
      <c r="K805" s="68">
        <v>162</v>
      </c>
      <c r="L805" s="68">
        <f t="shared" si="95"/>
        <v>283.60999999999916</v>
      </c>
      <c r="M805" s="38"/>
      <c r="N805" s="44" t="str">
        <f t="shared" si="75"/>
        <v>MCSREC4CPF - Transf. Da conta PJ para a conta PF</v>
      </c>
      <c r="O805" s="44" t="str">
        <f t="shared" si="76"/>
        <v>REC4CPF - Transf. Da conta PJ para a conta PF</v>
      </c>
      <c r="P805" s="44" t="str">
        <f t="shared" si="77"/>
        <v>MCSREC4CPF - Transf. Da conta PJ para a conta PF</v>
      </c>
      <c r="Q805" s="44" t="str">
        <f t="shared" si="78"/>
        <v>MCSREC4</v>
      </c>
      <c r="R805" s="44" t="str">
        <f t="shared" si="79"/>
        <v>MCSREC4</v>
      </c>
      <c r="S805" s="38"/>
      <c r="T805" s="45">
        <f t="shared" si="80"/>
        <v>45962</v>
      </c>
      <c r="U805" s="24" t="str">
        <f t="shared" si="67"/>
        <v/>
      </c>
    </row>
    <row r="806" spans="2:21" s="46" customFormat="1" x14ac:dyDescent="0.25">
      <c r="B806" s="37" t="s">
        <v>25</v>
      </c>
      <c r="C806" s="38"/>
      <c r="D806" s="39" t="str">
        <f>INDEX(Cad_Natureza!$B$3:$C$52,MATCH('2025'!F806,Cad_Natureza!$C$3:$C$52,0),MATCH('2025'!D$2,Cad_Natureza!$B$3:$C$3,0))</f>
        <v>GAST2</v>
      </c>
      <c r="E806" s="40" t="s">
        <v>989</v>
      </c>
      <c r="F806" s="41" t="s">
        <v>743</v>
      </c>
      <c r="G806" s="39" t="s">
        <v>25</v>
      </c>
      <c r="H806" s="42">
        <v>45985</v>
      </c>
      <c r="I806" s="42"/>
      <c r="J806" s="43" t="s">
        <v>180</v>
      </c>
      <c r="K806" s="19">
        <v>-5</v>
      </c>
      <c r="L806" s="19">
        <f t="shared" si="95"/>
        <v>278.60999999999916</v>
      </c>
      <c r="M806" s="38"/>
      <c r="N806" s="44" t="str">
        <f t="shared" si="75"/>
        <v>MCSGAST2CPF - Desp. Lazer e Entretenimento - Cigarro</v>
      </c>
      <c r="O806" s="44" t="str">
        <f t="shared" si="76"/>
        <v>GAST2CPF - Desp. Lazer e Entretenimento - Cigarro</v>
      </c>
      <c r="P806" s="44" t="str">
        <f t="shared" si="77"/>
        <v>MCSGAST2CPF - Desp. Lazer e Entretenimento - Cigarro</v>
      </c>
      <c r="Q806" s="44" t="str">
        <f t="shared" si="78"/>
        <v>MCSGAST2</v>
      </c>
      <c r="R806" s="44" t="str">
        <f t="shared" si="79"/>
        <v>MCSGAST2</v>
      </c>
      <c r="S806" s="38"/>
      <c r="T806" s="45">
        <f t="shared" si="80"/>
        <v>45962</v>
      </c>
      <c r="U806" s="24" t="str">
        <f t="shared" si="67"/>
        <v/>
      </c>
    </row>
    <row r="807" spans="2:21" s="46" customFormat="1" x14ac:dyDescent="0.25">
      <c r="B807" s="37" t="s">
        <v>25</v>
      </c>
      <c r="C807" s="38"/>
      <c r="D807" s="39" t="str">
        <f>INDEX(Cad_Natureza!$B$3:$C$52,MATCH('2025'!F807,Cad_Natureza!$C$3:$C$52,0),MATCH('2025'!D$2,Cad_Natureza!$B$3:$C$3,0))</f>
        <v>GAST1</v>
      </c>
      <c r="E807" s="40" t="s">
        <v>990</v>
      </c>
      <c r="F807" s="85" t="s">
        <v>742</v>
      </c>
      <c r="G807" s="39" t="s">
        <v>25</v>
      </c>
      <c r="H807" s="42">
        <v>45985</v>
      </c>
      <c r="I807" s="42"/>
      <c r="J807" s="79" t="s">
        <v>185</v>
      </c>
      <c r="K807" s="19">
        <v>-21</v>
      </c>
      <c r="L807" s="19">
        <f t="shared" si="95"/>
        <v>257.60999999999916</v>
      </c>
      <c r="M807" s="38"/>
      <c r="N807" s="44" t="str">
        <f t="shared" si="75"/>
        <v>MCSGAST1CPF - Desp. Lazer e Entretenimento - Bares</v>
      </c>
      <c r="O807" s="44" t="str">
        <f t="shared" si="76"/>
        <v>GAST1CPF - Desp. Lazer e Entretenimento - Bares</v>
      </c>
      <c r="P807" s="44" t="str">
        <f t="shared" si="77"/>
        <v>MCSGAST1CPF - Desp. Lazer e Entretenimento - Bares</v>
      </c>
      <c r="Q807" s="44" t="str">
        <f t="shared" si="78"/>
        <v>MCSGAST1</v>
      </c>
      <c r="R807" s="44" t="str">
        <f t="shared" si="79"/>
        <v>MCSGAST1</v>
      </c>
      <c r="S807" s="38"/>
      <c r="T807" s="45">
        <f t="shared" si="80"/>
        <v>45962</v>
      </c>
      <c r="U807" s="24" t="str">
        <f t="shared" si="67"/>
        <v/>
      </c>
    </row>
    <row r="808" spans="2:21" s="46" customFormat="1" x14ac:dyDescent="0.25">
      <c r="B808" s="37" t="s">
        <v>25</v>
      </c>
      <c r="C808" s="38"/>
      <c r="D808" s="86" t="str">
        <f>INDEX(Cad_Natureza!$B$3:$C$52,MATCH('2025'!F808,Cad_Natureza!$C$3:$C$52,0),MATCH('2025'!D$2,Cad_Natureza!$B$3:$C$3,0))</f>
        <v>GAST1</v>
      </c>
      <c r="E808" s="84" t="s">
        <v>991</v>
      </c>
      <c r="F808" s="85" t="s">
        <v>742</v>
      </c>
      <c r="G808" s="39" t="s">
        <v>25</v>
      </c>
      <c r="H808" s="42">
        <v>45985</v>
      </c>
      <c r="I808" s="42"/>
      <c r="J808" s="79" t="s">
        <v>821</v>
      </c>
      <c r="K808" s="19">
        <v>-6</v>
      </c>
      <c r="L808" s="19">
        <f t="shared" si="95"/>
        <v>251.60999999999916</v>
      </c>
      <c r="M808" s="38"/>
      <c r="N808" s="44" t="str">
        <f t="shared" si="75"/>
        <v>MCSGAST1CPF - Desp. Lazer e Entretenimento - Bares</v>
      </c>
      <c r="O808" s="44" t="str">
        <f t="shared" si="76"/>
        <v>GAST1CPF - Desp. Lazer e Entretenimento - Bares</v>
      </c>
      <c r="P808" s="44" t="str">
        <f t="shared" si="77"/>
        <v>MCSGAST1CPF - Desp. Lazer e Entretenimento - Bares</v>
      </c>
      <c r="Q808" s="44" t="str">
        <f t="shared" si="78"/>
        <v>MCSGAST1</v>
      </c>
      <c r="R808" s="44" t="str">
        <f t="shared" si="79"/>
        <v>MCSGAST1</v>
      </c>
      <c r="S808" s="38"/>
      <c r="T808" s="45">
        <f t="shared" si="80"/>
        <v>45962</v>
      </c>
      <c r="U808" s="24" t="str">
        <f t="shared" si="67"/>
        <v/>
      </c>
    </row>
    <row r="809" spans="2:21" s="46" customFormat="1" x14ac:dyDescent="0.25">
      <c r="B809" s="37" t="s">
        <v>25</v>
      </c>
      <c r="C809" s="38"/>
      <c r="D809" s="63" t="str">
        <f>INDEX(Cad_Natureza!$B$3:$C$52,MATCH('2025'!F809,Cad_Natureza!$C$3:$C$52,0),MATCH('2025'!D$2,Cad_Natureza!$B$3:$C$3,0))</f>
        <v>REC7</v>
      </c>
      <c r="E809" s="64" t="s">
        <v>992</v>
      </c>
      <c r="F809" s="65" t="s">
        <v>774</v>
      </c>
      <c r="G809" s="63" t="s">
        <v>25</v>
      </c>
      <c r="H809" s="66">
        <v>45985</v>
      </c>
      <c r="I809" s="66"/>
      <c r="J809" s="81" t="s">
        <v>819</v>
      </c>
      <c r="K809" s="82">
        <v>200</v>
      </c>
      <c r="L809" s="68">
        <f t="shared" si="95"/>
        <v>451.60999999999916</v>
      </c>
      <c r="M809" s="38"/>
      <c r="N809" s="45" t="str">
        <f t="shared" si="75"/>
        <v>MCSREC7CPF - Rec. Financeiras - Empréstimos</v>
      </c>
      <c r="O809" s="24" t="str">
        <f t="shared" si="76"/>
        <v>REC7CPF - Rec. Financeiras - Empréstimos</v>
      </c>
      <c r="P809" s="14" t="str">
        <f t="shared" si="77"/>
        <v>MCSREC7CPF - Rec. Financeiras - Empréstimos</v>
      </c>
      <c r="Q809" s="46" t="str">
        <f t="shared" si="78"/>
        <v>MCSREC7</v>
      </c>
      <c r="R809" s="46" t="str">
        <f t="shared" si="79"/>
        <v>MCSREC7</v>
      </c>
      <c r="T809" s="46">
        <f t="shared" si="80"/>
        <v>45962</v>
      </c>
      <c r="U809" s="46" t="str">
        <f t="shared" si="67"/>
        <v/>
      </c>
    </row>
    <row r="810" spans="2:21" s="46" customFormat="1" x14ac:dyDescent="0.25">
      <c r="B810" s="37" t="s">
        <v>25</v>
      </c>
      <c r="C810" s="38"/>
      <c r="D810" s="39" t="str">
        <f>INDEX(Cad_Natureza!$B$3:$C$52,MATCH('2025'!F810,Cad_Natureza!$C$3:$C$52,0),MATCH('2025'!D$2,Cad_Natureza!$B$3:$C$3,0))</f>
        <v>GAST1</v>
      </c>
      <c r="E810" s="40" t="s">
        <v>993</v>
      </c>
      <c r="F810" s="85" t="s">
        <v>742</v>
      </c>
      <c r="G810" s="39" t="s">
        <v>25</v>
      </c>
      <c r="H810" s="42">
        <v>45985</v>
      </c>
      <c r="I810" s="42"/>
      <c r="J810" s="79" t="s">
        <v>561</v>
      </c>
      <c r="K810" s="19">
        <v>-45</v>
      </c>
      <c r="L810" s="19">
        <f t="shared" si="95"/>
        <v>406.60999999999916</v>
      </c>
      <c r="M810" s="38"/>
      <c r="N810" s="44" t="str">
        <f t="shared" si="75"/>
        <v>MCSGAST1CPF - Desp. Lazer e Entretenimento - Bares</v>
      </c>
      <c r="O810" s="44" t="str">
        <f t="shared" si="76"/>
        <v>GAST1CPF - Desp. Lazer e Entretenimento - Bares</v>
      </c>
      <c r="P810" s="44" t="str">
        <f t="shared" si="77"/>
        <v>MCSGAST1CPF - Desp. Lazer e Entretenimento - Bares</v>
      </c>
      <c r="Q810" s="44" t="str">
        <f t="shared" si="78"/>
        <v>MCSGAST1</v>
      </c>
      <c r="R810" s="44" t="str">
        <f t="shared" si="79"/>
        <v>MCSGAST1</v>
      </c>
      <c r="S810" s="38"/>
      <c r="T810" s="45">
        <f t="shared" si="80"/>
        <v>45962</v>
      </c>
      <c r="U810" s="24" t="str">
        <f t="shared" si="67"/>
        <v/>
      </c>
    </row>
    <row r="811" spans="2:21" s="46" customFormat="1" x14ac:dyDescent="0.25">
      <c r="B811" s="37" t="s">
        <v>25</v>
      </c>
      <c r="C811" s="38"/>
      <c r="D811" s="39" t="str">
        <f>INDEX(Cad_Natureza!$B$3:$C$52,MATCH('2025'!F811,Cad_Natureza!$C$3:$C$52,0),MATCH('2025'!D$2,Cad_Natureza!$B$3:$C$3,0))</f>
        <v>OPF1</v>
      </c>
      <c r="E811" s="40" t="s">
        <v>994</v>
      </c>
      <c r="F811" s="41" t="s">
        <v>744</v>
      </c>
      <c r="G811" s="39" t="s">
        <v>25</v>
      </c>
      <c r="H811" s="42">
        <v>45985</v>
      </c>
      <c r="I811" s="42"/>
      <c r="J811" s="79" t="s">
        <v>182</v>
      </c>
      <c r="K811" s="19">
        <v>-20</v>
      </c>
      <c r="L811" s="19">
        <f t="shared" si="95"/>
        <v>386.60999999999916</v>
      </c>
      <c r="M811" s="38"/>
      <c r="N811" s="44" t="str">
        <f t="shared" si="75"/>
        <v>MCSOPF1CPF - Desp. Alimentação / Refeição</v>
      </c>
      <c r="O811" s="44" t="str">
        <f t="shared" si="76"/>
        <v>OPF1CPF - Desp. Alimentação / Refeição</v>
      </c>
      <c r="P811" s="44" t="str">
        <f t="shared" si="77"/>
        <v>MCSOPF1CPF - Desp. Alimentação / Refeição</v>
      </c>
      <c r="Q811" s="44" t="str">
        <f t="shared" si="78"/>
        <v>MCSOPF1</v>
      </c>
      <c r="R811" s="44" t="str">
        <f t="shared" si="79"/>
        <v>MCSOPF1</v>
      </c>
      <c r="S811" s="38"/>
      <c r="T811" s="45">
        <f t="shared" si="80"/>
        <v>45962</v>
      </c>
      <c r="U811" s="24" t="str">
        <f t="shared" si="67"/>
        <v/>
      </c>
    </row>
    <row r="812" spans="2:21" s="46" customFormat="1" x14ac:dyDescent="0.25">
      <c r="B812" s="37" t="s">
        <v>25</v>
      </c>
      <c r="C812" s="38"/>
      <c r="D812" s="39" t="str">
        <f>INDEX(Cad_Natureza!$B$3:$C$52,MATCH('2025'!F812,Cad_Natureza!$C$3:$C$52,0),MATCH('2025'!D$2,Cad_Natureza!$B$3:$C$3,0))</f>
        <v>OPF2</v>
      </c>
      <c r="E812" s="40" t="s">
        <v>995</v>
      </c>
      <c r="F812" s="85" t="s">
        <v>741</v>
      </c>
      <c r="G812" s="39" t="s">
        <v>25</v>
      </c>
      <c r="H812" s="42">
        <v>45985</v>
      </c>
      <c r="I812" s="42"/>
      <c r="J812" s="79" t="s">
        <v>674</v>
      </c>
      <c r="K812" s="19">
        <v>-50</v>
      </c>
      <c r="L812" s="19">
        <f t="shared" si="95"/>
        <v>336.60999999999916</v>
      </c>
      <c r="M812" s="38"/>
      <c r="N812" s="44" t="str">
        <f t="shared" si="75"/>
        <v>MCSOPF2CPF - Desp. Transporte / Combustível</v>
      </c>
      <c r="O812" s="44" t="str">
        <f t="shared" si="76"/>
        <v>OPF2CPF - Desp. Transporte / Combustível</v>
      </c>
      <c r="P812" s="44" t="str">
        <f t="shared" si="77"/>
        <v>MCSOPF2CPF - Desp. Transporte / Combustível</v>
      </c>
      <c r="Q812" s="44" t="str">
        <f t="shared" si="78"/>
        <v>MCSOPF2</v>
      </c>
      <c r="R812" s="44" t="str">
        <f t="shared" si="79"/>
        <v>MCSOPF2</v>
      </c>
      <c r="S812" s="38"/>
      <c r="T812" s="45">
        <f t="shared" si="80"/>
        <v>45962</v>
      </c>
      <c r="U812" s="24" t="str">
        <f t="shared" si="67"/>
        <v/>
      </c>
    </row>
    <row r="813" spans="2:21" s="46" customFormat="1" x14ac:dyDescent="0.25">
      <c r="B813" s="37" t="s">
        <v>25</v>
      </c>
      <c r="C813" s="38"/>
      <c r="D813" s="39" t="str">
        <f>INDEX(Cad_Natureza!$B$3:$C$52,MATCH('2025'!F813,Cad_Natureza!$C$3:$C$52,0),MATCH('2025'!D$2,Cad_Natureza!$B$3:$C$3,0))</f>
        <v>OPF1</v>
      </c>
      <c r="E813" s="40" t="s">
        <v>996</v>
      </c>
      <c r="F813" s="41" t="s">
        <v>744</v>
      </c>
      <c r="G813" s="39" t="s">
        <v>25</v>
      </c>
      <c r="H813" s="42">
        <v>45986</v>
      </c>
      <c r="I813" s="42"/>
      <c r="J813" s="79" t="s">
        <v>182</v>
      </c>
      <c r="K813" s="19">
        <v>-20</v>
      </c>
      <c r="L813" s="19">
        <f t="shared" si="95"/>
        <v>316.60999999999916</v>
      </c>
      <c r="M813" s="38"/>
      <c r="N813" s="44" t="str">
        <f t="shared" si="75"/>
        <v>MCSOPF1CPF - Desp. Alimentação / Refeição</v>
      </c>
      <c r="O813" s="44" t="str">
        <f t="shared" si="76"/>
        <v>OPF1CPF - Desp. Alimentação / Refeição</v>
      </c>
      <c r="P813" s="44" t="str">
        <f t="shared" si="77"/>
        <v>MCSOPF1CPF - Desp. Alimentação / Refeição</v>
      </c>
      <c r="Q813" s="44" t="str">
        <f t="shared" si="78"/>
        <v>MCSOPF1</v>
      </c>
      <c r="R813" s="44" t="str">
        <f t="shared" si="79"/>
        <v>MCSOPF1</v>
      </c>
      <c r="S813" s="38"/>
      <c r="T813" s="45">
        <f t="shared" si="80"/>
        <v>45962</v>
      </c>
      <c r="U813" s="24" t="str">
        <f t="shared" si="67"/>
        <v/>
      </c>
    </row>
    <row r="814" spans="2:21" s="46" customFormat="1" x14ac:dyDescent="0.25">
      <c r="B814" s="37" t="s">
        <v>25</v>
      </c>
      <c r="C814" s="38"/>
      <c r="D814" s="39" t="str">
        <f>INDEX(Cad_Natureza!$B$3:$C$52,MATCH('2025'!F814,Cad_Natureza!$C$3:$C$52,0),MATCH('2025'!D$2,Cad_Natureza!$B$3:$C$3,0))</f>
        <v>OUG1</v>
      </c>
      <c r="E814" s="40" t="s">
        <v>997</v>
      </c>
      <c r="F814" s="41" t="s">
        <v>748</v>
      </c>
      <c r="G814" s="39" t="s">
        <v>25</v>
      </c>
      <c r="H814" s="42">
        <v>45986</v>
      </c>
      <c r="I814" s="42"/>
      <c r="J814" s="43" t="s">
        <v>1109</v>
      </c>
      <c r="K814" s="19">
        <v>-10</v>
      </c>
      <c r="L814" s="19">
        <f t="shared" si="95"/>
        <v>306.60999999999916</v>
      </c>
      <c r="M814" s="38"/>
      <c r="N814" s="44" t="str">
        <f t="shared" si="75"/>
        <v>MCSOUG1CPF - Outros gastos</v>
      </c>
      <c r="O814" s="44" t="str">
        <f t="shared" si="76"/>
        <v>OUG1CPF - Outros gastos</v>
      </c>
      <c r="P814" s="44" t="str">
        <f t="shared" si="77"/>
        <v>MCSOUG1CPF - Outros gastos</v>
      </c>
      <c r="Q814" s="44" t="str">
        <f t="shared" si="78"/>
        <v>MCSOUG1</v>
      </c>
      <c r="R814" s="44" t="str">
        <f t="shared" si="79"/>
        <v>MCSOUG1</v>
      </c>
      <c r="S814" s="38"/>
      <c r="T814" s="45">
        <f t="shared" si="80"/>
        <v>45962</v>
      </c>
      <c r="U814" s="24" t="str">
        <f t="shared" si="67"/>
        <v/>
      </c>
    </row>
    <row r="815" spans="2:21" s="46" customFormat="1" x14ac:dyDescent="0.25">
      <c r="B815" s="37" t="s">
        <v>25</v>
      </c>
      <c r="C815" s="38"/>
      <c r="D815" s="39" t="str">
        <f>INDEX(Cad_Natureza!$B$3:$C$52,MATCH('2025'!F815,Cad_Natureza!$C$3:$C$52,0),MATCH('2025'!D$2,Cad_Natureza!$B$3:$C$3,0))</f>
        <v>OPF1</v>
      </c>
      <c r="E815" s="40" t="s">
        <v>998</v>
      </c>
      <c r="F815" s="41" t="s">
        <v>744</v>
      </c>
      <c r="G815" s="39" t="s">
        <v>25</v>
      </c>
      <c r="H815" s="42">
        <v>45987</v>
      </c>
      <c r="I815" s="42"/>
      <c r="J815" s="79" t="s">
        <v>182</v>
      </c>
      <c r="K815" s="19">
        <v>-20</v>
      </c>
      <c r="L815" s="19">
        <f t="shared" si="95"/>
        <v>286.60999999999916</v>
      </c>
      <c r="M815" s="38"/>
      <c r="N815" s="44" t="str">
        <f t="shared" si="75"/>
        <v>MCSOPF1CPF - Desp. Alimentação / Refeição</v>
      </c>
      <c r="O815" s="44" t="str">
        <f t="shared" si="76"/>
        <v>OPF1CPF - Desp. Alimentação / Refeição</v>
      </c>
      <c r="P815" s="44" t="str">
        <f t="shared" si="77"/>
        <v>MCSOPF1CPF - Desp. Alimentação / Refeição</v>
      </c>
      <c r="Q815" s="44" t="str">
        <f t="shared" si="78"/>
        <v>MCSOPF1</v>
      </c>
      <c r="R815" s="44" t="str">
        <f t="shared" si="79"/>
        <v>MCSOPF1</v>
      </c>
      <c r="S815" s="38"/>
      <c r="T815" s="45">
        <f t="shared" si="80"/>
        <v>45962</v>
      </c>
      <c r="U815" s="24" t="str">
        <f t="shared" si="67"/>
        <v/>
      </c>
    </row>
    <row r="816" spans="2:21" s="46" customFormat="1" x14ac:dyDescent="0.25">
      <c r="B816" s="37" t="s">
        <v>25</v>
      </c>
      <c r="C816" s="38"/>
      <c r="D816" s="39" t="str">
        <f>INDEX(Cad_Natureza!$B$3:$C$52,MATCH('2025'!F816,Cad_Natureza!$C$3:$C$52,0),MATCH('2025'!D$2,Cad_Natureza!$B$3:$C$3,0))</f>
        <v>GAST1</v>
      </c>
      <c r="E816" s="40" t="s">
        <v>999</v>
      </c>
      <c r="F816" s="85" t="s">
        <v>742</v>
      </c>
      <c r="G816" s="39" t="s">
        <v>25</v>
      </c>
      <c r="H816" s="42">
        <v>45987</v>
      </c>
      <c r="I816" s="42"/>
      <c r="J816" s="79" t="s">
        <v>561</v>
      </c>
      <c r="K816" s="19">
        <v>-20</v>
      </c>
      <c r="L816" s="19">
        <f t="shared" si="95"/>
        <v>266.60999999999916</v>
      </c>
      <c r="M816" s="38"/>
      <c r="N816" s="44" t="str">
        <f t="shared" si="75"/>
        <v>MCSGAST1CPF - Desp. Lazer e Entretenimento - Bares</v>
      </c>
      <c r="O816" s="44" t="str">
        <f t="shared" si="76"/>
        <v>GAST1CPF - Desp. Lazer e Entretenimento - Bares</v>
      </c>
      <c r="P816" s="44" t="str">
        <f t="shared" si="77"/>
        <v>MCSGAST1CPF - Desp. Lazer e Entretenimento - Bares</v>
      </c>
      <c r="Q816" s="44" t="str">
        <f t="shared" si="78"/>
        <v>MCSGAST1</v>
      </c>
      <c r="R816" s="44" t="str">
        <f t="shared" si="79"/>
        <v>MCSGAST1</v>
      </c>
      <c r="S816" s="38"/>
      <c r="T816" s="45">
        <f t="shared" si="80"/>
        <v>45962</v>
      </c>
      <c r="U816" s="24" t="str">
        <f t="shared" si="67"/>
        <v/>
      </c>
    </row>
    <row r="817" spans="2:21" s="46" customFormat="1" x14ac:dyDescent="0.25">
      <c r="B817" s="37" t="s">
        <v>25</v>
      </c>
      <c r="C817" s="38"/>
      <c r="D817" s="39" t="str">
        <f>INDEX(Cad_Natureza!$B$3:$C$52,MATCH('2025'!F817,Cad_Natureza!$C$3:$C$52,0),MATCH('2025'!D$2,Cad_Natureza!$B$3:$C$3,0))</f>
        <v>OPF2</v>
      </c>
      <c r="E817" s="40" t="s">
        <v>1000</v>
      </c>
      <c r="F817" s="85" t="s">
        <v>741</v>
      </c>
      <c r="G817" s="39" t="s">
        <v>25</v>
      </c>
      <c r="H817" s="42">
        <v>45988</v>
      </c>
      <c r="I817" s="42"/>
      <c r="J817" s="79" t="s">
        <v>674</v>
      </c>
      <c r="K817" s="19">
        <v>-50</v>
      </c>
      <c r="L817" s="19">
        <f t="shared" si="95"/>
        <v>216.60999999999916</v>
      </c>
      <c r="M817" s="38"/>
      <c r="N817" s="44" t="str">
        <f t="shared" si="75"/>
        <v>MCSOPF2CPF - Desp. Transporte / Combustível</v>
      </c>
      <c r="O817" s="44" t="str">
        <f t="shared" si="76"/>
        <v>OPF2CPF - Desp. Transporte / Combustível</v>
      </c>
      <c r="P817" s="44" t="str">
        <f t="shared" si="77"/>
        <v>MCSOPF2CPF - Desp. Transporte / Combustível</v>
      </c>
      <c r="Q817" s="44" t="str">
        <f t="shared" si="78"/>
        <v>MCSOPF2</v>
      </c>
      <c r="R817" s="44" t="str">
        <f t="shared" si="79"/>
        <v>MCSOPF2</v>
      </c>
      <c r="S817" s="38"/>
      <c r="T817" s="45">
        <f t="shared" si="80"/>
        <v>45962</v>
      </c>
      <c r="U817" s="24" t="str">
        <f t="shared" si="67"/>
        <v/>
      </c>
    </row>
    <row r="818" spans="2:21" s="46" customFormat="1" x14ac:dyDescent="0.25">
      <c r="B818" s="37" t="s">
        <v>25</v>
      </c>
      <c r="C818" s="38"/>
      <c r="D818" s="39" t="str">
        <f>INDEX(Cad_Natureza!$B$3:$C$52,MATCH('2025'!F818,Cad_Natureza!$C$3:$C$52,0),MATCH('2025'!D$2,Cad_Natureza!$B$3:$C$3,0))</f>
        <v>OPF1</v>
      </c>
      <c r="E818" s="40" t="s">
        <v>1001</v>
      </c>
      <c r="F818" s="41" t="s">
        <v>744</v>
      </c>
      <c r="G818" s="39" t="s">
        <v>25</v>
      </c>
      <c r="H818" s="42">
        <v>45988</v>
      </c>
      <c r="I818" s="42"/>
      <c r="J818" s="79" t="s">
        <v>182</v>
      </c>
      <c r="K818" s="19">
        <v>-20</v>
      </c>
      <c r="L818" s="19">
        <f t="shared" si="95"/>
        <v>196.60999999999916</v>
      </c>
      <c r="M818" s="38"/>
      <c r="N818" s="44" t="str">
        <f t="shared" si="75"/>
        <v>MCSOPF1CPF - Desp. Alimentação / Refeição</v>
      </c>
      <c r="O818" s="44" t="str">
        <f t="shared" si="76"/>
        <v>OPF1CPF - Desp. Alimentação / Refeição</v>
      </c>
      <c r="P818" s="44" t="str">
        <f t="shared" si="77"/>
        <v>MCSOPF1CPF - Desp. Alimentação / Refeição</v>
      </c>
      <c r="Q818" s="44" t="str">
        <f t="shared" si="78"/>
        <v>MCSOPF1</v>
      </c>
      <c r="R818" s="44" t="str">
        <f t="shared" si="79"/>
        <v>MCSOPF1</v>
      </c>
      <c r="S818" s="38"/>
      <c r="T818" s="45">
        <f t="shared" si="80"/>
        <v>45962</v>
      </c>
      <c r="U818" s="24" t="str">
        <f t="shared" si="67"/>
        <v/>
      </c>
    </row>
    <row r="819" spans="2:21" s="46" customFormat="1" x14ac:dyDescent="0.25">
      <c r="B819" s="37" t="s">
        <v>25</v>
      </c>
      <c r="C819" s="38"/>
      <c r="D819" s="39" t="str">
        <f>INDEX(Cad_Natureza!$B$3:$C$52,MATCH('2025'!F819,Cad_Natureza!$C$3:$C$52,0),MATCH('2025'!D$2,Cad_Natureza!$B$3:$C$3,0))</f>
        <v>OPF1</v>
      </c>
      <c r="E819" s="40" t="s">
        <v>1002</v>
      </c>
      <c r="F819" s="41" t="s">
        <v>744</v>
      </c>
      <c r="G819" s="39" t="s">
        <v>25</v>
      </c>
      <c r="H819" s="42">
        <v>45989</v>
      </c>
      <c r="I819" s="42"/>
      <c r="J819" s="79" t="s">
        <v>182</v>
      </c>
      <c r="K819" s="19">
        <v>-23.5</v>
      </c>
      <c r="L819" s="19">
        <f t="shared" si="95"/>
        <v>173.10999999999916</v>
      </c>
      <c r="M819" s="38"/>
      <c r="N819" s="44" t="str">
        <f t="shared" si="75"/>
        <v>MCSOPF1CPF - Desp. Alimentação / Refeição</v>
      </c>
      <c r="O819" s="44" t="str">
        <f t="shared" si="76"/>
        <v>OPF1CPF - Desp. Alimentação / Refeição</v>
      </c>
      <c r="P819" s="44" t="str">
        <f t="shared" si="77"/>
        <v>MCSOPF1CPF - Desp. Alimentação / Refeição</v>
      </c>
      <c r="Q819" s="44" t="str">
        <f t="shared" si="78"/>
        <v>MCSOPF1</v>
      </c>
      <c r="R819" s="44" t="str">
        <f t="shared" si="79"/>
        <v>MCSOPF1</v>
      </c>
      <c r="S819" s="38"/>
      <c r="T819" s="45">
        <f t="shared" si="80"/>
        <v>45962</v>
      </c>
      <c r="U819" s="24" t="str">
        <f t="shared" si="67"/>
        <v/>
      </c>
    </row>
    <row r="820" spans="2:21" s="46" customFormat="1" x14ac:dyDescent="0.25">
      <c r="B820" s="37" t="s">
        <v>25</v>
      </c>
      <c r="C820" s="38"/>
      <c r="D820" s="39" t="str">
        <f>INDEX(Cad_Natureza!$B$3:$C$52,MATCH('2025'!F820,Cad_Natureza!$C$3:$C$52,0),MATCH('2025'!D$2,Cad_Natureza!$B$3:$C$3,0))</f>
        <v>OPF2</v>
      </c>
      <c r="E820" s="40" t="s">
        <v>1003</v>
      </c>
      <c r="F820" s="85" t="s">
        <v>741</v>
      </c>
      <c r="G820" s="39" t="s">
        <v>25</v>
      </c>
      <c r="H820" s="42">
        <v>45992</v>
      </c>
      <c r="I820" s="42"/>
      <c r="J820" s="79" t="s">
        <v>674</v>
      </c>
      <c r="K820" s="19">
        <v>-50</v>
      </c>
      <c r="L820" s="19">
        <f t="shared" si="95"/>
        <v>123.10999999999916</v>
      </c>
      <c r="M820" s="38"/>
      <c r="N820" s="44" t="str">
        <f t="shared" si="75"/>
        <v>MCSOPF2CPF - Desp. Transporte / Combustível</v>
      </c>
      <c r="O820" s="44" t="str">
        <f t="shared" si="76"/>
        <v>OPF2CPF - Desp. Transporte / Combustível</v>
      </c>
      <c r="P820" s="44" t="str">
        <f t="shared" si="77"/>
        <v>MCSOPF2CPF - Desp. Transporte / Combustível</v>
      </c>
      <c r="Q820" s="44" t="str">
        <f t="shared" si="78"/>
        <v>MCSOPF2</v>
      </c>
      <c r="R820" s="44" t="str">
        <f t="shared" si="79"/>
        <v>MCSOPF2</v>
      </c>
      <c r="S820" s="38"/>
      <c r="T820" s="45">
        <f t="shared" si="80"/>
        <v>45992</v>
      </c>
      <c r="U820" s="24" t="str">
        <f t="shared" si="67"/>
        <v/>
      </c>
    </row>
    <row r="821" spans="2:21" s="46" customFormat="1" x14ac:dyDescent="0.25">
      <c r="B821" s="37" t="s">
        <v>25</v>
      </c>
      <c r="C821" s="38"/>
      <c r="D821" s="39" t="str">
        <f>INDEX(Cad_Natureza!$B$3:$C$52,MATCH('2025'!F821,Cad_Natureza!$C$3:$C$52,0),MATCH('2025'!D$2,Cad_Natureza!$B$3:$C$3,0))</f>
        <v>GAST1</v>
      </c>
      <c r="E821" s="40" t="s">
        <v>1004</v>
      </c>
      <c r="F821" s="85" t="s">
        <v>742</v>
      </c>
      <c r="G821" s="39" t="s">
        <v>25</v>
      </c>
      <c r="H821" s="42">
        <v>45992</v>
      </c>
      <c r="I821" s="42"/>
      <c r="J821" s="79" t="s">
        <v>561</v>
      </c>
      <c r="K821" s="19">
        <v>-8.99</v>
      </c>
      <c r="L821" s="19">
        <f t="shared" si="95"/>
        <v>114.11999999999917</v>
      </c>
      <c r="M821" s="38"/>
      <c r="N821" s="44" t="str">
        <f t="shared" si="75"/>
        <v>MCSGAST1CPF - Desp. Lazer e Entretenimento - Bares</v>
      </c>
      <c r="O821" s="44" t="str">
        <f t="shared" si="76"/>
        <v>GAST1CPF - Desp. Lazer e Entretenimento - Bares</v>
      </c>
      <c r="P821" s="44" t="str">
        <f t="shared" si="77"/>
        <v>MCSGAST1CPF - Desp. Lazer e Entretenimento - Bares</v>
      </c>
      <c r="Q821" s="44" t="str">
        <f t="shared" si="78"/>
        <v>MCSGAST1</v>
      </c>
      <c r="R821" s="44" t="str">
        <f t="shared" si="79"/>
        <v>MCSGAST1</v>
      </c>
      <c r="S821" s="38"/>
      <c r="T821" s="45">
        <f t="shared" si="80"/>
        <v>45992</v>
      </c>
      <c r="U821" s="24" t="str">
        <f t="shared" si="67"/>
        <v/>
      </c>
    </row>
    <row r="822" spans="2:21" s="46" customFormat="1" x14ac:dyDescent="0.25">
      <c r="B822" s="37" t="s">
        <v>25</v>
      </c>
      <c r="C822" s="38"/>
      <c r="D822" s="39" t="str">
        <f>INDEX(Cad_Natureza!$B$3:$C$52,MATCH('2025'!F822,Cad_Natureza!$C$3:$C$52,0),MATCH('2025'!D$2,Cad_Natureza!$B$3:$C$3,0))</f>
        <v>GAST1</v>
      </c>
      <c r="E822" s="40" t="s">
        <v>1005</v>
      </c>
      <c r="F822" s="85" t="s">
        <v>742</v>
      </c>
      <c r="G822" s="39" t="s">
        <v>25</v>
      </c>
      <c r="H822" s="42">
        <v>45992</v>
      </c>
      <c r="I822" s="42"/>
      <c r="J822" s="79" t="s">
        <v>185</v>
      </c>
      <c r="K822" s="19">
        <v>-3.5</v>
      </c>
      <c r="L822" s="19">
        <f t="shared" si="95"/>
        <v>110.61999999999917</v>
      </c>
      <c r="M822" s="38"/>
      <c r="N822" s="44" t="str">
        <f t="shared" si="75"/>
        <v>MCSGAST1CPF - Desp. Lazer e Entretenimento - Bares</v>
      </c>
      <c r="O822" s="44" t="str">
        <f t="shared" si="76"/>
        <v>GAST1CPF - Desp. Lazer e Entretenimento - Bares</v>
      </c>
      <c r="P822" s="44" t="str">
        <f t="shared" si="77"/>
        <v>MCSGAST1CPF - Desp. Lazer e Entretenimento - Bares</v>
      </c>
      <c r="Q822" s="44" t="str">
        <f t="shared" si="78"/>
        <v>MCSGAST1</v>
      </c>
      <c r="R822" s="44" t="str">
        <f t="shared" si="79"/>
        <v>MCSGAST1</v>
      </c>
      <c r="S822" s="38"/>
      <c r="T822" s="45">
        <f t="shared" si="80"/>
        <v>45992</v>
      </c>
      <c r="U822" s="24" t="str">
        <f t="shared" si="67"/>
        <v/>
      </c>
    </row>
    <row r="823" spans="2:21" s="46" customFormat="1" x14ac:dyDescent="0.25">
      <c r="B823" s="37" t="s">
        <v>25</v>
      </c>
      <c r="C823" s="38"/>
      <c r="D823" s="39" t="str">
        <f>INDEX(Cad_Natureza!$B$3:$C$52,MATCH('2025'!F823,Cad_Natureza!$C$3:$C$52,0),MATCH('2025'!D$2,Cad_Natureza!$B$3:$C$3,0))</f>
        <v>GAST1</v>
      </c>
      <c r="E823" s="40" t="s">
        <v>1006</v>
      </c>
      <c r="F823" s="85" t="s">
        <v>742</v>
      </c>
      <c r="G823" s="39" t="s">
        <v>25</v>
      </c>
      <c r="H823" s="42">
        <v>45992</v>
      </c>
      <c r="I823" s="42"/>
      <c r="J823" s="79" t="s">
        <v>561</v>
      </c>
      <c r="K823" s="19">
        <v>-1</v>
      </c>
      <c r="L823" s="19">
        <f t="shared" si="95"/>
        <v>109.61999999999917</v>
      </c>
      <c r="M823" s="38"/>
      <c r="N823" s="44" t="str">
        <f t="shared" si="75"/>
        <v>MCSGAST1CPF - Desp. Lazer e Entretenimento - Bares</v>
      </c>
      <c r="O823" s="44" t="str">
        <f t="shared" si="76"/>
        <v>GAST1CPF - Desp. Lazer e Entretenimento - Bares</v>
      </c>
      <c r="P823" s="44" t="str">
        <f t="shared" si="77"/>
        <v>MCSGAST1CPF - Desp. Lazer e Entretenimento - Bares</v>
      </c>
      <c r="Q823" s="44" t="str">
        <f t="shared" si="78"/>
        <v>MCSGAST1</v>
      </c>
      <c r="R823" s="44" t="str">
        <f t="shared" si="79"/>
        <v>MCSGAST1</v>
      </c>
      <c r="S823" s="38"/>
      <c r="T823" s="45">
        <f t="shared" si="80"/>
        <v>45992</v>
      </c>
      <c r="U823" s="24" t="str">
        <f t="shared" si="67"/>
        <v/>
      </c>
    </row>
    <row r="824" spans="2:21" s="46" customFormat="1" x14ac:dyDescent="0.25">
      <c r="B824" s="37" t="s">
        <v>25</v>
      </c>
      <c r="C824" s="38"/>
      <c r="D824" s="63" t="str">
        <f>INDEX(Cad_Natureza!$B$3:$C$52,MATCH('2025'!F824,Cad_Natureza!$C$3:$C$52,0),MATCH('2025'!D$2,Cad_Natureza!$B$3:$C$3,0))</f>
        <v>REC7</v>
      </c>
      <c r="E824" s="64" t="s">
        <v>1007</v>
      </c>
      <c r="F824" s="65" t="s">
        <v>774</v>
      </c>
      <c r="G824" s="63" t="s">
        <v>25</v>
      </c>
      <c r="H824" s="66">
        <v>45992</v>
      </c>
      <c r="I824" s="66"/>
      <c r="J824" s="81" t="s">
        <v>1110</v>
      </c>
      <c r="K824" s="68">
        <v>50</v>
      </c>
      <c r="L824" s="19">
        <f t="shared" si="95"/>
        <v>159.61999999999915</v>
      </c>
      <c r="M824" s="38"/>
      <c r="N824" s="44" t="str">
        <f t="shared" si="75"/>
        <v>MCSREC7CPF - Rec. Financeiras - Empréstimos</v>
      </c>
      <c r="O824" s="44" t="str">
        <f t="shared" si="76"/>
        <v>REC7CPF - Rec. Financeiras - Empréstimos</v>
      </c>
      <c r="P824" s="44" t="str">
        <f t="shared" si="77"/>
        <v>MCSREC7CPF - Rec. Financeiras - Empréstimos</v>
      </c>
      <c r="Q824" s="44" t="str">
        <f t="shared" si="78"/>
        <v>MCSREC7</v>
      </c>
      <c r="R824" s="44" t="str">
        <f t="shared" si="79"/>
        <v>MCSREC7</v>
      </c>
      <c r="S824" s="38"/>
      <c r="T824" s="45">
        <f t="shared" si="80"/>
        <v>45992</v>
      </c>
      <c r="U824" s="24" t="str">
        <f t="shared" si="67"/>
        <v/>
      </c>
    </row>
    <row r="825" spans="2:21" s="46" customFormat="1" x14ac:dyDescent="0.25">
      <c r="B825" s="37" t="s">
        <v>25</v>
      </c>
      <c r="C825" s="38"/>
      <c r="D825" s="39" t="str">
        <f>INDEX(Cad_Natureza!$B$3:$C$52,MATCH('2025'!F825,Cad_Natureza!$C$3:$C$52,0),MATCH('2025'!D$2,Cad_Natureza!$B$3:$C$3,0))</f>
        <v>OPF1</v>
      </c>
      <c r="E825" s="40" t="s">
        <v>1008</v>
      </c>
      <c r="F825" s="41" t="s">
        <v>744</v>
      </c>
      <c r="G825" s="39" t="s">
        <v>25</v>
      </c>
      <c r="H825" s="42">
        <v>45992</v>
      </c>
      <c r="I825" s="42"/>
      <c r="J825" s="79" t="s">
        <v>182</v>
      </c>
      <c r="K825" s="19">
        <v>-20</v>
      </c>
      <c r="L825" s="19">
        <f t="shared" si="95"/>
        <v>139.61999999999915</v>
      </c>
      <c r="M825" s="38"/>
      <c r="N825" s="44" t="str">
        <f t="shared" si="75"/>
        <v>MCSOPF1CPF - Desp. Alimentação / Refeição</v>
      </c>
      <c r="O825" s="44" t="str">
        <f t="shared" si="76"/>
        <v>OPF1CPF - Desp. Alimentação / Refeição</v>
      </c>
      <c r="P825" s="44" t="str">
        <f t="shared" si="77"/>
        <v>MCSOPF1CPF - Desp. Alimentação / Refeição</v>
      </c>
      <c r="Q825" s="44" t="str">
        <f t="shared" si="78"/>
        <v>MCSOPF1</v>
      </c>
      <c r="R825" s="44" t="str">
        <f t="shared" si="79"/>
        <v>MCSOPF1</v>
      </c>
      <c r="S825" s="38"/>
      <c r="T825" s="45">
        <f t="shared" si="80"/>
        <v>45992</v>
      </c>
      <c r="U825" s="24" t="str">
        <f t="shared" si="67"/>
        <v/>
      </c>
    </row>
    <row r="826" spans="2:21" s="46" customFormat="1" x14ac:dyDescent="0.25">
      <c r="B826" s="37" t="s">
        <v>25</v>
      </c>
      <c r="C826" s="38"/>
      <c r="D826" s="39" t="str">
        <f>INDEX(Cad_Natureza!$B$3:$C$52,MATCH('2025'!F826,Cad_Natureza!$C$3:$C$52,0),MATCH('2025'!D$2,Cad_Natureza!$B$3:$C$3,0))</f>
        <v>GAST1</v>
      </c>
      <c r="E826" s="40" t="s">
        <v>1009</v>
      </c>
      <c r="F826" s="85" t="s">
        <v>742</v>
      </c>
      <c r="G826" s="39" t="s">
        <v>25</v>
      </c>
      <c r="H826" s="42">
        <v>45992</v>
      </c>
      <c r="I826" s="42"/>
      <c r="J826" s="79" t="s">
        <v>561</v>
      </c>
      <c r="K826" s="19">
        <v>-9</v>
      </c>
      <c r="L826" s="19">
        <f t="shared" si="95"/>
        <v>130.61999999999915</v>
      </c>
      <c r="M826" s="38"/>
      <c r="N826" s="44" t="str">
        <f t="shared" si="75"/>
        <v>MCSGAST1CPF - Desp. Lazer e Entretenimento - Bares</v>
      </c>
      <c r="O826" s="44" t="str">
        <f t="shared" si="76"/>
        <v>GAST1CPF - Desp. Lazer e Entretenimento - Bares</v>
      </c>
      <c r="P826" s="44" t="str">
        <f t="shared" si="77"/>
        <v>MCSGAST1CPF - Desp. Lazer e Entretenimento - Bares</v>
      </c>
      <c r="Q826" s="44" t="str">
        <f t="shared" si="78"/>
        <v>MCSGAST1</v>
      </c>
      <c r="R826" s="44" t="str">
        <f t="shared" si="79"/>
        <v>MCSGAST1</v>
      </c>
      <c r="S826" s="38"/>
      <c r="T826" s="45">
        <f t="shared" si="80"/>
        <v>45992</v>
      </c>
      <c r="U826" s="24" t="str">
        <f t="shared" si="67"/>
        <v/>
      </c>
    </row>
    <row r="827" spans="2:21" s="46" customFormat="1" x14ac:dyDescent="0.25">
      <c r="B827" s="37" t="s">
        <v>25</v>
      </c>
      <c r="C827" s="38"/>
      <c r="D827" s="39" t="str">
        <f>INDEX(Cad_Natureza!$B$3:$C$52,MATCH('2025'!F827,Cad_Natureza!$C$3:$C$52,0),MATCH('2025'!D$2,Cad_Natureza!$B$3:$C$3,0))</f>
        <v>OPF1</v>
      </c>
      <c r="E827" s="40" t="s">
        <v>1010</v>
      </c>
      <c r="F827" s="41" t="s">
        <v>744</v>
      </c>
      <c r="G827" s="39" t="s">
        <v>25</v>
      </c>
      <c r="H827" s="42">
        <v>45993</v>
      </c>
      <c r="I827" s="42"/>
      <c r="J827" s="79" t="s">
        <v>182</v>
      </c>
      <c r="K827" s="19">
        <v>-24.5</v>
      </c>
      <c r="L827" s="19">
        <f t="shared" si="95"/>
        <v>106.11999999999915</v>
      </c>
      <c r="M827" s="38"/>
      <c r="N827" s="44" t="str">
        <f t="shared" si="75"/>
        <v>MCSOPF1CPF - Desp. Alimentação / Refeição</v>
      </c>
      <c r="O827" s="44" t="str">
        <f t="shared" si="76"/>
        <v>OPF1CPF - Desp. Alimentação / Refeição</v>
      </c>
      <c r="P827" s="44" t="str">
        <f t="shared" si="77"/>
        <v>MCSOPF1CPF - Desp. Alimentação / Refeição</v>
      </c>
      <c r="Q827" s="44" t="str">
        <f t="shared" si="78"/>
        <v>MCSOPF1</v>
      </c>
      <c r="R827" s="44" t="str">
        <f t="shared" si="79"/>
        <v>MCSOPF1</v>
      </c>
      <c r="S827" s="38"/>
      <c r="T827" s="45">
        <f t="shared" si="80"/>
        <v>45992</v>
      </c>
      <c r="U827" s="24" t="str">
        <f t="shared" si="67"/>
        <v/>
      </c>
    </row>
    <row r="828" spans="2:21" s="46" customFormat="1" x14ac:dyDescent="0.25">
      <c r="B828" s="37" t="s">
        <v>25</v>
      </c>
      <c r="C828" s="38"/>
      <c r="D828" s="39" t="str">
        <f>INDEX(Cad_Natureza!$B$3:$C$52,MATCH('2025'!F828,Cad_Natureza!$C$3:$C$52,0),MATCH('2025'!D$2,Cad_Natureza!$B$3:$C$3,0))</f>
        <v>OPF2</v>
      </c>
      <c r="E828" s="40" t="s">
        <v>1011</v>
      </c>
      <c r="F828" s="85" t="s">
        <v>741</v>
      </c>
      <c r="G828" s="39" t="s">
        <v>25</v>
      </c>
      <c r="H828" s="42">
        <v>45993</v>
      </c>
      <c r="I828" s="42"/>
      <c r="J828" s="79" t="s">
        <v>674</v>
      </c>
      <c r="K828" s="19">
        <v>-80</v>
      </c>
      <c r="L828" s="19">
        <f t="shared" si="95"/>
        <v>26.119999999999152</v>
      </c>
      <c r="M828" s="38"/>
      <c r="N828" s="44" t="str">
        <f t="shared" si="75"/>
        <v>MCSOPF2CPF - Desp. Transporte / Combustível</v>
      </c>
      <c r="O828" s="44" t="str">
        <f t="shared" si="76"/>
        <v>OPF2CPF - Desp. Transporte / Combustível</v>
      </c>
      <c r="P828" s="44" t="str">
        <f t="shared" si="77"/>
        <v>MCSOPF2CPF - Desp. Transporte / Combustível</v>
      </c>
      <c r="Q828" s="44" t="str">
        <f t="shared" si="78"/>
        <v>MCSOPF2</v>
      </c>
      <c r="R828" s="44" t="str">
        <f t="shared" si="79"/>
        <v>MCSOPF2</v>
      </c>
      <c r="S828" s="38"/>
      <c r="T828" s="45">
        <f t="shared" si="80"/>
        <v>45992</v>
      </c>
      <c r="U828" s="24" t="str">
        <f t="shared" si="67"/>
        <v/>
      </c>
    </row>
    <row r="829" spans="2:21" s="46" customFormat="1" x14ac:dyDescent="0.25">
      <c r="B829" s="37" t="s">
        <v>25</v>
      </c>
      <c r="C829" s="38"/>
      <c r="D829" s="39" t="str">
        <f>INDEX(Cad_Natureza!$B$3:$C$52,MATCH('2025'!F829,Cad_Natureza!$C$3:$C$52,0),MATCH('2025'!D$2,Cad_Natureza!$B$3:$C$3,0))</f>
        <v>GAST1</v>
      </c>
      <c r="E829" s="40" t="s">
        <v>1012</v>
      </c>
      <c r="F829" s="85" t="s">
        <v>742</v>
      </c>
      <c r="G829" s="39" t="s">
        <v>25</v>
      </c>
      <c r="H829" s="42">
        <v>45993</v>
      </c>
      <c r="I829" s="42"/>
      <c r="J829" s="79" t="s">
        <v>561</v>
      </c>
      <c r="K829" s="19">
        <v>-25</v>
      </c>
      <c r="L829" s="19">
        <f t="shared" si="95"/>
        <v>1.1199999999991519</v>
      </c>
      <c r="M829" s="38"/>
      <c r="N829" s="44" t="str">
        <f t="shared" si="75"/>
        <v>MCSGAST1CPF - Desp. Lazer e Entretenimento - Bares</v>
      </c>
      <c r="O829" s="44" t="str">
        <f t="shared" si="76"/>
        <v>GAST1CPF - Desp. Lazer e Entretenimento - Bares</v>
      </c>
      <c r="P829" s="44" t="str">
        <f t="shared" si="77"/>
        <v>MCSGAST1CPF - Desp. Lazer e Entretenimento - Bares</v>
      </c>
      <c r="Q829" s="44" t="str">
        <f t="shared" si="78"/>
        <v>MCSGAST1</v>
      </c>
      <c r="R829" s="44" t="str">
        <f t="shared" si="79"/>
        <v>MCSGAST1</v>
      </c>
      <c r="S829" s="38"/>
      <c r="T829" s="45">
        <f t="shared" si="80"/>
        <v>45992</v>
      </c>
      <c r="U829" s="24" t="str">
        <f t="shared" si="67"/>
        <v/>
      </c>
    </row>
    <row r="830" spans="2:21" s="46" customFormat="1" x14ac:dyDescent="0.25">
      <c r="B830" s="37" t="s">
        <v>25</v>
      </c>
      <c r="C830" s="38"/>
      <c r="D830" s="63" t="str">
        <f>INDEX(Cad_Natureza!$B$3:$C$52,MATCH('2025'!F830,Cad_Natureza!$C$3:$C$52,0),MATCH('2025'!D$2,Cad_Natureza!$B$3:$C$3,0))</f>
        <v>REC4</v>
      </c>
      <c r="E830" s="64" t="s">
        <v>1013</v>
      </c>
      <c r="F830" s="65" t="s">
        <v>734</v>
      </c>
      <c r="G830" s="63" t="s">
        <v>25</v>
      </c>
      <c r="H830" s="66">
        <v>45994</v>
      </c>
      <c r="I830" s="66"/>
      <c r="J830" s="67" t="s">
        <v>183</v>
      </c>
      <c r="K830" s="68">
        <v>200</v>
      </c>
      <c r="L830" s="68">
        <f t="shared" si="95"/>
        <v>201.11999999999915</v>
      </c>
      <c r="M830" s="38"/>
      <c r="N830" s="44" t="str">
        <f t="shared" si="75"/>
        <v>MCSREC4CPF - Transf. Da conta PJ para a conta PF</v>
      </c>
      <c r="O830" s="44" t="str">
        <f t="shared" si="76"/>
        <v>REC4CPF - Transf. Da conta PJ para a conta PF</v>
      </c>
      <c r="P830" s="44" t="str">
        <f t="shared" si="77"/>
        <v>MCSREC4CPF - Transf. Da conta PJ para a conta PF</v>
      </c>
      <c r="Q830" s="44" t="str">
        <f t="shared" si="78"/>
        <v>MCSREC4</v>
      </c>
      <c r="R830" s="44" t="str">
        <f t="shared" si="79"/>
        <v>MCSREC4</v>
      </c>
      <c r="S830" s="38"/>
      <c r="T830" s="45">
        <f t="shared" si="80"/>
        <v>45992</v>
      </c>
      <c r="U830" s="24" t="str">
        <f t="shared" si="67"/>
        <v/>
      </c>
    </row>
    <row r="831" spans="2:21" s="46" customFormat="1" x14ac:dyDescent="0.25">
      <c r="B831" s="37" t="s">
        <v>25</v>
      </c>
      <c r="C831" s="38"/>
      <c r="D831" s="39" t="str">
        <f>INDEX(Cad_Natureza!$B$3:$C$52,MATCH('2025'!F831,Cad_Natureza!$C$3:$C$52,0),MATCH('2025'!D$2,Cad_Natureza!$B$3:$C$3,0))</f>
        <v>OPF1</v>
      </c>
      <c r="E831" s="40" t="s">
        <v>1014</v>
      </c>
      <c r="F831" s="41" t="s">
        <v>744</v>
      </c>
      <c r="G831" s="39" t="s">
        <v>25</v>
      </c>
      <c r="H831" s="42">
        <v>45994</v>
      </c>
      <c r="I831" s="42"/>
      <c r="J831" s="79" t="s">
        <v>182</v>
      </c>
      <c r="K831" s="19">
        <v>-20</v>
      </c>
      <c r="L831" s="19">
        <f t="shared" si="95"/>
        <v>181.11999999999915</v>
      </c>
      <c r="M831" s="38"/>
      <c r="N831" s="44" t="str">
        <f t="shared" si="75"/>
        <v>MCSOPF1CPF - Desp. Alimentação / Refeição</v>
      </c>
      <c r="O831" s="44" t="str">
        <f t="shared" si="76"/>
        <v>OPF1CPF - Desp. Alimentação / Refeição</v>
      </c>
      <c r="P831" s="44" t="str">
        <f t="shared" si="77"/>
        <v>MCSOPF1CPF - Desp. Alimentação / Refeição</v>
      </c>
      <c r="Q831" s="44" t="str">
        <f t="shared" si="78"/>
        <v>MCSOPF1</v>
      </c>
      <c r="R831" s="44" t="str">
        <f t="shared" si="79"/>
        <v>MCSOPF1</v>
      </c>
      <c r="S831" s="38"/>
      <c r="T831" s="45">
        <f t="shared" si="80"/>
        <v>45992</v>
      </c>
      <c r="U831" s="24" t="str">
        <f t="shared" si="67"/>
        <v/>
      </c>
    </row>
    <row r="832" spans="2:21" s="46" customFormat="1" x14ac:dyDescent="0.25">
      <c r="B832" s="37" t="s">
        <v>25</v>
      </c>
      <c r="C832" s="38"/>
      <c r="D832" s="39" t="str">
        <f>INDEX(Cad_Natureza!$B$3:$C$52,MATCH('2025'!F832,Cad_Natureza!$C$3:$C$52,0),MATCH('2025'!D$2,Cad_Natureza!$B$3:$C$3,0))</f>
        <v>GAST1</v>
      </c>
      <c r="E832" s="40" t="s">
        <v>1015</v>
      </c>
      <c r="F832" s="85" t="s">
        <v>742</v>
      </c>
      <c r="G832" s="39" t="s">
        <v>25</v>
      </c>
      <c r="H832" s="42">
        <v>45994</v>
      </c>
      <c r="I832" s="42"/>
      <c r="J832" s="79" t="s">
        <v>561</v>
      </c>
      <c r="K832" s="19">
        <v>-32</v>
      </c>
      <c r="L832" s="19">
        <f t="shared" si="95"/>
        <v>149.11999999999915</v>
      </c>
      <c r="M832" s="38"/>
      <c r="N832" s="44" t="str">
        <f t="shared" si="75"/>
        <v>MCSGAST1CPF - Desp. Lazer e Entretenimento - Bares</v>
      </c>
      <c r="O832" s="44" t="str">
        <f t="shared" si="76"/>
        <v>GAST1CPF - Desp. Lazer e Entretenimento - Bares</v>
      </c>
      <c r="P832" s="44" t="str">
        <f t="shared" si="77"/>
        <v>MCSGAST1CPF - Desp. Lazer e Entretenimento - Bares</v>
      </c>
      <c r="Q832" s="44" t="str">
        <f t="shared" si="78"/>
        <v>MCSGAST1</v>
      </c>
      <c r="R832" s="44" t="str">
        <f t="shared" si="79"/>
        <v>MCSGAST1</v>
      </c>
      <c r="S832" s="38"/>
      <c r="T832" s="45">
        <f t="shared" si="80"/>
        <v>45992</v>
      </c>
      <c r="U832" s="24" t="str">
        <f t="shared" si="67"/>
        <v/>
      </c>
    </row>
    <row r="833" spans="2:21" s="46" customFormat="1" x14ac:dyDescent="0.25">
      <c r="B833" s="37" t="s">
        <v>25</v>
      </c>
      <c r="C833" s="38"/>
      <c r="D833" s="39" t="str">
        <f>INDEX(Cad_Natureza!$B$3:$C$52,MATCH('2025'!F833,Cad_Natureza!$C$3:$C$52,0),MATCH('2025'!D$2,Cad_Natureza!$B$3:$C$3,0))</f>
        <v>FIN2</v>
      </c>
      <c r="E833" s="40" t="s">
        <v>1016</v>
      </c>
      <c r="F833" s="85" t="s">
        <v>751</v>
      </c>
      <c r="G833" s="39" t="s">
        <v>25</v>
      </c>
      <c r="H833" s="42">
        <v>45994</v>
      </c>
      <c r="I833" s="42"/>
      <c r="J833" s="79" t="s">
        <v>188</v>
      </c>
      <c r="K833" s="62">
        <v>-28</v>
      </c>
      <c r="L833" s="19">
        <f t="shared" si="95"/>
        <v>121.11999999999915</v>
      </c>
      <c r="M833" s="38"/>
      <c r="N833" s="44" t="str">
        <f t="shared" si="75"/>
        <v>MCSFIN2CPF - Desp. Financeiras - Juros / Tarifas</v>
      </c>
      <c r="O833" s="44" t="str">
        <f t="shared" si="76"/>
        <v>FIN2CPF - Desp. Financeiras - Juros / Tarifas</v>
      </c>
      <c r="P833" s="44" t="str">
        <f t="shared" si="77"/>
        <v>MCSFIN2CPF - Desp. Financeiras - Juros / Tarifas</v>
      </c>
      <c r="Q833" s="44" t="str">
        <f t="shared" si="78"/>
        <v>MCSFIN2</v>
      </c>
      <c r="R833" s="44" t="str">
        <f t="shared" si="79"/>
        <v>MCSFIN2</v>
      </c>
      <c r="S833" s="38"/>
      <c r="T833" s="45">
        <f t="shared" si="80"/>
        <v>45992</v>
      </c>
      <c r="U833" s="24" t="str">
        <f t="shared" si="67"/>
        <v/>
      </c>
    </row>
    <row r="834" spans="2:21" s="46" customFormat="1" x14ac:dyDescent="0.25">
      <c r="B834" s="37" t="s">
        <v>25</v>
      </c>
      <c r="C834" s="38"/>
      <c r="D834" s="39" t="str">
        <f>INDEX(Cad_Natureza!$B$3:$C$52,MATCH('2025'!F834,Cad_Natureza!$C$3:$C$52,0),MATCH('2025'!D$2,Cad_Natureza!$B$3:$C$3,0))</f>
        <v>OPF1</v>
      </c>
      <c r="E834" s="40" t="s">
        <v>1017</v>
      </c>
      <c r="F834" s="41" t="s">
        <v>744</v>
      </c>
      <c r="G834" s="39" t="s">
        <v>25</v>
      </c>
      <c r="H834" s="42">
        <v>45995</v>
      </c>
      <c r="I834" s="42"/>
      <c r="J834" s="79" t="s">
        <v>182</v>
      </c>
      <c r="K834" s="19">
        <v>-20</v>
      </c>
      <c r="L834" s="19">
        <f t="shared" si="95"/>
        <v>101.11999999999915</v>
      </c>
      <c r="M834" s="38"/>
      <c r="N834" s="44" t="str">
        <f t="shared" si="75"/>
        <v>MCSOPF1CPF - Desp. Alimentação / Refeição</v>
      </c>
      <c r="O834" s="44" t="str">
        <f t="shared" si="76"/>
        <v>OPF1CPF - Desp. Alimentação / Refeição</v>
      </c>
      <c r="P834" s="44" t="str">
        <f t="shared" si="77"/>
        <v>MCSOPF1CPF - Desp. Alimentação / Refeição</v>
      </c>
      <c r="Q834" s="44" t="str">
        <f t="shared" si="78"/>
        <v>MCSOPF1</v>
      </c>
      <c r="R834" s="44" t="str">
        <f t="shared" si="79"/>
        <v>MCSOPF1</v>
      </c>
      <c r="S834" s="38"/>
      <c r="T834" s="45">
        <f t="shared" si="80"/>
        <v>45992</v>
      </c>
      <c r="U834" s="24" t="str">
        <f t="shared" si="67"/>
        <v/>
      </c>
    </row>
    <row r="835" spans="2:21" s="46" customFormat="1" x14ac:dyDescent="0.25">
      <c r="B835" s="37" t="s">
        <v>25</v>
      </c>
      <c r="C835" s="38"/>
      <c r="D835" s="39" t="str">
        <f>INDEX(Cad_Natureza!$B$3:$C$52,MATCH('2025'!F835,Cad_Natureza!$C$3:$C$52,0),MATCH('2025'!D$2,Cad_Natureza!$B$3:$C$3,0))</f>
        <v>GAST1</v>
      </c>
      <c r="E835" s="40" t="s">
        <v>1018</v>
      </c>
      <c r="F835" s="85" t="s">
        <v>742</v>
      </c>
      <c r="G835" s="39" t="s">
        <v>25</v>
      </c>
      <c r="H835" s="42">
        <v>45995</v>
      </c>
      <c r="I835" s="42"/>
      <c r="J835" s="79" t="s">
        <v>561</v>
      </c>
      <c r="K835" s="19">
        <v>-19.5</v>
      </c>
      <c r="L835" s="19">
        <f t="shared" si="95"/>
        <v>81.619999999999152</v>
      </c>
      <c r="M835" s="38"/>
      <c r="N835" s="44" t="str">
        <f t="shared" si="75"/>
        <v>MCSGAST1CPF - Desp. Lazer e Entretenimento - Bares</v>
      </c>
      <c r="O835" s="44" t="str">
        <f t="shared" si="76"/>
        <v>GAST1CPF - Desp. Lazer e Entretenimento - Bares</v>
      </c>
      <c r="P835" s="44" t="str">
        <f t="shared" si="77"/>
        <v>MCSGAST1CPF - Desp. Lazer e Entretenimento - Bares</v>
      </c>
      <c r="Q835" s="44" t="str">
        <f t="shared" si="78"/>
        <v>MCSGAST1</v>
      </c>
      <c r="R835" s="44" t="str">
        <f t="shared" si="79"/>
        <v>MCSGAST1</v>
      </c>
      <c r="S835" s="38"/>
      <c r="T835" s="45">
        <f t="shared" si="80"/>
        <v>45992</v>
      </c>
      <c r="U835" s="24" t="str">
        <f t="shared" si="67"/>
        <v/>
      </c>
    </row>
    <row r="836" spans="2:21" s="46" customFormat="1" x14ac:dyDescent="0.25">
      <c r="B836" s="37" t="s">
        <v>25</v>
      </c>
      <c r="C836" s="38"/>
      <c r="D836" s="39" t="str">
        <f>INDEX(Cad_Natureza!$B$3:$C$52,MATCH('2025'!F836,Cad_Natureza!$C$3:$C$52,0),MATCH('2025'!D$2,Cad_Natureza!$B$3:$C$3,0))</f>
        <v>OPF1</v>
      </c>
      <c r="E836" s="40" t="s">
        <v>1019</v>
      </c>
      <c r="F836" s="41" t="s">
        <v>744</v>
      </c>
      <c r="G836" s="39" t="s">
        <v>25</v>
      </c>
      <c r="H836" s="42">
        <v>45996</v>
      </c>
      <c r="I836" s="42"/>
      <c r="J836" s="79" t="s">
        <v>182</v>
      </c>
      <c r="K836" s="19">
        <v>-23.5</v>
      </c>
      <c r="L836" s="19">
        <f t="shared" si="95"/>
        <v>58.119999999999152</v>
      </c>
      <c r="M836" s="38"/>
      <c r="N836" s="44" t="str">
        <f t="shared" si="75"/>
        <v>MCSOPF1CPF - Desp. Alimentação / Refeição</v>
      </c>
      <c r="O836" s="44" t="str">
        <f t="shared" si="76"/>
        <v>OPF1CPF - Desp. Alimentação / Refeição</v>
      </c>
      <c r="P836" s="44" t="str">
        <f t="shared" si="77"/>
        <v>MCSOPF1CPF - Desp. Alimentação / Refeição</v>
      </c>
      <c r="Q836" s="44" t="str">
        <f t="shared" si="78"/>
        <v>MCSOPF1</v>
      </c>
      <c r="R836" s="44" t="str">
        <f t="shared" si="79"/>
        <v>MCSOPF1</v>
      </c>
      <c r="S836" s="38"/>
      <c r="T836" s="45">
        <f t="shared" si="80"/>
        <v>45992</v>
      </c>
      <c r="U836" s="24" t="str">
        <f t="shared" si="67"/>
        <v/>
      </c>
    </row>
    <row r="837" spans="2:21" s="46" customFormat="1" x14ac:dyDescent="0.25">
      <c r="B837" s="37" t="s">
        <v>25</v>
      </c>
      <c r="C837" s="38"/>
      <c r="D837" s="63" t="str">
        <f>INDEX(Cad_Natureza!$B$3:$C$52,MATCH('2025'!F837,Cad_Natureza!$C$3:$C$52,0),MATCH('2025'!D$2,Cad_Natureza!$B$3:$C$3,0))</f>
        <v>REC4</v>
      </c>
      <c r="E837" s="64" t="s">
        <v>1020</v>
      </c>
      <c r="F837" s="65" t="s">
        <v>734</v>
      </c>
      <c r="G837" s="63" t="s">
        <v>25</v>
      </c>
      <c r="H837" s="66">
        <v>45996</v>
      </c>
      <c r="I837" s="66"/>
      <c r="J837" s="67" t="s">
        <v>183</v>
      </c>
      <c r="K837" s="68">
        <v>3000</v>
      </c>
      <c r="L837" s="68">
        <f t="shared" ref="L837:L900" si="96">L836+K837</f>
        <v>3058.119999999999</v>
      </c>
      <c r="M837" s="38"/>
      <c r="N837" s="44" t="str">
        <f t="shared" si="75"/>
        <v>MCSREC4CPF - Transf. Da conta PJ para a conta PF</v>
      </c>
      <c r="O837" s="44" t="str">
        <f t="shared" si="76"/>
        <v>REC4CPF - Transf. Da conta PJ para a conta PF</v>
      </c>
      <c r="P837" s="44" t="str">
        <f t="shared" si="77"/>
        <v>MCSREC4CPF - Transf. Da conta PJ para a conta PF</v>
      </c>
      <c r="Q837" s="44" t="str">
        <f t="shared" si="78"/>
        <v>MCSREC4</v>
      </c>
      <c r="R837" s="44" t="str">
        <f t="shared" si="79"/>
        <v>MCSREC4</v>
      </c>
      <c r="S837" s="38"/>
      <c r="T837" s="45">
        <f t="shared" si="80"/>
        <v>45992</v>
      </c>
      <c r="U837" s="24" t="str">
        <f t="shared" si="67"/>
        <v/>
      </c>
    </row>
    <row r="838" spans="2:21" s="46" customFormat="1" x14ac:dyDescent="0.25">
      <c r="B838" s="37" t="s">
        <v>25</v>
      </c>
      <c r="C838" s="38"/>
      <c r="D838" s="39" t="str">
        <f>INDEX(Cad_Natureza!$B$3:$C$52,MATCH('2025'!F838,Cad_Natureza!$C$3:$C$52,0),MATCH('2025'!D$2,Cad_Natureza!$B$3:$C$3,0))</f>
        <v>OPF2</v>
      </c>
      <c r="E838" s="40" t="s">
        <v>1021</v>
      </c>
      <c r="F838" s="85" t="s">
        <v>741</v>
      </c>
      <c r="G838" s="39" t="s">
        <v>25</v>
      </c>
      <c r="H838" s="42">
        <v>45996</v>
      </c>
      <c r="I838" s="42"/>
      <c r="J838" s="79" t="s">
        <v>674</v>
      </c>
      <c r="K838" s="19">
        <v>-80</v>
      </c>
      <c r="L838" s="19">
        <f t="shared" si="96"/>
        <v>2978.119999999999</v>
      </c>
      <c r="M838" s="38"/>
      <c r="N838" s="44" t="str">
        <f t="shared" si="75"/>
        <v>MCSOPF2CPF - Desp. Transporte / Combustível</v>
      </c>
      <c r="O838" s="44" t="str">
        <f t="shared" si="76"/>
        <v>OPF2CPF - Desp. Transporte / Combustível</v>
      </c>
      <c r="P838" s="44" t="str">
        <f t="shared" si="77"/>
        <v>MCSOPF2CPF - Desp. Transporte / Combustível</v>
      </c>
      <c r="Q838" s="44" t="str">
        <f t="shared" si="78"/>
        <v>MCSOPF2</v>
      </c>
      <c r="R838" s="44" t="str">
        <f t="shared" si="79"/>
        <v>MCSOPF2</v>
      </c>
      <c r="S838" s="38"/>
      <c r="T838" s="45">
        <f t="shared" si="80"/>
        <v>45992</v>
      </c>
      <c r="U838" s="24" t="str">
        <f t="shared" si="67"/>
        <v/>
      </c>
    </row>
    <row r="839" spans="2:21" s="46" customFormat="1" x14ac:dyDescent="0.25">
      <c r="B839" s="37" t="s">
        <v>25</v>
      </c>
      <c r="C839" s="38"/>
      <c r="D839" s="39" t="str">
        <f>INDEX(Cad_Natureza!$B$3:$C$52,MATCH('2025'!F839,Cad_Natureza!$C$3:$C$52,0),MATCH('2025'!D$2,Cad_Natureza!$B$3:$C$3,0))</f>
        <v>GAST1</v>
      </c>
      <c r="E839" s="40" t="s">
        <v>1022</v>
      </c>
      <c r="F839" s="85" t="s">
        <v>742</v>
      </c>
      <c r="G839" s="39" t="s">
        <v>25</v>
      </c>
      <c r="H839" s="42">
        <v>45996</v>
      </c>
      <c r="I839" s="42"/>
      <c r="J839" s="79" t="s">
        <v>561</v>
      </c>
      <c r="K839" s="19">
        <v>-12</v>
      </c>
      <c r="L839" s="19">
        <f t="shared" si="96"/>
        <v>2966.119999999999</v>
      </c>
      <c r="M839" s="38"/>
      <c r="N839" s="44" t="str">
        <f t="shared" si="75"/>
        <v>MCSGAST1CPF - Desp. Lazer e Entretenimento - Bares</v>
      </c>
      <c r="O839" s="44" t="str">
        <f t="shared" si="76"/>
        <v>GAST1CPF - Desp. Lazer e Entretenimento - Bares</v>
      </c>
      <c r="P839" s="44" t="str">
        <f t="shared" si="77"/>
        <v>MCSGAST1CPF - Desp. Lazer e Entretenimento - Bares</v>
      </c>
      <c r="Q839" s="44" t="str">
        <f t="shared" si="78"/>
        <v>MCSGAST1</v>
      </c>
      <c r="R839" s="44" t="str">
        <f t="shared" si="79"/>
        <v>MCSGAST1</v>
      </c>
      <c r="S839" s="38"/>
      <c r="T839" s="45">
        <f t="shared" si="80"/>
        <v>45992</v>
      </c>
      <c r="U839" s="24" t="str">
        <f t="shared" si="67"/>
        <v/>
      </c>
    </row>
    <row r="840" spans="2:21" s="46" customFormat="1" x14ac:dyDescent="0.25">
      <c r="B840" s="37" t="s">
        <v>25</v>
      </c>
      <c r="C840" s="38"/>
      <c r="D840" s="39" t="str">
        <f>INDEX(Cad_Natureza!$B$3:$C$52,MATCH('2025'!F840,Cad_Natureza!$C$3:$C$52,0),MATCH('2025'!D$2,Cad_Natureza!$B$3:$C$3,0))</f>
        <v>GAST1</v>
      </c>
      <c r="E840" s="40" t="s">
        <v>1023</v>
      </c>
      <c r="F840" s="85" t="s">
        <v>742</v>
      </c>
      <c r="G840" s="39" t="s">
        <v>25</v>
      </c>
      <c r="H840" s="42">
        <v>45996</v>
      </c>
      <c r="I840" s="42"/>
      <c r="J840" s="79" t="s">
        <v>561</v>
      </c>
      <c r="K840" s="19">
        <v>-12</v>
      </c>
      <c r="L840" s="19">
        <f t="shared" si="96"/>
        <v>2954.119999999999</v>
      </c>
      <c r="M840" s="38"/>
      <c r="N840" s="44" t="str">
        <f t="shared" si="75"/>
        <v>MCSGAST1CPF - Desp. Lazer e Entretenimento - Bares</v>
      </c>
      <c r="O840" s="44" t="str">
        <f t="shared" si="76"/>
        <v>GAST1CPF - Desp. Lazer e Entretenimento - Bares</v>
      </c>
      <c r="P840" s="44" t="str">
        <f t="shared" si="77"/>
        <v>MCSGAST1CPF - Desp. Lazer e Entretenimento - Bares</v>
      </c>
      <c r="Q840" s="44" t="str">
        <f t="shared" si="78"/>
        <v>MCSGAST1</v>
      </c>
      <c r="R840" s="44" t="str">
        <f t="shared" si="79"/>
        <v>MCSGAST1</v>
      </c>
      <c r="S840" s="38"/>
      <c r="T840" s="45">
        <f t="shared" si="80"/>
        <v>45992</v>
      </c>
      <c r="U840" s="24" t="str">
        <f t="shared" si="67"/>
        <v/>
      </c>
    </row>
    <row r="841" spans="2:21" s="46" customFormat="1" x14ac:dyDescent="0.25">
      <c r="B841" s="37" t="s">
        <v>25</v>
      </c>
      <c r="C841" s="38"/>
      <c r="D841" s="39" t="str">
        <f>INDEX(Cad_Natureza!$B$3:$C$52,MATCH('2025'!F841,Cad_Natureza!$C$3:$C$52,0),MATCH('2025'!D$2,Cad_Natureza!$B$3:$C$3,0))</f>
        <v>GAST2</v>
      </c>
      <c r="E841" s="40" t="s">
        <v>1024</v>
      </c>
      <c r="F841" s="41" t="s">
        <v>743</v>
      </c>
      <c r="G841" s="39" t="s">
        <v>25</v>
      </c>
      <c r="H841" s="42">
        <v>45996</v>
      </c>
      <c r="I841" s="42"/>
      <c r="J841" s="43" t="s">
        <v>180</v>
      </c>
      <c r="K841" s="19">
        <v>-5</v>
      </c>
      <c r="L841" s="19">
        <f t="shared" si="96"/>
        <v>2949.119999999999</v>
      </c>
      <c r="M841" s="38"/>
      <c r="N841" s="44" t="str">
        <f t="shared" si="75"/>
        <v>MCSGAST2CPF - Desp. Lazer e Entretenimento - Cigarro</v>
      </c>
      <c r="O841" s="44" t="str">
        <f t="shared" si="76"/>
        <v>GAST2CPF - Desp. Lazer e Entretenimento - Cigarro</v>
      </c>
      <c r="P841" s="44" t="str">
        <f t="shared" si="77"/>
        <v>MCSGAST2CPF - Desp. Lazer e Entretenimento - Cigarro</v>
      </c>
      <c r="Q841" s="44" t="str">
        <f t="shared" si="78"/>
        <v>MCSGAST2</v>
      </c>
      <c r="R841" s="44" t="str">
        <f t="shared" si="79"/>
        <v>MCSGAST2</v>
      </c>
      <c r="S841" s="38"/>
      <c r="T841" s="45">
        <f t="shared" si="80"/>
        <v>45992</v>
      </c>
      <c r="U841" s="24" t="str">
        <f t="shared" si="67"/>
        <v/>
      </c>
    </row>
    <row r="842" spans="2:21" s="46" customFormat="1" x14ac:dyDescent="0.25">
      <c r="B842" s="37" t="s">
        <v>25</v>
      </c>
      <c r="C842" s="38"/>
      <c r="D842" s="39" t="str">
        <f>INDEX(Cad_Natureza!$B$3:$C$52,MATCH('2025'!F842,Cad_Natureza!$C$3:$C$52,0),MATCH('2025'!D$2,Cad_Natureza!$B$3:$C$3,0))</f>
        <v>GAST2</v>
      </c>
      <c r="E842" s="40" t="s">
        <v>1025</v>
      </c>
      <c r="F842" s="41" t="s">
        <v>743</v>
      </c>
      <c r="G842" s="39" t="s">
        <v>25</v>
      </c>
      <c r="H842" s="42">
        <v>45996</v>
      </c>
      <c r="I842" s="42"/>
      <c r="J842" s="43" t="s">
        <v>180</v>
      </c>
      <c r="K842" s="19">
        <v>-1</v>
      </c>
      <c r="L842" s="19">
        <f t="shared" si="96"/>
        <v>2948.119999999999</v>
      </c>
      <c r="M842" s="38"/>
      <c r="N842" s="44" t="str">
        <f t="shared" si="75"/>
        <v>MCSGAST2CPF - Desp. Lazer e Entretenimento - Cigarro</v>
      </c>
      <c r="O842" s="44" t="str">
        <f t="shared" si="76"/>
        <v>GAST2CPF - Desp. Lazer e Entretenimento - Cigarro</v>
      </c>
      <c r="P842" s="44" t="str">
        <f t="shared" si="77"/>
        <v>MCSGAST2CPF - Desp. Lazer e Entretenimento - Cigarro</v>
      </c>
      <c r="Q842" s="44" t="str">
        <f t="shared" si="78"/>
        <v>MCSGAST2</v>
      </c>
      <c r="R842" s="44" t="str">
        <f t="shared" si="79"/>
        <v>MCSGAST2</v>
      </c>
      <c r="S842" s="38"/>
      <c r="T842" s="45">
        <f t="shared" si="80"/>
        <v>45992</v>
      </c>
      <c r="U842" s="24" t="str">
        <f t="shared" si="67"/>
        <v/>
      </c>
    </row>
    <row r="843" spans="2:21" s="46" customFormat="1" x14ac:dyDescent="0.25">
      <c r="B843" s="37" t="s">
        <v>25</v>
      </c>
      <c r="C843" s="38"/>
      <c r="D843" s="39" t="str">
        <f>INDEX(Cad_Natureza!$B$3:$C$52,MATCH('2025'!F843,Cad_Natureza!$C$3:$C$52,0),MATCH('2025'!D$2,Cad_Natureza!$B$3:$C$3,0))</f>
        <v>GAST2</v>
      </c>
      <c r="E843" s="40" t="s">
        <v>1026</v>
      </c>
      <c r="F843" s="41" t="s">
        <v>743</v>
      </c>
      <c r="G843" s="39" t="s">
        <v>25</v>
      </c>
      <c r="H843" s="42">
        <v>45996</v>
      </c>
      <c r="I843" s="42"/>
      <c r="J843" s="43" t="s">
        <v>180</v>
      </c>
      <c r="K843" s="19">
        <v>-5</v>
      </c>
      <c r="L843" s="19">
        <f t="shared" si="96"/>
        <v>2943.119999999999</v>
      </c>
      <c r="M843" s="38"/>
      <c r="N843" s="44" t="str">
        <f t="shared" si="75"/>
        <v>MCSGAST2CPF - Desp. Lazer e Entretenimento - Cigarro</v>
      </c>
      <c r="O843" s="44" t="str">
        <f t="shared" si="76"/>
        <v>GAST2CPF - Desp. Lazer e Entretenimento - Cigarro</v>
      </c>
      <c r="P843" s="44" t="str">
        <f t="shared" si="77"/>
        <v>MCSGAST2CPF - Desp. Lazer e Entretenimento - Cigarro</v>
      </c>
      <c r="Q843" s="44" t="str">
        <f t="shared" si="78"/>
        <v>MCSGAST2</v>
      </c>
      <c r="R843" s="44" t="str">
        <f t="shared" si="79"/>
        <v>MCSGAST2</v>
      </c>
      <c r="S843" s="38"/>
      <c r="T843" s="45">
        <f t="shared" si="80"/>
        <v>45992</v>
      </c>
      <c r="U843" s="24" t="str">
        <f t="shared" si="67"/>
        <v/>
      </c>
    </row>
    <row r="844" spans="2:21" s="46" customFormat="1" x14ac:dyDescent="0.25">
      <c r="B844" s="37" t="s">
        <v>25</v>
      </c>
      <c r="C844" s="38"/>
      <c r="D844" s="39" t="str">
        <f>INDEX(Cad_Natureza!$B$3:$C$52,MATCH('2025'!F844,Cad_Natureza!$C$3:$C$52,0),MATCH('2025'!D$2,Cad_Natureza!$B$3:$C$3,0))</f>
        <v>FIN2</v>
      </c>
      <c r="E844" s="40" t="s">
        <v>1027</v>
      </c>
      <c r="F844" s="41" t="s">
        <v>751</v>
      </c>
      <c r="G844" s="39" t="s">
        <v>25</v>
      </c>
      <c r="H844" s="42">
        <v>45996</v>
      </c>
      <c r="I844" s="42"/>
      <c r="J844" s="79" t="s">
        <v>193</v>
      </c>
      <c r="K844" s="19">
        <v>-0.75</v>
      </c>
      <c r="L844" s="19">
        <f t="shared" si="96"/>
        <v>2942.369999999999</v>
      </c>
      <c r="M844" s="38"/>
      <c r="N844" s="44" t="str">
        <f t="shared" si="75"/>
        <v>MCSFIN2CPF - Desp. Financeiras - Juros / Tarifas</v>
      </c>
      <c r="O844" s="44" t="str">
        <f t="shared" si="76"/>
        <v>FIN2CPF - Desp. Financeiras - Juros / Tarifas</v>
      </c>
      <c r="P844" s="44" t="str">
        <f t="shared" si="77"/>
        <v>MCSFIN2CPF - Desp. Financeiras - Juros / Tarifas</v>
      </c>
      <c r="Q844" s="44" t="str">
        <f t="shared" si="78"/>
        <v>MCSFIN2</v>
      </c>
      <c r="R844" s="44" t="str">
        <f t="shared" si="79"/>
        <v>MCSFIN2</v>
      </c>
      <c r="S844" s="38"/>
      <c r="T844" s="45">
        <f t="shared" si="80"/>
        <v>45992</v>
      </c>
      <c r="U844" s="24" t="str">
        <f t="shared" si="67"/>
        <v/>
      </c>
    </row>
    <row r="845" spans="2:21" s="46" customFormat="1" x14ac:dyDescent="0.25">
      <c r="B845" s="37" t="s">
        <v>25</v>
      </c>
      <c r="C845" s="38"/>
      <c r="D845" s="39" t="str">
        <f>INDEX(Cad_Natureza!$B$3:$C$52,MATCH('2025'!F845,Cad_Natureza!$C$3:$C$52,0),MATCH('2025'!D$2,Cad_Natureza!$B$3:$C$3,0))</f>
        <v>PENS2</v>
      </c>
      <c r="E845" s="40" t="s">
        <v>1028</v>
      </c>
      <c r="F845" s="41" t="s">
        <v>715</v>
      </c>
      <c r="G845" s="39" t="s">
        <v>25</v>
      </c>
      <c r="H845" s="42">
        <v>45999</v>
      </c>
      <c r="I845" s="42"/>
      <c r="J845" s="78" t="s">
        <v>952</v>
      </c>
      <c r="K845" s="62">
        <v>-1050.29</v>
      </c>
      <c r="L845" s="19">
        <f t="shared" si="96"/>
        <v>1892.079999999999</v>
      </c>
      <c r="M845" s="38"/>
      <c r="N845" s="44" t="str">
        <f t="shared" si="75"/>
        <v>MCSPENS2CPF - Pensão - Energia</v>
      </c>
      <c r="O845" s="44" t="str">
        <f t="shared" si="76"/>
        <v>PENS2CPF - Pensão - Energia</v>
      </c>
      <c r="P845" s="44" t="str">
        <f t="shared" si="77"/>
        <v>MCSPENS2CPF - Pensão - Energia</v>
      </c>
      <c r="Q845" s="44" t="str">
        <f t="shared" si="78"/>
        <v>MCSPENS2</v>
      </c>
      <c r="R845" s="44" t="str">
        <f t="shared" si="79"/>
        <v>MCSPENS2</v>
      </c>
      <c r="S845" s="38"/>
      <c r="T845" s="45">
        <f t="shared" si="80"/>
        <v>45992</v>
      </c>
      <c r="U845" s="24" t="str">
        <f t="shared" si="67"/>
        <v/>
      </c>
    </row>
    <row r="846" spans="2:21" s="46" customFormat="1" x14ac:dyDescent="0.25">
      <c r="B846" s="37" t="s">
        <v>25</v>
      </c>
      <c r="C846" s="38"/>
      <c r="D846" s="86" t="str">
        <f>INDEX(Cad_Natureza!$B$3:$C$52,MATCH('2025'!F846,Cad_Natureza!$C$3:$C$52,0),MATCH('2025'!D$2,Cad_Natureza!$B$3:$C$3,0))</f>
        <v>PENS5</v>
      </c>
      <c r="E846" s="84" t="s">
        <v>1029</v>
      </c>
      <c r="F846" s="85" t="s">
        <v>716</v>
      </c>
      <c r="G846" s="39" t="s">
        <v>25</v>
      </c>
      <c r="H846" s="42">
        <v>45999</v>
      </c>
      <c r="I846" s="42"/>
      <c r="J846" s="78" t="s">
        <v>1113</v>
      </c>
      <c r="K846" s="62">
        <v>-195.49</v>
      </c>
      <c r="L846" s="19">
        <f t="shared" si="96"/>
        <v>1696.589999999999</v>
      </c>
      <c r="M846" s="38"/>
      <c r="N846" s="44" t="str">
        <f t="shared" si="75"/>
        <v>MCSPENS5CPF - Pensão - Água</v>
      </c>
      <c r="O846" s="44" t="str">
        <f t="shared" si="76"/>
        <v>PENS5CPF - Pensão - Água</v>
      </c>
      <c r="P846" s="44" t="str">
        <f t="shared" si="77"/>
        <v>MCSPENS5CPF - Pensão - Água</v>
      </c>
      <c r="Q846" s="44" t="str">
        <f t="shared" si="78"/>
        <v>MCSPENS5</v>
      </c>
      <c r="R846" s="44" t="str">
        <f t="shared" si="79"/>
        <v>MCSPENS5</v>
      </c>
      <c r="S846" s="38"/>
      <c r="T846" s="45">
        <f t="shared" si="80"/>
        <v>45992</v>
      </c>
      <c r="U846" s="24" t="str">
        <f t="shared" si="67"/>
        <v/>
      </c>
    </row>
    <row r="847" spans="2:21" s="46" customFormat="1" x14ac:dyDescent="0.25">
      <c r="B847" s="37" t="s">
        <v>25</v>
      </c>
      <c r="C847" s="38"/>
      <c r="D847" s="39" t="str">
        <f>INDEX(Cad_Natureza!$B$3:$C$52,MATCH('2025'!F847,Cad_Natureza!$C$3:$C$52,0),MATCH('2025'!D$2,Cad_Natureza!$B$3:$C$3,0))</f>
        <v>GAST1</v>
      </c>
      <c r="E847" s="40" t="s">
        <v>1030</v>
      </c>
      <c r="F847" s="85" t="s">
        <v>742</v>
      </c>
      <c r="G847" s="39" t="s">
        <v>25</v>
      </c>
      <c r="H847" s="42">
        <v>45999</v>
      </c>
      <c r="I847" s="42"/>
      <c r="J847" s="79" t="s">
        <v>561</v>
      </c>
      <c r="K847" s="19">
        <v>-20</v>
      </c>
      <c r="L847" s="19">
        <f t="shared" si="96"/>
        <v>1676.589999999999</v>
      </c>
      <c r="M847" s="38"/>
      <c r="N847" s="44" t="str">
        <f t="shared" si="75"/>
        <v>MCSGAST1CPF - Desp. Lazer e Entretenimento - Bares</v>
      </c>
      <c r="O847" s="44" t="str">
        <f t="shared" si="76"/>
        <v>GAST1CPF - Desp. Lazer e Entretenimento - Bares</v>
      </c>
      <c r="P847" s="44" t="str">
        <f t="shared" si="77"/>
        <v>MCSGAST1CPF - Desp. Lazer e Entretenimento - Bares</v>
      </c>
      <c r="Q847" s="44" t="str">
        <f t="shared" si="78"/>
        <v>MCSGAST1</v>
      </c>
      <c r="R847" s="44" t="str">
        <f t="shared" si="79"/>
        <v>MCSGAST1</v>
      </c>
      <c r="S847" s="38"/>
      <c r="T847" s="45">
        <f t="shared" si="80"/>
        <v>45992</v>
      </c>
      <c r="U847" s="24" t="str">
        <f t="shared" si="67"/>
        <v/>
      </c>
    </row>
    <row r="848" spans="2:21" s="46" customFormat="1" x14ac:dyDescent="0.25">
      <c r="B848" s="37" t="s">
        <v>25</v>
      </c>
      <c r="C848" s="38"/>
      <c r="D848" s="39" t="str">
        <f>INDEX(Cad_Natureza!$B$3:$C$52,MATCH('2025'!F848,Cad_Natureza!$C$3:$C$52,0),MATCH('2025'!D$2,Cad_Natureza!$B$3:$C$3,0))</f>
        <v>GAST1</v>
      </c>
      <c r="E848" s="40" t="s">
        <v>1031</v>
      </c>
      <c r="F848" s="85" t="s">
        <v>742</v>
      </c>
      <c r="G848" s="39" t="s">
        <v>25</v>
      </c>
      <c r="H848" s="42">
        <v>45999</v>
      </c>
      <c r="I848" s="42"/>
      <c r="J848" s="79" t="s">
        <v>561</v>
      </c>
      <c r="K848" s="19">
        <v>-39.9</v>
      </c>
      <c r="L848" s="19">
        <f t="shared" si="96"/>
        <v>1636.6899999999989</v>
      </c>
      <c r="M848" s="38"/>
      <c r="N848" s="44" t="str">
        <f t="shared" si="75"/>
        <v>MCSGAST1CPF - Desp. Lazer e Entretenimento - Bares</v>
      </c>
      <c r="O848" s="44" t="str">
        <f t="shared" si="76"/>
        <v>GAST1CPF - Desp. Lazer e Entretenimento - Bares</v>
      </c>
      <c r="P848" s="44" t="str">
        <f t="shared" si="77"/>
        <v>MCSGAST1CPF - Desp. Lazer e Entretenimento - Bares</v>
      </c>
      <c r="Q848" s="44" t="str">
        <f t="shared" si="78"/>
        <v>MCSGAST1</v>
      </c>
      <c r="R848" s="44" t="str">
        <f t="shared" si="79"/>
        <v>MCSGAST1</v>
      </c>
      <c r="S848" s="38"/>
      <c r="T848" s="45">
        <f t="shared" si="80"/>
        <v>45992</v>
      </c>
      <c r="U848" s="24" t="str">
        <f t="shared" si="67"/>
        <v/>
      </c>
    </row>
    <row r="849" spans="2:21" s="46" customFormat="1" x14ac:dyDescent="0.25">
      <c r="B849" s="37" t="s">
        <v>25</v>
      </c>
      <c r="C849" s="38"/>
      <c r="D849" s="39" t="str">
        <f>INDEX(Cad_Natureza!$B$3:$C$52,MATCH('2025'!F849,Cad_Natureza!$C$3:$C$52,0),MATCH('2025'!D$2,Cad_Natureza!$B$3:$C$3,0))</f>
        <v>GAST1</v>
      </c>
      <c r="E849" s="40" t="s">
        <v>1032</v>
      </c>
      <c r="F849" s="85" t="s">
        <v>742</v>
      </c>
      <c r="G849" s="39" t="s">
        <v>25</v>
      </c>
      <c r="H849" s="42">
        <v>45999</v>
      </c>
      <c r="I849" s="42"/>
      <c r="J849" s="79" t="s">
        <v>561</v>
      </c>
      <c r="K849" s="19">
        <v>-40</v>
      </c>
      <c r="L849" s="19">
        <f t="shared" si="96"/>
        <v>1596.6899999999989</v>
      </c>
      <c r="M849" s="38"/>
      <c r="N849" s="44" t="str">
        <f t="shared" si="75"/>
        <v>MCSGAST1CPF - Desp. Lazer e Entretenimento - Bares</v>
      </c>
      <c r="O849" s="44" t="str">
        <f t="shared" si="76"/>
        <v>GAST1CPF - Desp. Lazer e Entretenimento - Bares</v>
      </c>
      <c r="P849" s="44" t="str">
        <f t="shared" si="77"/>
        <v>MCSGAST1CPF - Desp. Lazer e Entretenimento - Bares</v>
      </c>
      <c r="Q849" s="44" t="str">
        <f t="shared" si="78"/>
        <v>MCSGAST1</v>
      </c>
      <c r="R849" s="44" t="str">
        <f t="shared" si="79"/>
        <v>MCSGAST1</v>
      </c>
      <c r="S849" s="38"/>
      <c r="T849" s="45">
        <f t="shared" si="80"/>
        <v>45992</v>
      </c>
      <c r="U849" s="24" t="str">
        <f t="shared" si="67"/>
        <v/>
      </c>
    </row>
    <row r="850" spans="2:21" s="46" customFormat="1" x14ac:dyDescent="0.25">
      <c r="B850" s="37" t="s">
        <v>25</v>
      </c>
      <c r="C850" s="38"/>
      <c r="D850" s="39" t="str">
        <f>INDEX(Cad_Natureza!$B$3:$C$52,MATCH('2025'!F850,Cad_Natureza!$C$3:$C$52,0),MATCH('2025'!D$2,Cad_Natureza!$B$3:$C$3,0))</f>
        <v>GAST1</v>
      </c>
      <c r="E850" s="40" t="s">
        <v>1033</v>
      </c>
      <c r="F850" s="85" t="s">
        <v>742</v>
      </c>
      <c r="G850" s="39" t="s">
        <v>25</v>
      </c>
      <c r="H850" s="42">
        <v>45999</v>
      </c>
      <c r="I850" s="42"/>
      <c r="J850" s="79" t="s">
        <v>185</v>
      </c>
      <c r="K850" s="19">
        <v>-15</v>
      </c>
      <c r="L850" s="19">
        <f t="shared" si="96"/>
        <v>1581.6899999999989</v>
      </c>
      <c r="M850" s="38"/>
      <c r="N850" s="44" t="str">
        <f t="shared" si="75"/>
        <v>MCSGAST1CPF - Desp. Lazer e Entretenimento - Bares</v>
      </c>
      <c r="O850" s="44" t="str">
        <f t="shared" si="76"/>
        <v>GAST1CPF - Desp. Lazer e Entretenimento - Bares</v>
      </c>
      <c r="P850" s="44" t="str">
        <f t="shared" si="77"/>
        <v>MCSGAST1CPF - Desp. Lazer e Entretenimento - Bares</v>
      </c>
      <c r="Q850" s="44" t="str">
        <f t="shared" si="78"/>
        <v>MCSGAST1</v>
      </c>
      <c r="R850" s="44" t="str">
        <f t="shared" si="79"/>
        <v>MCSGAST1</v>
      </c>
      <c r="S850" s="38"/>
      <c r="T850" s="45">
        <f t="shared" si="80"/>
        <v>45992</v>
      </c>
      <c r="U850" s="24" t="str">
        <f t="shared" si="67"/>
        <v/>
      </c>
    </row>
    <row r="851" spans="2:21" s="46" customFormat="1" x14ac:dyDescent="0.25">
      <c r="B851" s="37" t="s">
        <v>25</v>
      </c>
      <c r="C851" s="38"/>
      <c r="D851" s="39" t="str">
        <f>INDEX(Cad_Natureza!$B$3:$C$52,MATCH('2025'!F851,Cad_Natureza!$C$3:$C$52,0),MATCH('2025'!D$2,Cad_Natureza!$B$3:$C$3,0))</f>
        <v>GAST1</v>
      </c>
      <c r="E851" s="40" t="s">
        <v>1033</v>
      </c>
      <c r="F851" s="85" t="s">
        <v>742</v>
      </c>
      <c r="G851" s="39" t="s">
        <v>25</v>
      </c>
      <c r="H851" s="42">
        <v>45999</v>
      </c>
      <c r="I851" s="42"/>
      <c r="J851" s="79" t="s">
        <v>185</v>
      </c>
      <c r="K851" s="19">
        <v>-10</v>
      </c>
      <c r="L851" s="19">
        <f t="shared" si="96"/>
        <v>1571.6899999999989</v>
      </c>
      <c r="M851" s="38"/>
      <c r="N851" s="44" t="str">
        <f t="shared" si="75"/>
        <v>MCSGAST1CPF - Desp. Lazer e Entretenimento - Bares</v>
      </c>
      <c r="O851" s="44" t="str">
        <f t="shared" si="76"/>
        <v>GAST1CPF - Desp. Lazer e Entretenimento - Bares</v>
      </c>
      <c r="P851" s="44" t="str">
        <f t="shared" si="77"/>
        <v>MCSGAST1CPF - Desp. Lazer e Entretenimento - Bares</v>
      </c>
      <c r="Q851" s="44" t="str">
        <f t="shared" si="78"/>
        <v>MCSGAST1</v>
      </c>
      <c r="R851" s="44" t="str">
        <f t="shared" si="79"/>
        <v>MCSGAST1</v>
      </c>
      <c r="S851" s="38"/>
      <c r="T851" s="45">
        <f t="shared" si="80"/>
        <v>45992</v>
      </c>
      <c r="U851" s="24" t="str">
        <f t="shared" si="67"/>
        <v/>
      </c>
    </row>
    <row r="852" spans="2:21" s="46" customFormat="1" x14ac:dyDescent="0.25">
      <c r="B852" s="37" t="s">
        <v>25</v>
      </c>
      <c r="C852" s="38"/>
      <c r="D852" s="39" t="str">
        <f>INDEX(Cad_Natureza!$B$3:$C$52,MATCH('2025'!F852,Cad_Natureza!$C$3:$C$52,0),MATCH('2025'!D$2,Cad_Natureza!$B$3:$C$3,0))</f>
        <v>GAST1</v>
      </c>
      <c r="E852" s="40" t="s">
        <v>1034</v>
      </c>
      <c r="F852" s="85" t="s">
        <v>742</v>
      </c>
      <c r="G852" s="39" t="s">
        <v>25</v>
      </c>
      <c r="H852" s="42">
        <v>45999</v>
      </c>
      <c r="I852" s="42"/>
      <c r="J852" s="79" t="s">
        <v>185</v>
      </c>
      <c r="K852" s="19">
        <v>-18</v>
      </c>
      <c r="L852" s="19">
        <f t="shared" si="96"/>
        <v>1553.6899999999989</v>
      </c>
      <c r="M852" s="38"/>
      <c r="N852" s="44" t="str">
        <f t="shared" si="75"/>
        <v>MCSGAST1CPF - Desp. Lazer e Entretenimento - Bares</v>
      </c>
      <c r="O852" s="44" t="str">
        <f t="shared" si="76"/>
        <v>GAST1CPF - Desp. Lazer e Entretenimento - Bares</v>
      </c>
      <c r="P852" s="44" t="str">
        <f t="shared" si="77"/>
        <v>MCSGAST1CPF - Desp. Lazer e Entretenimento - Bares</v>
      </c>
      <c r="Q852" s="44" t="str">
        <f t="shared" si="78"/>
        <v>MCSGAST1</v>
      </c>
      <c r="R852" s="44" t="str">
        <f t="shared" si="79"/>
        <v>MCSGAST1</v>
      </c>
      <c r="S852" s="38"/>
      <c r="T852" s="45">
        <f t="shared" si="80"/>
        <v>45992</v>
      </c>
      <c r="U852" s="24" t="str">
        <f t="shared" si="67"/>
        <v/>
      </c>
    </row>
    <row r="853" spans="2:21" s="46" customFormat="1" x14ac:dyDescent="0.25">
      <c r="B853" s="37" t="s">
        <v>25</v>
      </c>
      <c r="C853" s="38"/>
      <c r="D853" s="39" t="str">
        <f>INDEX(Cad_Natureza!$B$3:$C$52,MATCH('2025'!F853,Cad_Natureza!$C$3:$C$52,0),MATCH('2025'!D$2,Cad_Natureza!$B$3:$C$3,0))</f>
        <v>GAST1</v>
      </c>
      <c r="E853" s="40" t="s">
        <v>1034</v>
      </c>
      <c r="F853" s="85" t="s">
        <v>742</v>
      </c>
      <c r="G853" s="39" t="s">
        <v>25</v>
      </c>
      <c r="H853" s="42">
        <v>45999</v>
      </c>
      <c r="I853" s="42"/>
      <c r="J853" s="79" t="s">
        <v>185</v>
      </c>
      <c r="K853" s="19">
        <v>-10</v>
      </c>
      <c r="L853" s="19">
        <f t="shared" si="96"/>
        <v>1543.6899999999989</v>
      </c>
      <c r="M853" s="38"/>
      <c r="N853" s="44" t="str">
        <f t="shared" si="75"/>
        <v>MCSGAST1CPF - Desp. Lazer e Entretenimento - Bares</v>
      </c>
      <c r="O853" s="44" t="str">
        <f t="shared" si="76"/>
        <v>GAST1CPF - Desp. Lazer e Entretenimento - Bares</v>
      </c>
      <c r="P853" s="44" t="str">
        <f t="shared" si="77"/>
        <v>MCSGAST1CPF - Desp. Lazer e Entretenimento - Bares</v>
      </c>
      <c r="Q853" s="44" t="str">
        <f t="shared" si="78"/>
        <v>MCSGAST1</v>
      </c>
      <c r="R853" s="44" t="str">
        <f t="shared" si="79"/>
        <v>MCSGAST1</v>
      </c>
      <c r="S853" s="38"/>
      <c r="T853" s="45">
        <f t="shared" si="80"/>
        <v>45992</v>
      </c>
      <c r="U853" s="24" t="str">
        <f t="shared" si="67"/>
        <v/>
      </c>
    </row>
    <row r="854" spans="2:21" s="46" customFormat="1" x14ac:dyDescent="0.25">
      <c r="B854" s="37" t="s">
        <v>25</v>
      </c>
      <c r="C854" s="38"/>
      <c r="D854" s="39" t="str">
        <f>INDEX(Cad_Natureza!$B$3:$C$52,MATCH('2025'!F854,Cad_Natureza!$C$3:$C$52,0),MATCH('2025'!D$2,Cad_Natureza!$B$3:$C$3,0))</f>
        <v>GAST1</v>
      </c>
      <c r="E854" s="40" t="s">
        <v>1034</v>
      </c>
      <c r="F854" s="85" t="s">
        <v>742</v>
      </c>
      <c r="G854" s="39" t="s">
        <v>25</v>
      </c>
      <c r="H854" s="42">
        <v>45999</v>
      </c>
      <c r="I854" s="42"/>
      <c r="J854" s="79" t="s">
        <v>185</v>
      </c>
      <c r="K854" s="19">
        <v>-18</v>
      </c>
      <c r="L854" s="19">
        <f t="shared" si="96"/>
        <v>1525.6899999999989</v>
      </c>
      <c r="M854" s="38"/>
      <c r="N854" s="44" t="str">
        <f t="shared" si="75"/>
        <v>MCSGAST1CPF - Desp. Lazer e Entretenimento - Bares</v>
      </c>
      <c r="O854" s="44" t="str">
        <f t="shared" si="76"/>
        <v>GAST1CPF - Desp. Lazer e Entretenimento - Bares</v>
      </c>
      <c r="P854" s="44" t="str">
        <f t="shared" si="77"/>
        <v>MCSGAST1CPF - Desp. Lazer e Entretenimento - Bares</v>
      </c>
      <c r="Q854" s="44" t="str">
        <f t="shared" si="78"/>
        <v>MCSGAST1</v>
      </c>
      <c r="R854" s="44" t="str">
        <f t="shared" si="79"/>
        <v>MCSGAST1</v>
      </c>
      <c r="S854" s="38"/>
      <c r="T854" s="45">
        <f t="shared" si="80"/>
        <v>45992</v>
      </c>
      <c r="U854" s="24" t="str">
        <f t="shared" si="67"/>
        <v/>
      </c>
    </row>
    <row r="855" spans="2:21" s="46" customFormat="1" x14ac:dyDescent="0.25">
      <c r="B855" s="37" t="s">
        <v>25</v>
      </c>
      <c r="C855" s="38"/>
      <c r="D855" s="39" t="str">
        <f>INDEX(Cad_Natureza!$B$3:$C$52,MATCH('2025'!F855,Cad_Natureza!$C$3:$C$52,0),MATCH('2025'!D$2,Cad_Natureza!$B$3:$C$3,0))</f>
        <v>OUG1</v>
      </c>
      <c r="E855" s="40" t="s">
        <v>1035</v>
      </c>
      <c r="F855" s="41" t="s">
        <v>748</v>
      </c>
      <c r="G855" s="39" t="s">
        <v>25</v>
      </c>
      <c r="H855" s="42">
        <v>45999</v>
      </c>
      <c r="I855" s="42"/>
      <c r="J855" s="43" t="s">
        <v>1114</v>
      </c>
      <c r="K855" s="19">
        <v>-358.97</v>
      </c>
      <c r="L855" s="19">
        <f t="shared" si="96"/>
        <v>1166.7199999999989</v>
      </c>
      <c r="M855" s="38"/>
      <c r="N855" s="44" t="str">
        <f t="shared" si="75"/>
        <v>MCSOUG1CPF - Outros gastos</v>
      </c>
      <c r="O855" s="44" t="str">
        <f t="shared" si="76"/>
        <v>OUG1CPF - Outros gastos</v>
      </c>
      <c r="P855" s="44" t="str">
        <f t="shared" si="77"/>
        <v>MCSOUG1CPF - Outros gastos</v>
      </c>
      <c r="Q855" s="44" t="str">
        <f t="shared" si="78"/>
        <v>MCSOUG1</v>
      </c>
      <c r="R855" s="44" t="str">
        <f t="shared" si="79"/>
        <v>MCSOUG1</v>
      </c>
      <c r="S855" s="38"/>
      <c r="T855" s="45">
        <f t="shared" si="80"/>
        <v>45992</v>
      </c>
      <c r="U855" s="24" t="str">
        <f t="shared" si="67"/>
        <v/>
      </c>
    </row>
    <row r="856" spans="2:21" s="46" customFormat="1" x14ac:dyDescent="0.25">
      <c r="B856" s="37" t="s">
        <v>25</v>
      </c>
      <c r="C856" s="38"/>
      <c r="D856" s="39" t="str">
        <f>INDEX(Cad_Natureza!$B$3:$C$52,MATCH('2025'!F856,Cad_Natureza!$C$3:$C$52,0),MATCH('2025'!D$2,Cad_Natureza!$B$3:$C$3,0))</f>
        <v>GAST1</v>
      </c>
      <c r="E856" s="40" t="s">
        <v>1036</v>
      </c>
      <c r="F856" s="85" t="s">
        <v>742</v>
      </c>
      <c r="G856" s="39" t="s">
        <v>25</v>
      </c>
      <c r="H856" s="42">
        <v>45999</v>
      </c>
      <c r="I856" s="42"/>
      <c r="J856" s="79" t="s">
        <v>185</v>
      </c>
      <c r="K856" s="19">
        <v>-4</v>
      </c>
      <c r="L856" s="19">
        <f t="shared" si="96"/>
        <v>1162.7199999999989</v>
      </c>
      <c r="M856" s="38"/>
      <c r="N856" s="44" t="str">
        <f t="shared" si="75"/>
        <v>MCSGAST1CPF - Desp. Lazer e Entretenimento - Bares</v>
      </c>
      <c r="O856" s="44" t="str">
        <f t="shared" si="76"/>
        <v>GAST1CPF - Desp. Lazer e Entretenimento - Bares</v>
      </c>
      <c r="P856" s="44" t="str">
        <f t="shared" si="77"/>
        <v>MCSGAST1CPF - Desp. Lazer e Entretenimento - Bares</v>
      </c>
      <c r="Q856" s="44" t="str">
        <f t="shared" si="78"/>
        <v>MCSGAST1</v>
      </c>
      <c r="R856" s="44" t="str">
        <f t="shared" si="79"/>
        <v>MCSGAST1</v>
      </c>
      <c r="S856" s="38"/>
      <c r="T856" s="45">
        <f t="shared" si="80"/>
        <v>45992</v>
      </c>
      <c r="U856" s="24" t="str">
        <f t="shared" si="67"/>
        <v/>
      </c>
    </row>
    <row r="857" spans="2:21" s="46" customFormat="1" x14ac:dyDescent="0.25">
      <c r="B857" s="37" t="s">
        <v>25</v>
      </c>
      <c r="C857" s="38"/>
      <c r="D857" s="39" t="str">
        <f>INDEX(Cad_Natureza!$B$3:$C$52,MATCH('2025'!F857,Cad_Natureza!$C$3:$C$52,0),MATCH('2025'!D$2,Cad_Natureza!$B$3:$C$3,0))</f>
        <v>GAST1</v>
      </c>
      <c r="E857" s="40" t="s">
        <v>1037</v>
      </c>
      <c r="F857" s="85" t="s">
        <v>742</v>
      </c>
      <c r="G857" s="39" t="s">
        <v>25</v>
      </c>
      <c r="H857" s="42">
        <v>45999</v>
      </c>
      <c r="I857" s="42"/>
      <c r="J857" s="79" t="s">
        <v>185</v>
      </c>
      <c r="K857" s="19">
        <v>-10</v>
      </c>
      <c r="L857" s="19">
        <f t="shared" si="96"/>
        <v>1152.7199999999989</v>
      </c>
      <c r="M857" s="38"/>
      <c r="N857" s="44" t="str">
        <f t="shared" si="75"/>
        <v>MCSGAST1CPF - Desp. Lazer e Entretenimento - Bares</v>
      </c>
      <c r="O857" s="44" t="str">
        <f t="shared" si="76"/>
        <v>GAST1CPF - Desp. Lazer e Entretenimento - Bares</v>
      </c>
      <c r="P857" s="44" t="str">
        <f t="shared" si="77"/>
        <v>MCSGAST1CPF - Desp. Lazer e Entretenimento - Bares</v>
      </c>
      <c r="Q857" s="44" t="str">
        <f t="shared" si="78"/>
        <v>MCSGAST1</v>
      </c>
      <c r="R857" s="44" t="str">
        <f t="shared" si="79"/>
        <v>MCSGAST1</v>
      </c>
      <c r="S857" s="38"/>
      <c r="T857" s="45">
        <f t="shared" si="80"/>
        <v>45992</v>
      </c>
      <c r="U857" s="24" t="str">
        <f t="shared" si="67"/>
        <v/>
      </c>
    </row>
    <row r="858" spans="2:21" s="46" customFormat="1" x14ac:dyDescent="0.25">
      <c r="B858" s="37" t="s">
        <v>25</v>
      </c>
      <c r="C858" s="38"/>
      <c r="D858" s="39" t="str">
        <f>INDEX(Cad_Natureza!$B$3:$C$52,MATCH('2025'!F858,Cad_Natureza!$C$3:$C$52,0),MATCH('2025'!D$2,Cad_Natureza!$B$3:$C$3,0))</f>
        <v>OPF1</v>
      </c>
      <c r="E858" s="40" t="s">
        <v>1038</v>
      </c>
      <c r="F858" s="41" t="s">
        <v>744</v>
      </c>
      <c r="G858" s="39" t="s">
        <v>25</v>
      </c>
      <c r="H858" s="42">
        <v>45999</v>
      </c>
      <c r="I858" s="42"/>
      <c r="J858" s="79" t="s">
        <v>182</v>
      </c>
      <c r="K858" s="19">
        <v>-20</v>
      </c>
      <c r="L858" s="19">
        <f t="shared" si="96"/>
        <v>1132.7199999999989</v>
      </c>
      <c r="M858" s="38"/>
      <c r="N858" s="44" t="str">
        <f t="shared" si="75"/>
        <v>MCSOPF1CPF - Desp. Alimentação / Refeição</v>
      </c>
      <c r="O858" s="44" t="str">
        <f t="shared" si="76"/>
        <v>OPF1CPF - Desp. Alimentação / Refeição</v>
      </c>
      <c r="P858" s="44" t="str">
        <f t="shared" si="77"/>
        <v>MCSOPF1CPF - Desp. Alimentação / Refeição</v>
      </c>
      <c r="Q858" s="44" t="str">
        <f t="shared" si="78"/>
        <v>MCSOPF1</v>
      </c>
      <c r="R858" s="44" t="str">
        <f t="shared" si="79"/>
        <v>MCSOPF1</v>
      </c>
      <c r="S858" s="38"/>
      <c r="T858" s="45">
        <f t="shared" si="80"/>
        <v>45992</v>
      </c>
      <c r="U858" s="24" t="str">
        <f t="shared" si="67"/>
        <v/>
      </c>
    </row>
    <row r="859" spans="2:21" s="46" customFormat="1" x14ac:dyDescent="0.25">
      <c r="B859" s="37" t="s">
        <v>25</v>
      </c>
      <c r="C859" s="38"/>
      <c r="D859" s="39" t="str">
        <f>INDEX(Cad_Natureza!$B$3:$C$52,MATCH('2025'!F859,Cad_Natureza!$C$3:$C$52,0),MATCH('2025'!D$2,Cad_Natureza!$B$3:$C$3,0))</f>
        <v>OUG1</v>
      </c>
      <c r="E859" s="40" t="s">
        <v>1039</v>
      </c>
      <c r="F859" s="41" t="s">
        <v>748</v>
      </c>
      <c r="G859" s="39" t="s">
        <v>25</v>
      </c>
      <c r="H859" s="42">
        <v>45999</v>
      </c>
      <c r="I859" s="42"/>
      <c r="J859" s="43" t="s">
        <v>1115</v>
      </c>
      <c r="K859" s="19">
        <v>-34.14</v>
      </c>
      <c r="L859" s="19">
        <f t="shared" si="96"/>
        <v>1098.5799999999988</v>
      </c>
      <c r="M859" s="38"/>
      <c r="N859" s="44" t="str">
        <f t="shared" si="75"/>
        <v>MCSOUG1CPF - Outros gastos</v>
      </c>
      <c r="O859" s="44" t="str">
        <f t="shared" si="76"/>
        <v>OUG1CPF - Outros gastos</v>
      </c>
      <c r="P859" s="44" t="str">
        <f t="shared" si="77"/>
        <v>MCSOUG1CPF - Outros gastos</v>
      </c>
      <c r="Q859" s="44" t="str">
        <f t="shared" si="78"/>
        <v>MCSOUG1</v>
      </c>
      <c r="R859" s="44" t="str">
        <f t="shared" si="79"/>
        <v>MCSOUG1</v>
      </c>
      <c r="S859" s="38"/>
      <c r="T859" s="45">
        <f t="shared" si="80"/>
        <v>45992</v>
      </c>
      <c r="U859" s="24" t="str">
        <f t="shared" si="67"/>
        <v/>
      </c>
    </row>
    <row r="860" spans="2:21" s="46" customFormat="1" x14ac:dyDescent="0.25">
      <c r="B860" s="37" t="s">
        <v>25</v>
      </c>
      <c r="C860" s="38"/>
      <c r="D860" s="39" t="str">
        <f>INDEX(Cad_Natureza!$B$3:$C$52,MATCH('2025'!F860,Cad_Natureza!$C$3:$C$52,0),MATCH('2025'!D$2,Cad_Natureza!$B$3:$C$3,0))</f>
        <v>OPF2</v>
      </c>
      <c r="E860" s="40" t="s">
        <v>1040</v>
      </c>
      <c r="F860" s="85" t="s">
        <v>741</v>
      </c>
      <c r="G860" s="39" t="s">
        <v>25</v>
      </c>
      <c r="H860" s="42">
        <v>45999</v>
      </c>
      <c r="I860" s="42"/>
      <c r="J860" s="79" t="s">
        <v>674</v>
      </c>
      <c r="K860" s="19">
        <v>-50</v>
      </c>
      <c r="L860" s="19">
        <f t="shared" si="96"/>
        <v>1048.5799999999988</v>
      </c>
      <c r="M860" s="38"/>
      <c r="N860" s="44" t="str">
        <f t="shared" si="75"/>
        <v>MCSOPF2CPF - Desp. Transporte / Combustível</v>
      </c>
      <c r="O860" s="44" t="str">
        <f t="shared" si="76"/>
        <v>OPF2CPF - Desp. Transporte / Combustível</v>
      </c>
      <c r="P860" s="44" t="str">
        <f t="shared" si="77"/>
        <v>MCSOPF2CPF - Desp. Transporte / Combustível</v>
      </c>
      <c r="Q860" s="44" t="str">
        <f t="shared" si="78"/>
        <v>MCSOPF2</v>
      </c>
      <c r="R860" s="44" t="str">
        <f t="shared" si="79"/>
        <v>MCSOPF2</v>
      </c>
      <c r="S860" s="38"/>
      <c r="T860" s="45">
        <f t="shared" si="80"/>
        <v>45992</v>
      </c>
      <c r="U860" s="24" t="str">
        <f t="shared" si="67"/>
        <v/>
      </c>
    </row>
    <row r="861" spans="2:21" s="46" customFormat="1" x14ac:dyDescent="0.25">
      <c r="B861" s="37" t="s">
        <v>25</v>
      </c>
      <c r="C861" s="38"/>
      <c r="D861" s="39" t="str">
        <f>INDEX(Cad_Natureza!$B$3:$C$52,MATCH('2025'!F861,Cad_Natureza!$C$3:$C$52,0),MATCH('2025'!D$2,Cad_Natureza!$B$3:$C$3,0))</f>
        <v>OUG1</v>
      </c>
      <c r="E861" s="40" t="s">
        <v>1041</v>
      </c>
      <c r="F861" s="41" t="s">
        <v>748</v>
      </c>
      <c r="G861" s="39" t="s">
        <v>25</v>
      </c>
      <c r="H861" s="42">
        <v>45999</v>
      </c>
      <c r="I861" s="42"/>
      <c r="J861" s="43" t="s">
        <v>1116</v>
      </c>
      <c r="K861" s="19">
        <v>-140</v>
      </c>
      <c r="L861" s="19">
        <f t="shared" si="96"/>
        <v>908.57999999999879</v>
      </c>
      <c r="M861" s="38"/>
      <c r="N861" s="44" t="str">
        <f t="shared" si="75"/>
        <v>MCSOUG1CPF - Outros gastos</v>
      </c>
      <c r="O861" s="44" t="str">
        <f t="shared" si="76"/>
        <v>OUG1CPF - Outros gastos</v>
      </c>
      <c r="P861" s="44" t="str">
        <f t="shared" si="77"/>
        <v>MCSOUG1CPF - Outros gastos</v>
      </c>
      <c r="Q861" s="44" t="str">
        <f t="shared" si="78"/>
        <v>MCSOUG1</v>
      </c>
      <c r="R861" s="44" t="str">
        <f t="shared" si="79"/>
        <v>MCSOUG1</v>
      </c>
      <c r="S861" s="38"/>
      <c r="T861" s="45">
        <f t="shared" si="80"/>
        <v>45992</v>
      </c>
      <c r="U861" s="24" t="str">
        <f t="shared" si="67"/>
        <v/>
      </c>
    </row>
    <row r="862" spans="2:21" s="46" customFormat="1" x14ac:dyDescent="0.25">
      <c r="B862" s="37" t="s">
        <v>25</v>
      </c>
      <c r="C862" s="38"/>
      <c r="D862" s="39" t="str">
        <f>INDEX(Cad_Natureza!$B$3:$C$52,MATCH('2025'!F862,Cad_Natureza!$C$3:$C$52,0),MATCH('2025'!D$2,Cad_Natureza!$B$3:$C$3,0))</f>
        <v>OUG1</v>
      </c>
      <c r="E862" s="40" t="s">
        <v>1042</v>
      </c>
      <c r="F862" s="41" t="s">
        <v>748</v>
      </c>
      <c r="G862" s="39" t="s">
        <v>25</v>
      </c>
      <c r="H862" s="42">
        <v>45999</v>
      </c>
      <c r="I862" s="42"/>
      <c r="J862" s="43" t="s">
        <v>1117</v>
      </c>
      <c r="K862" s="19">
        <v>-8.49</v>
      </c>
      <c r="L862" s="19">
        <f t="shared" si="96"/>
        <v>900.08999999999878</v>
      </c>
      <c r="M862" s="38"/>
      <c r="N862" s="44" t="str">
        <f t="shared" si="75"/>
        <v>MCSOUG1CPF - Outros gastos</v>
      </c>
      <c r="O862" s="44" t="str">
        <f t="shared" si="76"/>
        <v>OUG1CPF - Outros gastos</v>
      </c>
      <c r="P862" s="44" t="str">
        <f t="shared" si="77"/>
        <v>MCSOUG1CPF - Outros gastos</v>
      </c>
      <c r="Q862" s="44" t="str">
        <f t="shared" si="78"/>
        <v>MCSOUG1</v>
      </c>
      <c r="R862" s="44" t="str">
        <f t="shared" si="79"/>
        <v>MCSOUG1</v>
      </c>
      <c r="S862" s="38"/>
      <c r="T862" s="45">
        <f t="shared" si="80"/>
        <v>45992</v>
      </c>
      <c r="U862" s="24" t="str">
        <f t="shared" si="67"/>
        <v/>
      </c>
    </row>
    <row r="863" spans="2:21" s="46" customFormat="1" x14ac:dyDescent="0.25">
      <c r="B863" s="37" t="s">
        <v>25</v>
      </c>
      <c r="C863" s="38"/>
      <c r="D863" s="39" t="str">
        <f>INDEX(Cad_Natureza!$B$3:$C$52,MATCH('2025'!F863,Cad_Natureza!$C$3:$C$52,0),MATCH('2025'!D$2,Cad_Natureza!$B$3:$C$3,0))</f>
        <v>OPF1</v>
      </c>
      <c r="E863" s="40" t="s">
        <v>1043</v>
      </c>
      <c r="F863" s="41" t="s">
        <v>744</v>
      </c>
      <c r="G863" s="39" t="s">
        <v>25</v>
      </c>
      <c r="H863" s="42">
        <v>46000</v>
      </c>
      <c r="I863" s="42"/>
      <c r="J863" s="79" t="s">
        <v>182</v>
      </c>
      <c r="K863" s="19">
        <v>-20</v>
      </c>
      <c r="L863" s="19">
        <f t="shared" si="96"/>
        <v>880.08999999999878</v>
      </c>
      <c r="M863" s="38"/>
      <c r="N863" s="44" t="str">
        <f t="shared" si="75"/>
        <v>MCSOPF1CPF - Desp. Alimentação / Refeição</v>
      </c>
      <c r="O863" s="44" t="str">
        <f t="shared" si="76"/>
        <v>OPF1CPF - Desp. Alimentação / Refeição</v>
      </c>
      <c r="P863" s="44" t="str">
        <f t="shared" si="77"/>
        <v>MCSOPF1CPF - Desp. Alimentação / Refeição</v>
      </c>
      <c r="Q863" s="44" t="str">
        <f t="shared" si="78"/>
        <v>MCSOPF1</v>
      </c>
      <c r="R863" s="44" t="str">
        <f t="shared" si="79"/>
        <v>MCSOPF1</v>
      </c>
      <c r="S863" s="38"/>
      <c r="T863" s="45">
        <f t="shared" si="80"/>
        <v>45992</v>
      </c>
      <c r="U863" s="24" t="str">
        <f t="shared" si="67"/>
        <v/>
      </c>
    </row>
    <row r="864" spans="2:21" s="46" customFormat="1" x14ac:dyDescent="0.25">
      <c r="B864" s="37" t="s">
        <v>25</v>
      </c>
      <c r="C864" s="38"/>
      <c r="D864" s="39" t="str">
        <f>INDEX(Cad_Natureza!$B$3:$C$52,MATCH('2025'!F864,Cad_Natureza!$C$3:$C$52,0),MATCH('2025'!D$2,Cad_Natureza!$B$3:$C$3,0))</f>
        <v>GAST1</v>
      </c>
      <c r="E864" s="40" t="s">
        <v>1044</v>
      </c>
      <c r="F864" s="85" t="s">
        <v>742</v>
      </c>
      <c r="G864" s="39" t="s">
        <v>25</v>
      </c>
      <c r="H864" s="42">
        <v>46000</v>
      </c>
      <c r="I864" s="42"/>
      <c r="J864" s="79" t="s">
        <v>185</v>
      </c>
      <c r="K864" s="19">
        <v>-24</v>
      </c>
      <c r="L864" s="19">
        <f t="shared" si="96"/>
        <v>856.08999999999878</v>
      </c>
      <c r="M864" s="38"/>
      <c r="N864" s="44" t="str">
        <f t="shared" si="75"/>
        <v>MCSGAST1CPF - Desp. Lazer e Entretenimento - Bares</v>
      </c>
      <c r="O864" s="44" t="str">
        <f t="shared" si="76"/>
        <v>GAST1CPF - Desp. Lazer e Entretenimento - Bares</v>
      </c>
      <c r="P864" s="44" t="str">
        <f t="shared" si="77"/>
        <v>MCSGAST1CPF - Desp. Lazer e Entretenimento - Bares</v>
      </c>
      <c r="Q864" s="44" t="str">
        <f t="shared" si="78"/>
        <v>MCSGAST1</v>
      </c>
      <c r="R864" s="44" t="str">
        <f t="shared" si="79"/>
        <v>MCSGAST1</v>
      </c>
      <c r="S864" s="38"/>
      <c r="T864" s="45">
        <f t="shared" si="80"/>
        <v>45992</v>
      </c>
      <c r="U864" s="24" t="str">
        <f t="shared" si="67"/>
        <v/>
      </c>
    </row>
    <row r="865" spans="2:21" s="46" customFormat="1" x14ac:dyDescent="0.25">
      <c r="B865" s="37" t="s">
        <v>25</v>
      </c>
      <c r="C865" s="38"/>
      <c r="D865" s="39" t="str">
        <f>INDEX(Cad_Natureza!$B$3:$C$52,MATCH('2025'!F865,Cad_Natureza!$C$3:$C$52,0),MATCH('2025'!D$2,Cad_Natureza!$B$3:$C$3,0))</f>
        <v>FIN3</v>
      </c>
      <c r="E865" s="40" t="s">
        <v>1045</v>
      </c>
      <c r="F865" s="41" t="s">
        <v>939</v>
      </c>
      <c r="G865" s="39" t="s">
        <v>25</v>
      </c>
      <c r="H865" s="42">
        <v>46001</v>
      </c>
      <c r="I865" s="42"/>
      <c r="J865" s="79" t="s">
        <v>572</v>
      </c>
      <c r="K865" s="19">
        <v>-6.79</v>
      </c>
      <c r="L865" s="19">
        <f t="shared" si="96"/>
        <v>849.29999999999882</v>
      </c>
      <c r="M865" s="38"/>
      <c r="N865" s="44" t="str">
        <f t="shared" si="75"/>
        <v>MCSFIN3CPF - Desp. Financeiras - Empréstimos bancários</v>
      </c>
      <c r="O865" s="44" t="str">
        <f t="shared" si="76"/>
        <v>FIN3CPF - Desp. Financeiras - Empréstimos bancários</v>
      </c>
      <c r="P865" s="44" t="str">
        <f t="shared" si="77"/>
        <v>MCSFIN3CPF - Desp. Financeiras - Empréstimos bancários</v>
      </c>
      <c r="Q865" s="44" t="str">
        <f t="shared" si="78"/>
        <v>MCSFIN3</v>
      </c>
      <c r="R865" s="44" t="str">
        <f t="shared" si="79"/>
        <v>MCSFIN3</v>
      </c>
      <c r="S865" s="38"/>
      <c r="T865" s="45">
        <f t="shared" si="80"/>
        <v>45992</v>
      </c>
      <c r="U865" s="24" t="str">
        <f t="shared" si="67"/>
        <v/>
      </c>
    </row>
    <row r="866" spans="2:21" s="46" customFormat="1" x14ac:dyDescent="0.25">
      <c r="B866" s="37" t="s">
        <v>25</v>
      </c>
      <c r="C866" s="38"/>
      <c r="D866" s="39" t="str">
        <f>INDEX(Cad_Natureza!$B$3:$C$52,MATCH('2025'!F866,Cad_Natureza!$C$3:$C$52,0),MATCH('2025'!D$2,Cad_Natureza!$B$3:$C$3,0))</f>
        <v>FIN3</v>
      </c>
      <c r="E866" s="40" t="s">
        <v>1045</v>
      </c>
      <c r="F866" s="41" t="s">
        <v>939</v>
      </c>
      <c r="G866" s="39" t="s">
        <v>25</v>
      </c>
      <c r="H866" s="42">
        <v>46001</v>
      </c>
      <c r="I866" s="42"/>
      <c r="J866" s="79" t="s">
        <v>572</v>
      </c>
      <c r="K866" s="19">
        <v>-290.26</v>
      </c>
      <c r="L866" s="19">
        <f t="shared" si="96"/>
        <v>559.03999999999883</v>
      </c>
      <c r="M866" s="38"/>
      <c r="N866" s="44" t="str">
        <f t="shared" si="75"/>
        <v>MCSFIN3CPF - Desp. Financeiras - Empréstimos bancários</v>
      </c>
      <c r="O866" s="44" t="str">
        <f t="shared" si="76"/>
        <v>FIN3CPF - Desp. Financeiras - Empréstimos bancários</v>
      </c>
      <c r="P866" s="44" t="str">
        <f t="shared" si="77"/>
        <v>MCSFIN3CPF - Desp. Financeiras - Empréstimos bancários</v>
      </c>
      <c r="Q866" s="44" t="str">
        <f t="shared" si="78"/>
        <v>MCSFIN3</v>
      </c>
      <c r="R866" s="44" t="str">
        <f t="shared" si="79"/>
        <v>MCSFIN3</v>
      </c>
      <c r="S866" s="38"/>
      <c r="T866" s="45">
        <f t="shared" si="80"/>
        <v>45992</v>
      </c>
      <c r="U866" s="24" t="str">
        <f t="shared" si="67"/>
        <v/>
      </c>
    </row>
    <row r="867" spans="2:21" s="46" customFormat="1" x14ac:dyDescent="0.25">
      <c r="B867" s="37" t="s">
        <v>25</v>
      </c>
      <c r="C867" s="38"/>
      <c r="D867" s="39" t="str">
        <f>INDEX(Cad_Natureza!$B$3:$C$52,MATCH('2025'!F867,Cad_Natureza!$C$3:$C$52,0),MATCH('2025'!D$2,Cad_Natureza!$B$3:$C$3,0))</f>
        <v>GAST1</v>
      </c>
      <c r="E867" s="40" t="s">
        <v>1046</v>
      </c>
      <c r="F867" s="85" t="s">
        <v>742</v>
      </c>
      <c r="G867" s="39" t="s">
        <v>25</v>
      </c>
      <c r="H867" s="42">
        <v>46001</v>
      </c>
      <c r="I867" s="42"/>
      <c r="J867" s="79" t="s">
        <v>185</v>
      </c>
      <c r="K867" s="19">
        <v>-4.9000000000000004</v>
      </c>
      <c r="L867" s="19">
        <f t="shared" si="96"/>
        <v>554.13999999999885</v>
      </c>
      <c r="M867" s="38"/>
      <c r="N867" s="44" t="str">
        <f t="shared" si="75"/>
        <v>MCSGAST1CPF - Desp. Lazer e Entretenimento - Bares</v>
      </c>
      <c r="O867" s="44" t="str">
        <f t="shared" si="76"/>
        <v>GAST1CPF - Desp. Lazer e Entretenimento - Bares</v>
      </c>
      <c r="P867" s="44" t="str">
        <f t="shared" si="77"/>
        <v>MCSGAST1CPF - Desp. Lazer e Entretenimento - Bares</v>
      </c>
      <c r="Q867" s="44" t="str">
        <f t="shared" si="78"/>
        <v>MCSGAST1</v>
      </c>
      <c r="R867" s="44" t="str">
        <f t="shared" si="79"/>
        <v>MCSGAST1</v>
      </c>
      <c r="S867" s="38"/>
      <c r="T867" s="45">
        <f t="shared" si="80"/>
        <v>45992</v>
      </c>
      <c r="U867" s="24" t="str">
        <f t="shared" si="67"/>
        <v/>
      </c>
    </row>
    <row r="868" spans="2:21" s="46" customFormat="1" x14ac:dyDescent="0.25">
      <c r="B868" s="37" t="s">
        <v>25</v>
      </c>
      <c r="C868" s="38"/>
      <c r="D868" s="39" t="str">
        <f>INDEX(Cad_Natureza!$B$3:$C$52,MATCH('2025'!F868,Cad_Natureza!$C$3:$C$52,0),MATCH('2025'!D$2,Cad_Natureza!$B$3:$C$3,0))</f>
        <v>OPF1</v>
      </c>
      <c r="E868" s="40" t="s">
        <v>1047</v>
      </c>
      <c r="F868" s="41" t="s">
        <v>744</v>
      </c>
      <c r="G868" s="39" t="s">
        <v>25</v>
      </c>
      <c r="H868" s="42">
        <v>46001</v>
      </c>
      <c r="I868" s="42"/>
      <c r="J868" s="79" t="s">
        <v>182</v>
      </c>
      <c r="K868" s="19">
        <v>-23.5</v>
      </c>
      <c r="L868" s="19">
        <f t="shared" si="96"/>
        <v>530.63999999999885</v>
      </c>
      <c r="M868" s="38"/>
      <c r="N868" s="44" t="str">
        <f t="shared" si="75"/>
        <v>MCSOPF1CPF - Desp. Alimentação / Refeição</v>
      </c>
      <c r="O868" s="44" t="str">
        <f t="shared" si="76"/>
        <v>OPF1CPF - Desp. Alimentação / Refeição</v>
      </c>
      <c r="P868" s="44" t="str">
        <f t="shared" si="77"/>
        <v>MCSOPF1CPF - Desp. Alimentação / Refeição</v>
      </c>
      <c r="Q868" s="44" t="str">
        <f t="shared" si="78"/>
        <v>MCSOPF1</v>
      </c>
      <c r="R868" s="44" t="str">
        <f t="shared" si="79"/>
        <v>MCSOPF1</v>
      </c>
      <c r="S868" s="38"/>
      <c r="T868" s="45">
        <f t="shared" si="80"/>
        <v>45992</v>
      </c>
      <c r="U868" s="24" t="str">
        <f t="shared" si="67"/>
        <v/>
      </c>
    </row>
    <row r="869" spans="2:21" s="46" customFormat="1" x14ac:dyDescent="0.25">
      <c r="B869" s="37" t="s">
        <v>25</v>
      </c>
      <c r="C869" s="38"/>
      <c r="D869" s="39" t="str">
        <f>INDEX(Cad_Natureza!$B$3:$C$52,MATCH('2025'!F869,Cad_Natureza!$C$3:$C$52,0),MATCH('2025'!D$2,Cad_Natureza!$B$3:$C$3,0))</f>
        <v>GAST1</v>
      </c>
      <c r="E869" s="40" t="s">
        <v>1048</v>
      </c>
      <c r="F869" s="85" t="s">
        <v>742</v>
      </c>
      <c r="G869" s="39" t="s">
        <v>25</v>
      </c>
      <c r="H869" s="42">
        <v>46001</v>
      </c>
      <c r="I869" s="42"/>
      <c r="J869" s="79" t="s">
        <v>561</v>
      </c>
      <c r="K869" s="19">
        <v>-65</v>
      </c>
      <c r="L869" s="19">
        <f t="shared" si="96"/>
        <v>465.63999999999885</v>
      </c>
      <c r="M869" s="38"/>
      <c r="N869" s="44" t="str">
        <f t="shared" si="75"/>
        <v>MCSGAST1CPF - Desp. Lazer e Entretenimento - Bares</v>
      </c>
      <c r="O869" s="44" t="str">
        <f t="shared" si="76"/>
        <v>GAST1CPF - Desp. Lazer e Entretenimento - Bares</v>
      </c>
      <c r="P869" s="44" t="str">
        <f t="shared" si="77"/>
        <v>MCSGAST1CPF - Desp. Lazer e Entretenimento - Bares</v>
      </c>
      <c r="Q869" s="44" t="str">
        <f t="shared" si="78"/>
        <v>MCSGAST1</v>
      </c>
      <c r="R869" s="44" t="str">
        <f t="shared" si="79"/>
        <v>MCSGAST1</v>
      </c>
      <c r="S869" s="38"/>
      <c r="T869" s="45">
        <f t="shared" si="80"/>
        <v>45992</v>
      </c>
      <c r="U869" s="24" t="str">
        <f t="shared" si="67"/>
        <v/>
      </c>
    </row>
    <row r="870" spans="2:21" s="46" customFormat="1" x14ac:dyDescent="0.25">
      <c r="B870" s="37" t="s">
        <v>25</v>
      </c>
      <c r="C870" s="38"/>
      <c r="D870" s="39" t="str">
        <f>INDEX(Cad_Natureza!$B$3:$C$52,MATCH('2025'!F870,Cad_Natureza!$C$3:$C$52,0),MATCH('2025'!D$2,Cad_Natureza!$B$3:$C$3,0))</f>
        <v>OPF2</v>
      </c>
      <c r="E870" s="40" t="s">
        <v>1049</v>
      </c>
      <c r="F870" s="85" t="s">
        <v>741</v>
      </c>
      <c r="G870" s="39" t="s">
        <v>25</v>
      </c>
      <c r="H870" s="42">
        <v>46001</v>
      </c>
      <c r="I870" s="42"/>
      <c r="J870" s="79" t="s">
        <v>674</v>
      </c>
      <c r="K870" s="19">
        <v>-50</v>
      </c>
      <c r="L870" s="19">
        <f t="shared" si="96"/>
        <v>415.63999999999885</v>
      </c>
      <c r="M870" s="38"/>
      <c r="N870" s="44" t="str">
        <f t="shared" si="75"/>
        <v>MCSOPF2CPF - Desp. Transporte / Combustível</v>
      </c>
      <c r="O870" s="44" t="str">
        <f t="shared" si="76"/>
        <v>OPF2CPF - Desp. Transporte / Combustível</v>
      </c>
      <c r="P870" s="44" t="str">
        <f t="shared" si="77"/>
        <v>MCSOPF2CPF - Desp. Transporte / Combustível</v>
      </c>
      <c r="Q870" s="44" t="str">
        <f t="shared" si="78"/>
        <v>MCSOPF2</v>
      </c>
      <c r="R870" s="44" t="str">
        <f t="shared" si="79"/>
        <v>MCSOPF2</v>
      </c>
      <c r="S870" s="38"/>
      <c r="T870" s="45">
        <f t="shared" si="80"/>
        <v>45992</v>
      </c>
      <c r="U870" s="24" t="str">
        <f t="shared" si="67"/>
        <v/>
      </c>
    </row>
    <row r="871" spans="2:21" s="46" customFormat="1" x14ac:dyDescent="0.25">
      <c r="B871" s="37" t="s">
        <v>25</v>
      </c>
      <c r="C871" s="38"/>
      <c r="D871" s="63" t="str">
        <f>INDEX(Cad_Natureza!$B$3:$C$52,MATCH('2025'!F871,Cad_Natureza!$C$3:$C$52,0),MATCH('2025'!D$2,Cad_Natureza!$B$3:$C$3,0))</f>
        <v>REC4</v>
      </c>
      <c r="E871" s="64" t="s">
        <v>1050</v>
      </c>
      <c r="F871" s="65" t="s">
        <v>734</v>
      </c>
      <c r="G871" s="63" t="s">
        <v>25</v>
      </c>
      <c r="H871" s="66">
        <v>46001</v>
      </c>
      <c r="I871" s="66"/>
      <c r="J871" s="67" t="s">
        <v>183</v>
      </c>
      <c r="K871" s="68">
        <v>2000</v>
      </c>
      <c r="L871" s="68">
        <f t="shared" si="96"/>
        <v>2415.639999999999</v>
      </c>
      <c r="M871" s="38"/>
      <c r="N871" s="44" t="str">
        <f t="shared" si="75"/>
        <v>MCSREC4CPF - Transf. Da conta PJ para a conta PF</v>
      </c>
      <c r="O871" s="44" t="str">
        <f t="shared" si="76"/>
        <v>REC4CPF - Transf. Da conta PJ para a conta PF</v>
      </c>
      <c r="P871" s="44" t="str">
        <f t="shared" si="77"/>
        <v>MCSREC4CPF - Transf. Da conta PJ para a conta PF</v>
      </c>
      <c r="Q871" s="44" t="str">
        <f t="shared" si="78"/>
        <v>MCSREC4</v>
      </c>
      <c r="R871" s="44" t="str">
        <f t="shared" si="79"/>
        <v>MCSREC4</v>
      </c>
      <c r="S871" s="38"/>
      <c r="T871" s="45">
        <f t="shared" si="80"/>
        <v>45992</v>
      </c>
      <c r="U871" s="24" t="str">
        <f t="shared" si="67"/>
        <v/>
      </c>
    </row>
    <row r="872" spans="2:21" s="46" customFormat="1" x14ac:dyDescent="0.25">
      <c r="B872" s="37" t="s">
        <v>25</v>
      </c>
      <c r="C872" s="38"/>
      <c r="D872" s="39" t="str">
        <f>INDEX(Cad_Natureza!$B$3:$C$52,MATCH('2025'!F872,Cad_Natureza!$C$3:$C$52,0),MATCH('2025'!D$2,Cad_Natureza!$B$3:$C$3,0))</f>
        <v>PENS3</v>
      </c>
      <c r="E872" s="40" t="s">
        <v>558</v>
      </c>
      <c r="F872" s="85" t="s">
        <v>746</v>
      </c>
      <c r="G872" s="39" t="s">
        <v>25</v>
      </c>
      <c r="H872" s="42">
        <v>46001</v>
      </c>
      <c r="I872" s="42"/>
      <c r="J872" s="78" t="s">
        <v>1118</v>
      </c>
      <c r="K872" s="19">
        <v>-508.3</v>
      </c>
      <c r="L872" s="19">
        <f t="shared" si="96"/>
        <v>1907.339999999999</v>
      </c>
      <c r="M872" s="38"/>
      <c r="N872" s="44" t="str">
        <f t="shared" si="75"/>
        <v>MCSPENS3CPF - Pensão - Plano de saúde</v>
      </c>
      <c r="O872" s="44" t="str">
        <f t="shared" si="76"/>
        <v>PENS3CPF - Pensão - Plano de saúde</v>
      </c>
      <c r="P872" s="44" t="str">
        <f t="shared" si="77"/>
        <v>MCSPENS3CPF - Pensão - Plano de saúde</v>
      </c>
      <c r="Q872" s="44" t="str">
        <f t="shared" si="78"/>
        <v>MCSPENS3</v>
      </c>
      <c r="R872" s="44" t="str">
        <f t="shared" si="79"/>
        <v>MCSPENS3</v>
      </c>
      <c r="S872" s="38"/>
      <c r="T872" s="45">
        <f t="shared" si="80"/>
        <v>45992</v>
      </c>
      <c r="U872" s="24" t="str">
        <f t="shared" si="67"/>
        <v/>
      </c>
    </row>
    <row r="873" spans="2:21" s="46" customFormat="1" x14ac:dyDescent="0.25">
      <c r="B873" s="37" t="s">
        <v>25</v>
      </c>
      <c r="C873" s="38"/>
      <c r="D873" s="39" t="str">
        <f>INDEX(Cad_Natureza!$B$3:$C$52,MATCH('2025'!F873,Cad_Natureza!$C$3:$C$52,0),MATCH('2025'!D$2,Cad_Natureza!$B$3:$C$3,0))</f>
        <v>PENS1</v>
      </c>
      <c r="E873" s="40" t="s">
        <v>1051</v>
      </c>
      <c r="F873" s="85" t="s">
        <v>717</v>
      </c>
      <c r="G873" s="39" t="s">
        <v>25</v>
      </c>
      <c r="H873" s="42">
        <v>46001</v>
      </c>
      <c r="I873" s="42"/>
      <c r="J873" s="78" t="s">
        <v>1119</v>
      </c>
      <c r="K873" s="19">
        <v>-700</v>
      </c>
      <c r="L873" s="19">
        <f t="shared" si="96"/>
        <v>1207.339999999999</v>
      </c>
      <c r="M873" s="38"/>
      <c r="N873" s="44" t="str">
        <f t="shared" si="75"/>
        <v>MCSPENS1CPF - Pensão - Aluguel</v>
      </c>
      <c r="O873" s="44" t="str">
        <f t="shared" si="76"/>
        <v>PENS1CPF - Pensão - Aluguel</v>
      </c>
      <c r="P873" s="44" t="str">
        <f t="shared" si="77"/>
        <v>MCSPENS1CPF - Pensão - Aluguel</v>
      </c>
      <c r="Q873" s="44" t="str">
        <f t="shared" si="78"/>
        <v>MCSPENS1</v>
      </c>
      <c r="R873" s="44" t="str">
        <f t="shared" si="79"/>
        <v>MCSPENS1</v>
      </c>
      <c r="S873" s="38"/>
      <c r="T873" s="45">
        <f t="shared" si="80"/>
        <v>45992</v>
      </c>
      <c r="U873" s="24" t="str">
        <f t="shared" si="67"/>
        <v/>
      </c>
    </row>
    <row r="874" spans="2:21" s="46" customFormat="1" x14ac:dyDescent="0.25">
      <c r="B874" s="37" t="s">
        <v>25</v>
      </c>
      <c r="C874" s="38"/>
      <c r="D874" s="39" t="str">
        <f>INDEX(Cad_Natureza!$B$3:$C$52,MATCH('2025'!F874,Cad_Natureza!$C$3:$C$52,0),MATCH('2025'!D$2,Cad_Natureza!$B$3:$C$3,0))</f>
        <v>OPF1</v>
      </c>
      <c r="E874" s="40" t="s">
        <v>1052</v>
      </c>
      <c r="F874" s="41" t="s">
        <v>744</v>
      </c>
      <c r="G874" s="39" t="s">
        <v>25</v>
      </c>
      <c r="H874" s="42">
        <v>46002</v>
      </c>
      <c r="I874" s="42"/>
      <c r="J874" s="79" t="s">
        <v>182</v>
      </c>
      <c r="K874" s="19">
        <v>-20</v>
      </c>
      <c r="L874" s="19">
        <f t="shared" si="96"/>
        <v>1187.339999999999</v>
      </c>
      <c r="M874" s="38"/>
      <c r="N874" s="44" t="str">
        <f t="shared" si="75"/>
        <v>MCSOPF1CPF - Desp. Alimentação / Refeição</v>
      </c>
      <c r="O874" s="44" t="str">
        <f t="shared" si="76"/>
        <v>OPF1CPF - Desp. Alimentação / Refeição</v>
      </c>
      <c r="P874" s="44" t="str">
        <f t="shared" si="77"/>
        <v>MCSOPF1CPF - Desp. Alimentação / Refeição</v>
      </c>
      <c r="Q874" s="44" t="str">
        <f t="shared" si="78"/>
        <v>MCSOPF1</v>
      </c>
      <c r="R874" s="44" t="str">
        <f t="shared" si="79"/>
        <v>MCSOPF1</v>
      </c>
      <c r="S874" s="38"/>
      <c r="T874" s="45">
        <f t="shared" si="80"/>
        <v>45992</v>
      </c>
      <c r="U874" s="24" t="str">
        <f t="shared" si="67"/>
        <v/>
      </c>
    </row>
    <row r="875" spans="2:21" s="46" customFormat="1" x14ac:dyDescent="0.25">
      <c r="B875" s="37" t="s">
        <v>25</v>
      </c>
      <c r="C875" s="38"/>
      <c r="D875" s="39" t="str">
        <f>INDEX(Cad_Natureza!$B$3:$C$52,MATCH('2025'!F875,Cad_Natureza!$C$3:$C$52,0),MATCH('2025'!D$2,Cad_Natureza!$B$3:$C$3,0))</f>
        <v>OPF1</v>
      </c>
      <c r="E875" s="40" t="s">
        <v>1052</v>
      </c>
      <c r="F875" s="41" t="s">
        <v>744</v>
      </c>
      <c r="G875" s="39" t="s">
        <v>25</v>
      </c>
      <c r="H875" s="42">
        <v>46002</v>
      </c>
      <c r="I875" s="42"/>
      <c r="J875" s="79" t="s">
        <v>182</v>
      </c>
      <c r="K875" s="19">
        <v>-4.5</v>
      </c>
      <c r="L875" s="19">
        <f t="shared" si="96"/>
        <v>1182.839999999999</v>
      </c>
      <c r="M875" s="38"/>
      <c r="N875" s="44" t="str">
        <f t="shared" si="75"/>
        <v>MCSOPF1CPF - Desp. Alimentação / Refeição</v>
      </c>
      <c r="O875" s="44" t="str">
        <f t="shared" si="76"/>
        <v>OPF1CPF - Desp. Alimentação / Refeição</v>
      </c>
      <c r="P875" s="44" t="str">
        <f t="shared" si="77"/>
        <v>MCSOPF1CPF - Desp. Alimentação / Refeição</v>
      </c>
      <c r="Q875" s="44" t="str">
        <f t="shared" si="78"/>
        <v>MCSOPF1</v>
      </c>
      <c r="R875" s="44" t="str">
        <f t="shared" si="79"/>
        <v>MCSOPF1</v>
      </c>
      <c r="S875" s="38"/>
      <c r="T875" s="45">
        <f t="shared" si="80"/>
        <v>45992</v>
      </c>
      <c r="U875" s="24" t="str">
        <f t="shared" si="67"/>
        <v/>
      </c>
    </row>
    <row r="876" spans="2:21" s="46" customFormat="1" x14ac:dyDescent="0.25">
      <c r="B876" s="37" t="s">
        <v>25</v>
      </c>
      <c r="C876" s="38"/>
      <c r="D876" s="39" t="str">
        <f>INDEX(Cad_Natureza!$B$3:$C$52,MATCH('2025'!F876,Cad_Natureza!$C$3:$C$52,0),MATCH('2025'!D$2,Cad_Natureza!$B$3:$C$3,0))</f>
        <v>OPF1</v>
      </c>
      <c r="E876" s="40" t="s">
        <v>1053</v>
      </c>
      <c r="F876" s="41" t="s">
        <v>744</v>
      </c>
      <c r="G876" s="39" t="s">
        <v>25</v>
      </c>
      <c r="H876" s="42">
        <v>46003</v>
      </c>
      <c r="I876" s="42"/>
      <c r="J876" s="79" t="s">
        <v>182</v>
      </c>
      <c r="K876" s="19">
        <v>-24.5</v>
      </c>
      <c r="L876" s="19">
        <f t="shared" si="96"/>
        <v>1158.339999999999</v>
      </c>
      <c r="M876" s="38"/>
      <c r="N876" s="44" t="str">
        <f t="shared" si="75"/>
        <v>MCSOPF1CPF - Desp. Alimentação / Refeição</v>
      </c>
      <c r="O876" s="44" t="str">
        <f t="shared" si="76"/>
        <v>OPF1CPF - Desp. Alimentação / Refeição</v>
      </c>
      <c r="P876" s="44" t="str">
        <f t="shared" si="77"/>
        <v>MCSOPF1CPF - Desp. Alimentação / Refeição</v>
      </c>
      <c r="Q876" s="44" t="str">
        <f t="shared" si="78"/>
        <v>MCSOPF1</v>
      </c>
      <c r="R876" s="44" t="str">
        <f t="shared" si="79"/>
        <v>MCSOPF1</v>
      </c>
      <c r="S876" s="38"/>
      <c r="T876" s="45">
        <f t="shared" si="80"/>
        <v>45992</v>
      </c>
      <c r="U876" s="24" t="str">
        <f t="shared" si="67"/>
        <v/>
      </c>
    </row>
    <row r="877" spans="2:21" s="46" customFormat="1" x14ac:dyDescent="0.25">
      <c r="B877" s="37" t="s">
        <v>25</v>
      </c>
      <c r="C877" s="38"/>
      <c r="D877" s="39" t="str">
        <f>INDEX(Cad_Natureza!$B$3:$C$52,MATCH('2025'!F877,Cad_Natureza!$C$3:$C$52,0),MATCH('2025'!D$2,Cad_Natureza!$B$3:$C$3,0))</f>
        <v>GAST1</v>
      </c>
      <c r="E877" s="40" t="s">
        <v>1054</v>
      </c>
      <c r="F877" s="85" t="s">
        <v>742</v>
      </c>
      <c r="G877" s="39" t="s">
        <v>25</v>
      </c>
      <c r="H877" s="42">
        <v>46003</v>
      </c>
      <c r="I877" s="42"/>
      <c r="J877" s="79" t="s">
        <v>561</v>
      </c>
      <c r="K877" s="19">
        <v>-10.5</v>
      </c>
      <c r="L877" s="19">
        <f t="shared" si="96"/>
        <v>1147.839999999999</v>
      </c>
      <c r="M877" s="38"/>
      <c r="N877" s="44" t="str">
        <f t="shared" si="75"/>
        <v>MCSGAST1CPF - Desp. Lazer e Entretenimento - Bares</v>
      </c>
      <c r="O877" s="44" t="str">
        <f t="shared" si="76"/>
        <v>GAST1CPF - Desp. Lazer e Entretenimento - Bares</v>
      </c>
      <c r="P877" s="44" t="str">
        <f t="shared" si="77"/>
        <v>MCSGAST1CPF - Desp. Lazer e Entretenimento - Bares</v>
      </c>
      <c r="Q877" s="44" t="str">
        <f t="shared" si="78"/>
        <v>MCSGAST1</v>
      </c>
      <c r="R877" s="44" t="str">
        <f t="shared" si="79"/>
        <v>MCSGAST1</v>
      </c>
      <c r="S877" s="38"/>
      <c r="T877" s="45">
        <f t="shared" si="80"/>
        <v>45992</v>
      </c>
      <c r="U877" s="24" t="str">
        <f t="shared" si="67"/>
        <v/>
      </c>
    </row>
    <row r="878" spans="2:21" s="46" customFormat="1" x14ac:dyDescent="0.25">
      <c r="B878" s="37" t="s">
        <v>25</v>
      </c>
      <c r="C878" s="38"/>
      <c r="D878" s="39" t="str">
        <f>INDEX(Cad_Natureza!$B$3:$C$52,MATCH('2025'!F878,Cad_Natureza!$C$3:$C$52,0),MATCH('2025'!D$2,Cad_Natureza!$B$3:$C$3,0))</f>
        <v>GAST1</v>
      </c>
      <c r="E878" s="40" t="s">
        <v>1055</v>
      </c>
      <c r="F878" s="85" t="s">
        <v>742</v>
      </c>
      <c r="G878" s="39" t="s">
        <v>25</v>
      </c>
      <c r="H878" s="42">
        <v>46003</v>
      </c>
      <c r="I878" s="42"/>
      <c r="J878" s="79" t="s">
        <v>185</v>
      </c>
      <c r="K878" s="19">
        <v>-15</v>
      </c>
      <c r="L878" s="19">
        <f t="shared" si="96"/>
        <v>1132.839999999999</v>
      </c>
      <c r="M878" s="38"/>
      <c r="N878" s="44" t="str">
        <f t="shared" si="75"/>
        <v>MCSGAST1CPF - Desp. Lazer e Entretenimento - Bares</v>
      </c>
      <c r="O878" s="44" t="str">
        <f t="shared" si="76"/>
        <v>GAST1CPF - Desp. Lazer e Entretenimento - Bares</v>
      </c>
      <c r="P878" s="44" t="str">
        <f t="shared" si="77"/>
        <v>MCSGAST1CPF - Desp. Lazer e Entretenimento - Bares</v>
      </c>
      <c r="Q878" s="44" t="str">
        <f t="shared" si="78"/>
        <v>MCSGAST1</v>
      </c>
      <c r="R878" s="44" t="str">
        <f t="shared" si="79"/>
        <v>MCSGAST1</v>
      </c>
      <c r="S878" s="38"/>
      <c r="T878" s="45">
        <f t="shared" si="80"/>
        <v>45992</v>
      </c>
      <c r="U878" s="24" t="str">
        <f t="shared" si="67"/>
        <v/>
      </c>
    </row>
    <row r="879" spans="2:21" s="46" customFormat="1" x14ac:dyDescent="0.25">
      <c r="B879" s="37" t="s">
        <v>25</v>
      </c>
      <c r="C879" s="38"/>
      <c r="D879" s="39" t="str">
        <f>INDEX(Cad_Natureza!$B$3:$C$52,MATCH('2025'!F879,Cad_Natureza!$C$3:$C$52,0),MATCH('2025'!D$2,Cad_Natureza!$B$3:$C$3,0))</f>
        <v>GAST1</v>
      </c>
      <c r="E879" s="40" t="s">
        <v>1055</v>
      </c>
      <c r="F879" s="85" t="s">
        <v>742</v>
      </c>
      <c r="G879" s="39" t="s">
        <v>25</v>
      </c>
      <c r="H879" s="42">
        <v>46003</v>
      </c>
      <c r="I879" s="42"/>
      <c r="J879" s="79" t="s">
        <v>185</v>
      </c>
      <c r="K879" s="19">
        <v>-10</v>
      </c>
      <c r="L879" s="19">
        <f t="shared" si="96"/>
        <v>1122.839999999999</v>
      </c>
      <c r="M879" s="38"/>
      <c r="N879" s="44" t="str">
        <f t="shared" si="75"/>
        <v>MCSGAST1CPF - Desp. Lazer e Entretenimento - Bares</v>
      </c>
      <c r="O879" s="44" t="str">
        <f t="shared" si="76"/>
        <v>GAST1CPF - Desp. Lazer e Entretenimento - Bares</v>
      </c>
      <c r="P879" s="44" t="str">
        <f t="shared" si="77"/>
        <v>MCSGAST1CPF - Desp. Lazer e Entretenimento - Bares</v>
      </c>
      <c r="Q879" s="44" t="str">
        <f t="shared" si="78"/>
        <v>MCSGAST1</v>
      </c>
      <c r="R879" s="44" t="str">
        <f t="shared" si="79"/>
        <v>MCSGAST1</v>
      </c>
      <c r="S879" s="38"/>
      <c r="T879" s="45">
        <f t="shared" si="80"/>
        <v>45992</v>
      </c>
      <c r="U879" s="24" t="str">
        <f t="shared" si="67"/>
        <v/>
      </c>
    </row>
    <row r="880" spans="2:21" s="46" customFormat="1" x14ac:dyDescent="0.25">
      <c r="B880" s="37" t="s">
        <v>25</v>
      </c>
      <c r="C880" s="38"/>
      <c r="D880" s="39" t="str">
        <f>INDEX(Cad_Natureza!$B$3:$C$52,MATCH('2025'!F880,Cad_Natureza!$C$3:$C$52,0),MATCH('2025'!D$2,Cad_Natureza!$B$3:$C$3,0))</f>
        <v>GAST1</v>
      </c>
      <c r="E880" s="40" t="s">
        <v>1055</v>
      </c>
      <c r="F880" s="85" t="s">
        <v>742</v>
      </c>
      <c r="G880" s="39" t="s">
        <v>25</v>
      </c>
      <c r="H880" s="42">
        <v>46003</v>
      </c>
      <c r="I880" s="42"/>
      <c r="J880" s="79" t="s">
        <v>185</v>
      </c>
      <c r="K880" s="19">
        <v>-10</v>
      </c>
      <c r="L880" s="19">
        <f t="shared" si="96"/>
        <v>1112.839999999999</v>
      </c>
      <c r="M880" s="38"/>
      <c r="N880" s="44" t="str">
        <f t="shared" si="75"/>
        <v>MCSGAST1CPF - Desp. Lazer e Entretenimento - Bares</v>
      </c>
      <c r="O880" s="44" t="str">
        <f t="shared" si="76"/>
        <v>GAST1CPF - Desp. Lazer e Entretenimento - Bares</v>
      </c>
      <c r="P880" s="44" t="str">
        <f t="shared" si="77"/>
        <v>MCSGAST1CPF - Desp. Lazer e Entretenimento - Bares</v>
      </c>
      <c r="Q880" s="44" t="str">
        <f t="shared" si="78"/>
        <v>MCSGAST1</v>
      </c>
      <c r="R880" s="44" t="str">
        <f t="shared" si="79"/>
        <v>MCSGAST1</v>
      </c>
      <c r="S880" s="38"/>
      <c r="T880" s="45">
        <f t="shared" si="80"/>
        <v>45992</v>
      </c>
      <c r="U880" s="24" t="str">
        <f t="shared" si="67"/>
        <v/>
      </c>
    </row>
    <row r="881" spans="2:21" s="46" customFormat="1" x14ac:dyDescent="0.25">
      <c r="B881" s="37" t="s">
        <v>25</v>
      </c>
      <c r="C881" s="38"/>
      <c r="D881" s="39" t="str">
        <f>INDEX(Cad_Natureza!$B$3:$C$52,MATCH('2025'!F881,Cad_Natureza!$C$3:$C$52,0),MATCH('2025'!D$2,Cad_Natureza!$B$3:$C$3,0))</f>
        <v>GAST1</v>
      </c>
      <c r="E881" s="40" t="s">
        <v>1056</v>
      </c>
      <c r="F881" s="85" t="s">
        <v>742</v>
      </c>
      <c r="G881" s="39" t="s">
        <v>25</v>
      </c>
      <c r="H881" s="42">
        <v>46006</v>
      </c>
      <c r="I881" s="42"/>
      <c r="J881" s="79" t="s">
        <v>185</v>
      </c>
      <c r="K881" s="19">
        <v>-10</v>
      </c>
      <c r="L881" s="19">
        <f t="shared" si="96"/>
        <v>1102.839999999999</v>
      </c>
      <c r="M881" s="38"/>
      <c r="N881" s="44" t="str">
        <f t="shared" si="75"/>
        <v>MCSGAST1CPF - Desp. Lazer e Entretenimento - Bares</v>
      </c>
      <c r="O881" s="44" t="str">
        <f t="shared" si="76"/>
        <v>GAST1CPF - Desp. Lazer e Entretenimento - Bares</v>
      </c>
      <c r="P881" s="44" t="str">
        <f t="shared" si="77"/>
        <v>MCSGAST1CPF - Desp. Lazer e Entretenimento - Bares</v>
      </c>
      <c r="Q881" s="44" t="str">
        <f t="shared" si="78"/>
        <v>MCSGAST1</v>
      </c>
      <c r="R881" s="44" t="str">
        <f t="shared" si="79"/>
        <v>MCSGAST1</v>
      </c>
      <c r="S881" s="38"/>
      <c r="T881" s="45">
        <f t="shared" si="80"/>
        <v>45992</v>
      </c>
      <c r="U881" s="24" t="str">
        <f t="shared" si="67"/>
        <v/>
      </c>
    </row>
    <row r="882" spans="2:21" s="46" customFormat="1" x14ac:dyDescent="0.25">
      <c r="B882" s="37" t="s">
        <v>25</v>
      </c>
      <c r="C882" s="38"/>
      <c r="D882" s="39" t="str">
        <f>INDEX(Cad_Natureza!$B$3:$C$52,MATCH('2025'!F882,Cad_Natureza!$C$3:$C$52,0),MATCH('2025'!D$2,Cad_Natureza!$B$3:$C$3,0))</f>
        <v>GAST1</v>
      </c>
      <c r="E882" s="40" t="s">
        <v>1056</v>
      </c>
      <c r="F882" s="85" t="s">
        <v>742</v>
      </c>
      <c r="G882" s="39" t="s">
        <v>25</v>
      </c>
      <c r="H882" s="42">
        <v>46006</v>
      </c>
      <c r="I882" s="42"/>
      <c r="J882" s="79" t="s">
        <v>185</v>
      </c>
      <c r="K882" s="19">
        <v>-6</v>
      </c>
      <c r="L882" s="19">
        <f t="shared" si="96"/>
        <v>1096.839999999999</v>
      </c>
      <c r="M882" s="38"/>
      <c r="N882" s="44" t="str">
        <f t="shared" si="75"/>
        <v>MCSGAST1CPF - Desp. Lazer e Entretenimento - Bares</v>
      </c>
      <c r="O882" s="44" t="str">
        <f t="shared" si="76"/>
        <v>GAST1CPF - Desp. Lazer e Entretenimento - Bares</v>
      </c>
      <c r="P882" s="44" t="str">
        <f t="shared" si="77"/>
        <v>MCSGAST1CPF - Desp. Lazer e Entretenimento - Bares</v>
      </c>
      <c r="Q882" s="44" t="str">
        <f t="shared" si="78"/>
        <v>MCSGAST1</v>
      </c>
      <c r="R882" s="44" t="str">
        <f t="shared" si="79"/>
        <v>MCSGAST1</v>
      </c>
      <c r="S882" s="38"/>
      <c r="T882" s="45">
        <f t="shared" si="80"/>
        <v>45992</v>
      </c>
      <c r="U882" s="24" t="str">
        <f t="shared" si="67"/>
        <v/>
      </c>
    </row>
    <row r="883" spans="2:21" s="46" customFormat="1" x14ac:dyDescent="0.25">
      <c r="B883" s="37" t="s">
        <v>25</v>
      </c>
      <c r="C883" s="38"/>
      <c r="D883" s="39" t="str">
        <f>INDEX(Cad_Natureza!$B$3:$C$52,MATCH('2025'!F883,Cad_Natureza!$C$3:$C$52,0),MATCH('2025'!D$2,Cad_Natureza!$B$3:$C$3,0))</f>
        <v>GAST1</v>
      </c>
      <c r="E883" s="40" t="s">
        <v>1056</v>
      </c>
      <c r="F883" s="85" t="s">
        <v>742</v>
      </c>
      <c r="G883" s="39" t="s">
        <v>25</v>
      </c>
      <c r="H883" s="42">
        <v>46006</v>
      </c>
      <c r="I883" s="42"/>
      <c r="J883" s="79" t="s">
        <v>185</v>
      </c>
      <c r="K883" s="19">
        <v>-6</v>
      </c>
      <c r="L883" s="19">
        <f t="shared" si="96"/>
        <v>1090.839999999999</v>
      </c>
      <c r="M883" s="38"/>
      <c r="N883" s="44" t="str">
        <f t="shared" si="75"/>
        <v>MCSGAST1CPF - Desp. Lazer e Entretenimento - Bares</v>
      </c>
      <c r="O883" s="44" t="str">
        <f t="shared" si="76"/>
        <v>GAST1CPF - Desp. Lazer e Entretenimento - Bares</v>
      </c>
      <c r="P883" s="44" t="str">
        <f t="shared" si="77"/>
        <v>MCSGAST1CPF - Desp. Lazer e Entretenimento - Bares</v>
      </c>
      <c r="Q883" s="44" t="str">
        <f t="shared" si="78"/>
        <v>MCSGAST1</v>
      </c>
      <c r="R883" s="44" t="str">
        <f t="shared" si="79"/>
        <v>MCSGAST1</v>
      </c>
      <c r="S883" s="38"/>
      <c r="T883" s="45">
        <f t="shared" si="80"/>
        <v>45992</v>
      </c>
      <c r="U883" s="24" t="str">
        <f t="shared" si="67"/>
        <v/>
      </c>
    </row>
    <row r="884" spans="2:21" s="46" customFormat="1" x14ac:dyDescent="0.25">
      <c r="B884" s="37" t="s">
        <v>25</v>
      </c>
      <c r="C884" s="38"/>
      <c r="D884" s="39" t="str">
        <f>INDEX(Cad_Natureza!$B$3:$C$52,MATCH('2025'!F884,Cad_Natureza!$C$3:$C$52,0),MATCH('2025'!D$2,Cad_Natureza!$B$3:$C$3,0))</f>
        <v>GAST1</v>
      </c>
      <c r="E884" s="40" t="s">
        <v>1057</v>
      </c>
      <c r="F884" s="85" t="s">
        <v>742</v>
      </c>
      <c r="G884" s="39" t="s">
        <v>25</v>
      </c>
      <c r="H884" s="42">
        <v>46006</v>
      </c>
      <c r="I884" s="42"/>
      <c r="J884" s="79" t="s">
        <v>561</v>
      </c>
      <c r="K884" s="19">
        <v>-13</v>
      </c>
      <c r="L884" s="19">
        <f t="shared" si="96"/>
        <v>1077.839999999999</v>
      </c>
      <c r="M884" s="38"/>
      <c r="N884" s="44" t="str">
        <f t="shared" si="75"/>
        <v>MCSGAST1CPF - Desp. Lazer e Entretenimento - Bares</v>
      </c>
      <c r="O884" s="44" t="str">
        <f t="shared" si="76"/>
        <v>GAST1CPF - Desp. Lazer e Entretenimento - Bares</v>
      </c>
      <c r="P884" s="44" t="str">
        <f t="shared" si="77"/>
        <v>MCSGAST1CPF - Desp. Lazer e Entretenimento - Bares</v>
      </c>
      <c r="Q884" s="44" t="str">
        <f t="shared" si="78"/>
        <v>MCSGAST1</v>
      </c>
      <c r="R884" s="44" t="str">
        <f t="shared" si="79"/>
        <v>MCSGAST1</v>
      </c>
      <c r="S884" s="38"/>
      <c r="T884" s="45">
        <f t="shared" si="80"/>
        <v>45992</v>
      </c>
      <c r="U884" s="24" t="str">
        <f t="shared" si="67"/>
        <v/>
      </c>
    </row>
    <row r="885" spans="2:21" s="46" customFormat="1" x14ac:dyDescent="0.25">
      <c r="B885" s="37" t="s">
        <v>25</v>
      </c>
      <c r="C885" s="38"/>
      <c r="D885" s="39" t="str">
        <f>INDEX(Cad_Natureza!$B$3:$C$52,MATCH('2025'!F885,Cad_Natureza!$C$3:$C$52,0),MATCH('2025'!D$2,Cad_Natureza!$B$3:$C$3,0))</f>
        <v>PENS6</v>
      </c>
      <c r="E885" s="40" t="s">
        <v>1058</v>
      </c>
      <c r="F885" s="41" t="s">
        <v>37</v>
      </c>
      <c r="G885" s="39" t="s">
        <v>25</v>
      </c>
      <c r="H885" s="42">
        <v>46006</v>
      </c>
      <c r="I885" s="42"/>
      <c r="J885" s="43" t="s">
        <v>568</v>
      </c>
      <c r="K885" s="19">
        <v>-35.99</v>
      </c>
      <c r="L885" s="19">
        <f t="shared" si="96"/>
        <v>1041.849999999999</v>
      </c>
      <c r="M885" s="38"/>
      <c r="N885" s="44" t="str">
        <f t="shared" si="75"/>
        <v>MCSPENS6CPF - Pensão - Farmácia e Saúde</v>
      </c>
      <c r="O885" s="44" t="str">
        <f t="shared" si="76"/>
        <v>PENS6CPF - Pensão - Farmácia e Saúde</v>
      </c>
      <c r="P885" s="44" t="str">
        <f t="shared" si="77"/>
        <v>MCSPENS6CPF - Pensão - Farmácia e Saúde</v>
      </c>
      <c r="Q885" s="44" t="str">
        <f t="shared" si="78"/>
        <v>MCSPENS6</v>
      </c>
      <c r="R885" s="44" t="str">
        <f t="shared" si="79"/>
        <v>MCSPENS6</v>
      </c>
      <c r="S885" s="38"/>
      <c r="T885" s="45">
        <f t="shared" si="80"/>
        <v>45992</v>
      </c>
      <c r="U885" s="24" t="str">
        <f t="shared" si="67"/>
        <v/>
      </c>
    </row>
    <row r="886" spans="2:21" s="46" customFormat="1" x14ac:dyDescent="0.25">
      <c r="B886" s="37" t="s">
        <v>25</v>
      </c>
      <c r="C886" s="38"/>
      <c r="D886" s="39" t="str">
        <f>INDEX(Cad_Natureza!$B$3:$C$52,MATCH('2025'!F886,Cad_Natureza!$C$3:$C$52,0),MATCH('2025'!D$2,Cad_Natureza!$B$3:$C$3,0))</f>
        <v>GAST1</v>
      </c>
      <c r="E886" s="40" t="s">
        <v>1059</v>
      </c>
      <c r="F886" s="85" t="s">
        <v>742</v>
      </c>
      <c r="G886" s="39" t="s">
        <v>25</v>
      </c>
      <c r="H886" s="42">
        <v>46006</v>
      </c>
      <c r="I886" s="42"/>
      <c r="J886" s="79" t="s">
        <v>561</v>
      </c>
      <c r="K886" s="19">
        <v>-24.83</v>
      </c>
      <c r="L886" s="19">
        <f t="shared" si="96"/>
        <v>1017.019999999999</v>
      </c>
      <c r="M886" s="38"/>
      <c r="N886" s="44" t="str">
        <f t="shared" si="75"/>
        <v>MCSGAST1CPF - Desp. Lazer e Entretenimento - Bares</v>
      </c>
      <c r="O886" s="44" t="str">
        <f t="shared" si="76"/>
        <v>GAST1CPF - Desp. Lazer e Entretenimento - Bares</v>
      </c>
      <c r="P886" s="44" t="str">
        <f t="shared" si="77"/>
        <v>MCSGAST1CPF - Desp. Lazer e Entretenimento - Bares</v>
      </c>
      <c r="Q886" s="44" t="str">
        <f t="shared" si="78"/>
        <v>MCSGAST1</v>
      </c>
      <c r="R886" s="44" t="str">
        <f t="shared" si="79"/>
        <v>MCSGAST1</v>
      </c>
      <c r="S886" s="38"/>
      <c r="T886" s="45">
        <f t="shared" si="80"/>
        <v>45992</v>
      </c>
      <c r="U886" s="24" t="str">
        <f t="shared" si="67"/>
        <v/>
      </c>
    </row>
    <row r="887" spans="2:21" s="46" customFormat="1" x14ac:dyDescent="0.25">
      <c r="B887" s="37" t="s">
        <v>25</v>
      </c>
      <c r="C887" s="38"/>
      <c r="D887" s="39" t="str">
        <f>INDEX(Cad_Natureza!$B$3:$C$52,MATCH('2025'!F887,Cad_Natureza!$C$3:$C$52,0),MATCH('2025'!D$2,Cad_Natureza!$B$3:$C$3,0))</f>
        <v>OPF2</v>
      </c>
      <c r="E887" s="40" t="s">
        <v>1060</v>
      </c>
      <c r="F887" s="85" t="s">
        <v>741</v>
      </c>
      <c r="G887" s="39" t="s">
        <v>25</v>
      </c>
      <c r="H887" s="42">
        <v>46006</v>
      </c>
      <c r="I887" s="42"/>
      <c r="J887" s="79" t="s">
        <v>674</v>
      </c>
      <c r="K887" s="19">
        <v>-50</v>
      </c>
      <c r="L887" s="19">
        <f t="shared" si="96"/>
        <v>967.01999999999896</v>
      </c>
      <c r="M887" s="38"/>
      <c r="N887" s="44" t="str">
        <f t="shared" si="75"/>
        <v>MCSOPF2CPF - Desp. Transporte / Combustível</v>
      </c>
      <c r="O887" s="44" t="str">
        <f t="shared" si="76"/>
        <v>OPF2CPF - Desp. Transporte / Combustível</v>
      </c>
      <c r="P887" s="44" t="str">
        <f t="shared" si="77"/>
        <v>MCSOPF2CPF - Desp. Transporte / Combustível</v>
      </c>
      <c r="Q887" s="44" t="str">
        <f t="shared" si="78"/>
        <v>MCSOPF2</v>
      </c>
      <c r="R887" s="44" t="str">
        <f t="shared" si="79"/>
        <v>MCSOPF2</v>
      </c>
      <c r="S887" s="38"/>
      <c r="T887" s="45">
        <f t="shared" si="80"/>
        <v>45992</v>
      </c>
      <c r="U887" s="24" t="str">
        <f t="shared" si="67"/>
        <v/>
      </c>
    </row>
    <row r="888" spans="2:21" s="46" customFormat="1" x14ac:dyDescent="0.25">
      <c r="B888" s="37" t="s">
        <v>25</v>
      </c>
      <c r="C888" s="38"/>
      <c r="D888" s="39" t="str">
        <f>INDEX(Cad_Natureza!$B$3:$C$52,MATCH('2025'!F888,Cad_Natureza!$C$3:$C$52,0),MATCH('2025'!D$2,Cad_Natureza!$B$3:$C$3,0))</f>
        <v>GAST2</v>
      </c>
      <c r="E888" s="40" t="s">
        <v>1061</v>
      </c>
      <c r="F888" s="41" t="s">
        <v>743</v>
      </c>
      <c r="G888" s="39" t="s">
        <v>25</v>
      </c>
      <c r="H888" s="42">
        <v>46006</v>
      </c>
      <c r="I888" s="42"/>
      <c r="J888" s="43" t="s">
        <v>180</v>
      </c>
      <c r="K888" s="19">
        <v>-5</v>
      </c>
      <c r="L888" s="19">
        <f t="shared" si="96"/>
        <v>962.01999999999896</v>
      </c>
      <c r="M888" s="38"/>
      <c r="N888" s="44" t="str">
        <f t="shared" si="75"/>
        <v>MCSGAST2CPF - Desp. Lazer e Entretenimento - Cigarro</v>
      </c>
      <c r="O888" s="44" t="str">
        <f t="shared" si="76"/>
        <v>GAST2CPF - Desp. Lazer e Entretenimento - Cigarro</v>
      </c>
      <c r="P888" s="44" t="str">
        <f t="shared" si="77"/>
        <v>MCSGAST2CPF - Desp. Lazer e Entretenimento - Cigarro</v>
      </c>
      <c r="Q888" s="44" t="str">
        <f t="shared" si="78"/>
        <v>MCSGAST2</v>
      </c>
      <c r="R888" s="44" t="str">
        <f t="shared" si="79"/>
        <v>MCSGAST2</v>
      </c>
      <c r="S888" s="38"/>
      <c r="T888" s="45">
        <f t="shared" si="80"/>
        <v>45992</v>
      </c>
      <c r="U888" s="24" t="str">
        <f t="shared" si="67"/>
        <v/>
      </c>
    </row>
    <row r="889" spans="2:21" s="46" customFormat="1" x14ac:dyDescent="0.25">
      <c r="B889" s="37" t="s">
        <v>25</v>
      </c>
      <c r="C889" s="38"/>
      <c r="D889" s="39" t="str">
        <f>INDEX(Cad_Natureza!$B$3:$C$52,MATCH('2025'!F889,Cad_Natureza!$C$3:$C$52,0),MATCH('2025'!D$2,Cad_Natureza!$B$3:$C$3,0))</f>
        <v>GAST1</v>
      </c>
      <c r="E889" s="40" t="s">
        <v>1062</v>
      </c>
      <c r="F889" s="85" t="s">
        <v>742</v>
      </c>
      <c r="G889" s="39" t="s">
        <v>25</v>
      </c>
      <c r="H889" s="42">
        <v>46006</v>
      </c>
      <c r="I889" s="42"/>
      <c r="J889" s="79" t="s">
        <v>561</v>
      </c>
      <c r="K889" s="19">
        <v>-15</v>
      </c>
      <c r="L889" s="19">
        <f t="shared" si="96"/>
        <v>947.01999999999896</v>
      </c>
      <c r="M889" s="38"/>
      <c r="N889" s="44" t="str">
        <f t="shared" si="75"/>
        <v>MCSGAST1CPF - Desp. Lazer e Entretenimento - Bares</v>
      </c>
      <c r="O889" s="44" t="str">
        <f t="shared" si="76"/>
        <v>GAST1CPF - Desp. Lazer e Entretenimento - Bares</v>
      </c>
      <c r="P889" s="44" t="str">
        <f t="shared" si="77"/>
        <v>MCSGAST1CPF - Desp. Lazer e Entretenimento - Bares</v>
      </c>
      <c r="Q889" s="44" t="str">
        <f t="shared" si="78"/>
        <v>MCSGAST1</v>
      </c>
      <c r="R889" s="44" t="str">
        <f t="shared" si="79"/>
        <v>MCSGAST1</v>
      </c>
      <c r="S889" s="38"/>
      <c r="T889" s="45">
        <f t="shared" si="80"/>
        <v>45992</v>
      </c>
      <c r="U889" s="24" t="str">
        <f t="shared" si="67"/>
        <v/>
      </c>
    </row>
    <row r="890" spans="2:21" s="46" customFormat="1" x14ac:dyDescent="0.25">
      <c r="B890" s="37" t="s">
        <v>25</v>
      </c>
      <c r="C890" s="38"/>
      <c r="D890" s="39" t="str">
        <f>INDEX(Cad_Natureza!$B$3:$C$52,MATCH('2025'!F890,Cad_Natureza!$C$3:$C$52,0),MATCH('2025'!D$2,Cad_Natureza!$B$3:$C$3,0))</f>
        <v>GAST1</v>
      </c>
      <c r="E890" s="40" t="s">
        <v>1062</v>
      </c>
      <c r="F890" s="85" t="s">
        <v>742</v>
      </c>
      <c r="G890" s="39" t="s">
        <v>25</v>
      </c>
      <c r="H890" s="42">
        <v>46006</v>
      </c>
      <c r="I890" s="42"/>
      <c r="J890" s="79" t="s">
        <v>561</v>
      </c>
      <c r="K890" s="19">
        <v>-5</v>
      </c>
      <c r="L890" s="19">
        <f t="shared" si="96"/>
        <v>942.01999999999896</v>
      </c>
      <c r="M890" s="38"/>
      <c r="N890" s="44" t="str">
        <f t="shared" si="75"/>
        <v>MCSGAST1CPF - Desp. Lazer e Entretenimento - Bares</v>
      </c>
      <c r="O890" s="44" t="str">
        <f t="shared" si="76"/>
        <v>GAST1CPF - Desp. Lazer e Entretenimento - Bares</v>
      </c>
      <c r="P890" s="44" t="str">
        <f t="shared" si="77"/>
        <v>MCSGAST1CPF - Desp. Lazer e Entretenimento - Bares</v>
      </c>
      <c r="Q890" s="44" t="str">
        <f t="shared" si="78"/>
        <v>MCSGAST1</v>
      </c>
      <c r="R890" s="44" t="str">
        <f t="shared" si="79"/>
        <v>MCSGAST1</v>
      </c>
      <c r="S890" s="38"/>
      <c r="T890" s="45">
        <f t="shared" si="80"/>
        <v>45992</v>
      </c>
      <c r="U890" s="24" t="str">
        <f t="shared" si="67"/>
        <v/>
      </c>
    </row>
    <row r="891" spans="2:21" s="46" customFormat="1" x14ac:dyDescent="0.25">
      <c r="B891" s="37" t="s">
        <v>25</v>
      </c>
      <c r="C891" s="38"/>
      <c r="D891" s="39" t="str">
        <f>INDEX(Cad_Natureza!$B$3:$C$52,MATCH('2025'!F891,Cad_Natureza!$C$3:$C$52,0),MATCH('2025'!D$2,Cad_Natureza!$B$3:$C$3,0))</f>
        <v>GAST2</v>
      </c>
      <c r="E891" s="40" t="s">
        <v>1061</v>
      </c>
      <c r="F891" s="41" t="s">
        <v>743</v>
      </c>
      <c r="G891" s="39" t="s">
        <v>25</v>
      </c>
      <c r="H891" s="42">
        <v>46006</v>
      </c>
      <c r="I891" s="42"/>
      <c r="J891" s="43" t="s">
        <v>180</v>
      </c>
      <c r="K891" s="19">
        <v>-5</v>
      </c>
      <c r="L891" s="19">
        <f t="shared" si="96"/>
        <v>937.01999999999896</v>
      </c>
      <c r="M891" s="38"/>
      <c r="N891" s="44" t="str">
        <f t="shared" si="75"/>
        <v>MCSGAST2CPF - Desp. Lazer e Entretenimento - Cigarro</v>
      </c>
      <c r="O891" s="44" t="str">
        <f t="shared" si="76"/>
        <v>GAST2CPF - Desp. Lazer e Entretenimento - Cigarro</v>
      </c>
      <c r="P891" s="44" t="str">
        <f t="shared" si="77"/>
        <v>MCSGAST2CPF - Desp. Lazer e Entretenimento - Cigarro</v>
      </c>
      <c r="Q891" s="44" t="str">
        <f t="shared" si="78"/>
        <v>MCSGAST2</v>
      </c>
      <c r="R891" s="44" t="str">
        <f t="shared" si="79"/>
        <v>MCSGAST2</v>
      </c>
      <c r="S891" s="38"/>
      <c r="T891" s="45">
        <f t="shared" si="80"/>
        <v>45992</v>
      </c>
      <c r="U891" s="24" t="str">
        <f t="shared" si="67"/>
        <v/>
      </c>
    </row>
    <row r="892" spans="2:21" s="46" customFormat="1" x14ac:dyDescent="0.25">
      <c r="B892" s="37" t="s">
        <v>25</v>
      </c>
      <c r="C892" s="38"/>
      <c r="D892" s="39" t="str">
        <f>INDEX(Cad_Natureza!$B$3:$C$52,MATCH('2025'!F892,Cad_Natureza!$C$3:$C$52,0),MATCH('2025'!D$2,Cad_Natureza!$B$3:$C$3,0))</f>
        <v>GAST2</v>
      </c>
      <c r="E892" s="40" t="s">
        <v>1063</v>
      </c>
      <c r="F892" s="41" t="s">
        <v>743</v>
      </c>
      <c r="G892" s="39" t="s">
        <v>25</v>
      </c>
      <c r="H892" s="42">
        <v>46006</v>
      </c>
      <c r="I892" s="42"/>
      <c r="J892" s="43" t="s">
        <v>180</v>
      </c>
      <c r="K892" s="19">
        <v>-5</v>
      </c>
      <c r="L892" s="19">
        <f t="shared" si="96"/>
        <v>932.01999999999896</v>
      </c>
      <c r="M892" s="38"/>
      <c r="N892" s="44" t="str">
        <f t="shared" si="75"/>
        <v>MCSGAST2CPF - Desp. Lazer e Entretenimento - Cigarro</v>
      </c>
      <c r="O892" s="44" t="str">
        <f t="shared" si="76"/>
        <v>GAST2CPF - Desp. Lazer e Entretenimento - Cigarro</v>
      </c>
      <c r="P892" s="44" t="str">
        <f t="shared" si="77"/>
        <v>MCSGAST2CPF - Desp. Lazer e Entretenimento - Cigarro</v>
      </c>
      <c r="Q892" s="44" t="str">
        <f t="shared" si="78"/>
        <v>MCSGAST2</v>
      </c>
      <c r="R892" s="44" t="str">
        <f t="shared" si="79"/>
        <v>MCSGAST2</v>
      </c>
      <c r="S892" s="38"/>
      <c r="T892" s="45">
        <f t="shared" si="80"/>
        <v>45992</v>
      </c>
      <c r="U892" s="24" t="str">
        <f t="shared" si="67"/>
        <v/>
      </c>
    </row>
    <row r="893" spans="2:21" s="46" customFormat="1" x14ac:dyDescent="0.25">
      <c r="B893" s="37" t="s">
        <v>25</v>
      </c>
      <c r="C893" s="38"/>
      <c r="D893" s="39" t="str">
        <f>INDEX(Cad_Natureza!$B$3:$C$52,MATCH('2025'!F893,Cad_Natureza!$C$3:$C$52,0),MATCH('2025'!D$2,Cad_Natureza!$B$3:$C$3,0))</f>
        <v>GAST1</v>
      </c>
      <c r="E893" s="40" t="s">
        <v>1064</v>
      </c>
      <c r="F893" s="85" t="s">
        <v>742</v>
      </c>
      <c r="G893" s="39" t="s">
        <v>25</v>
      </c>
      <c r="H893" s="42">
        <v>46006</v>
      </c>
      <c r="I893" s="42"/>
      <c r="J893" s="79" t="s">
        <v>561</v>
      </c>
      <c r="K893" s="19">
        <v>-5</v>
      </c>
      <c r="L893" s="19">
        <f t="shared" si="96"/>
        <v>927.01999999999896</v>
      </c>
      <c r="M893" s="38"/>
      <c r="N893" s="44" t="str">
        <f t="shared" si="75"/>
        <v>MCSGAST1CPF - Desp. Lazer e Entretenimento - Bares</v>
      </c>
      <c r="O893" s="44" t="str">
        <f t="shared" si="76"/>
        <v>GAST1CPF - Desp. Lazer e Entretenimento - Bares</v>
      </c>
      <c r="P893" s="44" t="str">
        <f t="shared" si="77"/>
        <v>MCSGAST1CPF - Desp. Lazer e Entretenimento - Bares</v>
      </c>
      <c r="Q893" s="44" t="str">
        <f t="shared" si="78"/>
        <v>MCSGAST1</v>
      </c>
      <c r="R893" s="44" t="str">
        <f t="shared" si="79"/>
        <v>MCSGAST1</v>
      </c>
      <c r="S893" s="38"/>
      <c r="T893" s="45">
        <f t="shared" si="80"/>
        <v>45992</v>
      </c>
      <c r="U893" s="24" t="str">
        <f t="shared" si="67"/>
        <v/>
      </c>
    </row>
    <row r="894" spans="2:21" s="46" customFormat="1" x14ac:dyDescent="0.25">
      <c r="B894" s="37" t="s">
        <v>25</v>
      </c>
      <c r="C894" s="38"/>
      <c r="D894" s="39" t="str">
        <f>INDEX(Cad_Natureza!$B$3:$C$52,MATCH('2025'!F894,Cad_Natureza!$C$3:$C$52,0),MATCH('2025'!D$2,Cad_Natureza!$B$3:$C$3,0))</f>
        <v>GAST1</v>
      </c>
      <c r="E894" s="40" t="s">
        <v>1065</v>
      </c>
      <c r="F894" s="85" t="s">
        <v>742</v>
      </c>
      <c r="G894" s="39" t="s">
        <v>25</v>
      </c>
      <c r="H894" s="42">
        <v>46006</v>
      </c>
      <c r="I894" s="42"/>
      <c r="J894" s="79" t="s">
        <v>561</v>
      </c>
      <c r="K894" s="19">
        <v>-18.8</v>
      </c>
      <c r="L894" s="19">
        <f t="shared" si="96"/>
        <v>908.219999999999</v>
      </c>
      <c r="M894" s="38"/>
      <c r="N894" s="44" t="str">
        <f t="shared" si="75"/>
        <v>MCSGAST1CPF - Desp. Lazer e Entretenimento - Bares</v>
      </c>
      <c r="O894" s="44" t="str">
        <f t="shared" si="76"/>
        <v>GAST1CPF - Desp. Lazer e Entretenimento - Bares</v>
      </c>
      <c r="P894" s="44" t="str">
        <f t="shared" si="77"/>
        <v>MCSGAST1CPF - Desp. Lazer e Entretenimento - Bares</v>
      </c>
      <c r="Q894" s="44" t="str">
        <f t="shared" si="78"/>
        <v>MCSGAST1</v>
      </c>
      <c r="R894" s="44" t="str">
        <f t="shared" si="79"/>
        <v>MCSGAST1</v>
      </c>
      <c r="S894" s="38"/>
      <c r="T894" s="45">
        <f t="shared" si="80"/>
        <v>45992</v>
      </c>
      <c r="U894" s="24" t="str">
        <f t="shared" si="67"/>
        <v/>
      </c>
    </row>
    <row r="895" spans="2:21" s="46" customFormat="1" x14ac:dyDescent="0.25">
      <c r="B895" s="37" t="s">
        <v>25</v>
      </c>
      <c r="C895" s="38"/>
      <c r="D895" s="39" t="str">
        <f>INDEX(Cad_Natureza!$B$3:$C$52,MATCH('2025'!F895,Cad_Natureza!$C$3:$C$52,0),MATCH('2025'!D$2,Cad_Natureza!$B$3:$C$3,0))</f>
        <v>OPF1</v>
      </c>
      <c r="E895" s="40" t="s">
        <v>1066</v>
      </c>
      <c r="F895" s="41" t="s">
        <v>744</v>
      </c>
      <c r="G895" s="39" t="s">
        <v>25</v>
      </c>
      <c r="H895" s="42">
        <v>46006</v>
      </c>
      <c r="I895" s="42"/>
      <c r="J895" s="79" t="s">
        <v>182</v>
      </c>
      <c r="K895" s="19">
        <v>-20</v>
      </c>
      <c r="L895" s="19">
        <f t="shared" si="96"/>
        <v>888.219999999999</v>
      </c>
      <c r="M895" s="38"/>
      <c r="N895" s="44" t="str">
        <f t="shared" si="75"/>
        <v>MCSOPF1CPF - Desp. Alimentação / Refeição</v>
      </c>
      <c r="O895" s="44" t="str">
        <f t="shared" si="76"/>
        <v>OPF1CPF - Desp. Alimentação / Refeição</v>
      </c>
      <c r="P895" s="44" t="str">
        <f t="shared" si="77"/>
        <v>MCSOPF1CPF - Desp. Alimentação / Refeição</v>
      </c>
      <c r="Q895" s="44" t="str">
        <f t="shared" si="78"/>
        <v>MCSOPF1</v>
      </c>
      <c r="R895" s="44" t="str">
        <f t="shared" si="79"/>
        <v>MCSOPF1</v>
      </c>
      <c r="S895" s="38"/>
      <c r="T895" s="45">
        <f t="shared" si="80"/>
        <v>45992</v>
      </c>
      <c r="U895" s="24" t="str">
        <f t="shared" si="67"/>
        <v/>
      </c>
    </row>
    <row r="896" spans="2:21" s="46" customFormat="1" x14ac:dyDescent="0.25">
      <c r="B896" s="37" t="s">
        <v>25</v>
      </c>
      <c r="C896" s="38"/>
      <c r="D896" s="39" t="str">
        <f>INDEX(Cad_Natureza!$B$3:$C$52,MATCH('2025'!F896,Cad_Natureza!$C$3:$C$52,0),MATCH('2025'!D$2,Cad_Natureza!$B$3:$C$3,0))</f>
        <v>GAST1</v>
      </c>
      <c r="E896" s="40" t="s">
        <v>1067</v>
      </c>
      <c r="F896" s="85" t="s">
        <v>742</v>
      </c>
      <c r="G896" s="39" t="s">
        <v>25</v>
      </c>
      <c r="H896" s="42">
        <v>46006</v>
      </c>
      <c r="I896" s="42"/>
      <c r="J896" s="79" t="s">
        <v>561</v>
      </c>
      <c r="K896" s="19">
        <v>-40</v>
      </c>
      <c r="L896" s="19">
        <f t="shared" si="96"/>
        <v>848.219999999999</v>
      </c>
      <c r="M896" s="38"/>
      <c r="N896" s="44" t="str">
        <f t="shared" si="75"/>
        <v>MCSGAST1CPF - Desp. Lazer e Entretenimento - Bares</v>
      </c>
      <c r="O896" s="44" t="str">
        <f t="shared" si="76"/>
        <v>GAST1CPF - Desp. Lazer e Entretenimento - Bares</v>
      </c>
      <c r="P896" s="44" t="str">
        <f t="shared" si="77"/>
        <v>MCSGAST1CPF - Desp. Lazer e Entretenimento - Bares</v>
      </c>
      <c r="Q896" s="44" t="str">
        <f t="shared" si="78"/>
        <v>MCSGAST1</v>
      </c>
      <c r="R896" s="44" t="str">
        <f t="shared" si="79"/>
        <v>MCSGAST1</v>
      </c>
      <c r="S896" s="38"/>
      <c r="T896" s="45">
        <f t="shared" si="80"/>
        <v>45992</v>
      </c>
      <c r="U896" s="24" t="str">
        <f t="shared" si="67"/>
        <v/>
      </c>
    </row>
    <row r="897" spans="2:21" s="46" customFormat="1" x14ac:dyDescent="0.25">
      <c r="B897" s="37" t="s">
        <v>25</v>
      </c>
      <c r="C897" s="38"/>
      <c r="D897" s="39" t="str">
        <f>INDEX(Cad_Natureza!$B$3:$C$52,MATCH('2025'!F897,Cad_Natureza!$C$3:$C$52,0),MATCH('2025'!D$2,Cad_Natureza!$B$3:$C$3,0))</f>
        <v>OPF1</v>
      </c>
      <c r="E897" s="40" t="s">
        <v>1068</v>
      </c>
      <c r="F897" s="41" t="s">
        <v>744</v>
      </c>
      <c r="G897" s="39" t="s">
        <v>25</v>
      </c>
      <c r="H897" s="42">
        <v>46007</v>
      </c>
      <c r="I897" s="42"/>
      <c r="J897" s="79" t="s">
        <v>182</v>
      </c>
      <c r="K897" s="19">
        <v>-20</v>
      </c>
      <c r="L897" s="19">
        <f t="shared" si="96"/>
        <v>828.219999999999</v>
      </c>
      <c r="M897" s="38"/>
      <c r="N897" s="44" t="str">
        <f t="shared" si="75"/>
        <v>MCSOPF1CPF - Desp. Alimentação / Refeição</v>
      </c>
      <c r="O897" s="44" t="str">
        <f t="shared" si="76"/>
        <v>OPF1CPF - Desp. Alimentação / Refeição</v>
      </c>
      <c r="P897" s="44" t="str">
        <f t="shared" si="77"/>
        <v>MCSOPF1CPF - Desp. Alimentação / Refeição</v>
      </c>
      <c r="Q897" s="44" t="str">
        <f t="shared" si="78"/>
        <v>MCSOPF1</v>
      </c>
      <c r="R897" s="44" t="str">
        <f t="shared" si="79"/>
        <v>MCSOPF1</v>
      </c>
      <c r="S897" s="38"/>
      <c r="T897" s="45">
        <f t="shared" si="80"/>
        <v>45992</v>
      </c>
      <c r="U897" s="24" t="str">
        <f t="shared" si="67"/>
        <v/>
      </c>
    </row>
    <row r="898" spans="2:21" s="46" customFormat="1" x14ac:dyDescent="0.25">
      <c r="B898" s="37" t="s">
        <v>25</v>
      </c>
      <c r="C898" s="38"/>
      <c r="D898" s="39" t="str">
        <f>INDEX(Cad_Natureza!$B$3:$C$52,MATCH('2025'!F898,Cad_Natureza!$C$3:$C$52,0),MATCH('2025'!D$2,Cad_Natureza!$B$3:$C$3,0))</f>
        <v>GAST1</v>
      </c>
      <c r="E898" s="40" t="s">
        <v>1069</v>
      </c>
      <c r="F898" s="85" t="s">
        <v>742</v>
      </c>
      <c r="G898" s="39" t="s">
        <v>25</v>
      </c>
      <c r="H898" s="42">
        <v>46007</v>
      </c>
      <c r="I898" s="42"/>
      <c r="J898" s="79" t="s">
        <v>561</v>
      </c>
      <c r="K898" s="19">
        <v>-42</v>
      </c>
      <c r="L898" s="19">
        <f t="shared" si="96"/>
        <v>786.219999999999</v>
      </c>
      <c r="M898" s="38"/>
      <c r="N898" s="44" t="str">
        <f t="shared" si="75"/>
        <v>MCSGAST1CPF - Desp. Lazer e Entretenimento - Bares</v>
      </c>
      <c r="O898" s="44" t="str">
        <f t="shared" si="76"/>
        <v>GAST1CPF - Desp. Lazer e Entretenimento - Bares</v>
      </c>
      <c r="P898" s="44" t="str">
        <f t="shared" si="77"/>
        <v>MCSGAST1CPF - Desp. Lazer e Entretenimento - Bares</v>
      </c>
      <c r="Q898" s="44" t="str">
        <f t="shared" si="78"/>
        <v>MCSGAST1</v>
      </c>
      <c r="R898" s="44" t="str">
        <f t="shared" si="79"/>
        <v>MCSGAST1</v>
      </c>
      <c r="S898" s="38"/>
      <c r="T898" s="45">
        <f t="shared" si="80"/>
        <v>45992</v>
      </c>
      <c r="U898" s="24" t="str">
        <f t="shared" si="67"/>
        <v/>
      </c>
    </row>
    <row r="899" spans="2:21" s="46" customFormat="1" x14ac:dyDescent="0.25">
      <c r="B899" s="37" t="s">
        <v>25</v>
      </c>
      <c r="C899" s="38"/>
      <c r="D899" s="39" t="str">
        <f>INDEX(Cad_Natureza!$B$3:$C$52,MATCH('2025'!F899,Cad_Natureza!$C$3:$C$52,0),MATCH('2025'!D$2,Cad_Natureza!$B$3:$C$3,0))</f>
        <v>OPF2</v>
      </c>
      <c r="E899" s="40" t="s">
        <v>1070</v>
      </c>
      <c r="F899" s="85" t="s">
        <v>741</v>
      </c>
      <c r="G899" s="39" t="s">
        <v>25</v>
      </c>
      <c r="H899" s="42">
        <v>46008</v>
      </c>
      <c r="I899" s="42"/>
      <c r="J899" s="79" t="s">
        <v>674</v>
      </c>
      <c r="K899" s="19">
        <v>-50</v>
      </c>
      <c r="L899" s="19">
        <f t="shared" si="96"/>
        <v>736.219999999999</v>
      </c>
      <c r="M899" s="38"/>
      <c r="N899" s="44" t="str">
        <f t="shared" si="75"/>
        <v>MCSOPF2CPF - Desp. Transporte / Combustível</v>
      </c>
      <c r="O899" s="44" t="str">
        <f t="shared" si="76"/>
        <v>OPF2CPF - Desp. Transporte / Combustível</v>
      </c>
      <c r="P899" s="44" t="str">
        <f t="shared" si="77"/>
        <v>MCSOPF2CPF - Desp. Transporte / Combustível</v>
      </c>
      <c r="Q899" s="44" t="str">
        <f t="shared" si="78"/>
        <v>MCSOPF2</v>
      </c>
      <c r="R899" s="44" t="str">
        <f t="shared" si="79"/>
        <v>MCSOPF2</v>
      </c>
      <c r="S899" s="38"/>
      <c r="T899" s="45">
        <f t="shared" si="80"/>
        <v>45992</v>
      </c>
      <c r="U899" s="24" t="str">
        <f t="shared" si="67"/>
        <v/>
      </c>
    </row>
    <row r="900" spans="2:21" s="46" customFormat="1" x14ac:dyDescent="0.25">
      <c r="B900" s="37" t="s">
        <v>25</v>
      </c>
      <c r="C900" s="38"/>
      <c r="D900" s="39" t="str">
        <f>INDEX(Cad_Natureza!$B$3:$C$52,MATCH('2025'!F900,Cad_Natureza!$C$3:$C$52,0),MATCH('2025'!D$2,Cad_Natureza!$B$3:$C$3,0))</f>
        <v>OPF1</v>
      </c>
      <c r="E900" s="40" t="s">
        <v>1071</v>
      </c>
      <c r="F900" s="41" t="s">
        <v>744</v>
      </c>
      <c r="G900" s="39" t="s">
        <v>25</v>
      </c>
      <c r="H900" s="42">
        <v>46008</v>
      </c>
      <c r="I900" s="42"/>
      <c r="J900" s="79" t="s">
        <v>182</v>
      </c>
      <c r="K900" s="19">
        <v>-24.5</v>
      </c>
      <c r="L900" s="19">
        <f t="shared" si="96"/>
        <v>711.719999999999</v>
      </c>
      <c r="M900" s="38"/>
      <c r="N900" s="44" t="str">
        <f t="shared" si="75"/>
        <v>MCSOPF1CPF - Desp. Alimentação / Refeição</v>
      </c>
      <c r="O900" s="44" t="str">
        <f t="shared" si="76"/>
        <v>OPF1CPF - Desp. Alimentação / Refeição</v>
      </c>
      <c r="P900" s="44" t="str">
        <f t="shared" si="77"/>
        <v>MCSOPF1CPF - Desp. Alimentação / Refeição</v>
      </c>
      <c r="Q900" s="44" t="str">
        <f t="shared" si="78"/>
        <v>MCSOPF1</v>
      </c>
      <c r="R900" s="44" t="str">
        <f t="shared" si="79"/>
        <v>MCSOPF1</v>
      </c>
      <c r="S900" s="38"/>
      <c r="T900" s="45">
        <f t="shared" si="80"/>
        <v>45992</v>
      </c>
      <c r="U900" s="24" t="str">
        <f t="shared" si="67"/>
        <v/>
      </c>
    </row>
    <row r="901" spans="2:21" s="46" customFormat="1" x14ac:dyDescent="0.25">
      <c r="B901" s="37" t="s">
        <v>25</v>
      </c>
      <c r="C901" s="38"/>
      <c r="D901" s="39" t="str">
        <f>INDEX(Cad_Natureza!$B$3:$C$52,MATCH('2025'!F901,Cad_Natureza!$C$3:$C$52,0),MATCH('2025'!D$2,Cad_Natureza!$B$3:$C$3,0))</f>
        <v>GAST1</v>
      </c>
      <c r="E901" s="40" t="s">
        <v>1072</v>
      </c>
      <c r="F901" s="85" t="s">
        <v>742</v>
      </c>
      <c r="G901" s="39" t="s">
        <v>25</v>
      </c>
      <c r="H901" s="42">
        <v>46008</v>
      </c>
      <c r="I901" s="42"/>
      <c r="J901" s="79" t="s">
        <v>561</v>
      </c>
      <c r="K901" s="19">
        <v>-8</v>
      </c>
      <c r="L901" s="19">
        <f t="shared" ref="L901:L940" si="97">L900+K901</f>
        <v>703.719999999999</v>
      </c>
      <c r="M901" s="38"/>
      <c r="N901" s="44" t="str">
        <f t="shared" si="75"/>
        <v>MCSGAST1CPF - Desp. Lazer e Entretenimento - Bares</v>
      </c>
      <c r="O901" s="44" t="str">
        <f t="shared" si="76"/>
        <v>GAST1CPF - Desp. Lazer e Entretenimento - Bares</v>
      </c>
      <c r="P901" s="44" t="str">
        <f t="shared" si="77"/>
        <v>MCSGAST1CPF - Desp. Lazer e Entretenimento - Bares</v>
      </c>
      <c r="Q901" s="44" t="str">
        <f t="shared" si="78"/>
        <v>MCSGAST1</v>
      </c>
      <c r="R901" s="44" t="str">
        <f t="shared" si="79"/>
        <v>MCSGAST1</v>
      </c>
      <c r="S901" s="38"/>
      <c r="T901" s="45">
        <f t="shared" si="80"/>
        <v>45992</v>
      </c>
      <c r="U901" s="24" t="str">
        <f t="shared" ref="U901:U940" si="98">IF(I901="","",(1&amp;"/"&amp;MONTH(I901)&amp;"/"&amp;YEAR(I901))*1)</f>
        <v/>
      </c>
    </row>
    <row r="902" spans="2:21" s="46" customFormat="1" x14ac:dyDescent="0.25">
      <c r="B902" s="37" t="s">
        <v>25</v>
      </c>
      <c r="C902" s="38"/>
      <c r="D902" s="63" t="str">
        <f>INDEX(Cad_Natureza!$B$3:$C$52,MATCH('2025'!F902,Cad_Natureza!$C$3:$C$52,0),MATCH('2025'!D$2,Cad_Natureza!$B$3:$C$3,0))</f>
        <v>REC5</v>
      </c>
      <c r="E902" s="64" t="s">
        <v>1073</v>
      </c>
      <c r="F902" s="65" t="s">
        <v>740</v>
      </c>
      <c r="G902" s="63" t="s">
        <v>25</v>
      </c>
      <c r="H902" s="66">
        <v>46008</v>
      </c>
      <c r="I902" s="66"/>
      <c r="J902" s="67" t="s">
        <v>1128</v>
      </c>
      <c r="K902" s="68">
        <v>20</v>
      </c>
      <c r="L902" s="68">
        <f t="shared" si="97"/>
        <v>723.719999999999</v>
      </c>
      <c r="M902" s="38"/>
      <c r="N902" s="44" t="str">
        <f t="shared" si="75"/>
        <v>MCSREC5CPF - Outras receitas</v>
      </c>
      <c r="O902" s="44" t="str">
        <f t="shared" si="76"/>
        <v>REC5CPF - Outras receitas</v>
      </c>
      <c r="P902" s="44" t="str">
        <f t="shared" si="77"/>
        <v>MCSREC5CPF - Outras receitas</v>
      </c>
      <c r="Q902" s="44" t="str">
        <f t="shared" si="78"/>
        <v>MCSREC5</v>
      </c>
      <c r="R902" s="44" t="str">
        <f t="shared" si="79"/>
        <v>MCSREC5</v>
      </c>
      <c r="S902" s="38"/>
      <c r="T902" s="45">
        <f t="shared" si="80"/>
        <v>45992</v>
      </c>
      <c r="U902" s="24" t="str">
        <f t="shared" si="98"/>
        <v/>
      </c>
    </row>
    <row r="903" spans="2:21" s="46" customFormat="1" x14ac:dyDescent="0.25">
      <c r="B903" s="37" t="s">
        <v>25</v>
      </c>
      <c r="C903" s="38"/>
      <c r="D903" s="39" t="str">
        <f>INDEX(Cad_Natureza!$B$3:$C$52,MATCH('2025'!F903,Cad_Natureza!$C$3:$C$52,0),MATCH('2025'!D$2,Cad_Natureza!$B$3:$C$3,0))</f>
        <v>GAST1</v>
      </c>
      <c r="E903" s="40" t="s">
        <v>1074</v>
      </c>
      <c r="F903" s="85" t="s">
        <v>742</v>
      </c>
      <c r="G903" s="39" t="s">
        <v>25</v>
      </c>
      <c r="H903" s="42">
        <v>46008</v>
      </c>
      <c r="I903" s="42"/>
      <c r="J903" s="43" t="s">
        <v>1111</v>
      </c>
      <c r="K903" s="19">
        <v>-42</v>
      </c>
      <c r="L903" s="19">
        <f t="shared" si="97"/>
        <v>681.719999999999</v>
      </c>
      <c r="M903" s="38"/>
      <c r="N903" s="44" t="str">
        <f t="shared" si="75"/>
        <v>MCSGAST1CPF - Desp. Lazer e Entretenimento - Bares</v>
      </c>
      <c r="O903" s="44" t="str">
        <f t="shared" si="76"/>
        <v>GAST1CPF - Desp. Lazer e Entretenimento - Bares</v>
      </c>
      <c r="P903" s="44" t="str">
        <f t="shared" si="77"/>
        <v>MCSGAST1CPF - Desp. Lazer e Entretenimento - Bares</v>
      </c>
      <c r="Q903" s="44" t="str">
        <f t="shared" si="78"/>
        <v>MCSGAST1</v>
      </c>
      <c r="R903" s="44" t="str">
        <f t="shared" si="79"/>
        <v>MCSGAST1</v>
      </c>
      <c r="S903" s="38"/>
      <c r="T903" s="45">
        <f t="shared" si="80"/>
        <v>45992</v>
      </c>
      <c r="U903" s="24" t="str">
        <f t="shared" si="98"/>
        <v/>
      </c>
    </row>
    <row r="904" spans="2:21" s="46" customFormat="1" x14ac:dyDescent="0.25">
      <c r="B904" s="37" t="s">
        <v>25</v>
      </c>
      <c r="C904" s="38"/>
      <c r="D904" s="39" t="str">
        <f>INDEX(Cad_Natureza!$B$3:$C$52,MATCH('2025'!F904,Cad_Natureza!$C$3:$C$52,0),MATCH('2025'!D$2,Cad_Natureza!$B$3:$C$3,0))</f>
        <v>PENS6</v>
      </c>
      <c r="E904" s="40" t="s">
        <v>1075</v>
      </c>
      <c r="F904" s="41" t="s">
        <v>37</v>
      </c>
      <c r="G904" s="39" t="s">
        <v>25</v>
      </c>
      <c r="H904" s="42">
        <v>46008</v>
      </c>
      <c r="I904" s="42"/>
      <c r="J904" s="43" t="s">
        <v>1112</v>
      </c>
      <c r="K904" s="19">
        <v>-10.49</v>
      </c>
      <c r="L904" s="19">
        <f t="shared" si="97"/>
        <v>671.229999999999</v>
      </c>
      <c r="M904" s="38"/>
      <c r="N904" s="44" t="str">
        <f t="shared" si="75"/>
        <v>MCSPENS6CPF - Pensão - Farmácia e Saúde</v>
      </c>
      <c r="O904" s="44" t="str">
        <f t="shared" si="76"/>
        <v>PENS6CPF - Pensão - Farmácia e Saúde</v>
      </c>
      <c r="P904" s="44" t="str">
        <f t="shared" si="77"/>
        <v>MCSPENS6CPF - Pensão - Farmácia e Saúde</v>
      </c>
      <c r="Q904" s="44" t="str">
        <f t="shared" si="78"/>
        <v>MCSPENS6</v>
      </c>
      <c r="R904" s="44" t="str">
        <f t="shared" si="79"/>
        <v>MCSPENS6</v>
      </c>
      <c r="S904" s="38"/>
      <c r="T904" s="45">
        <f t="shared" si="80"/>
        <v>45992</v>
      </c>
      <c r="U904" s="24" t="str">
        <f t="shared" si="98"/>
        <v/>
      </c>
    </row>
    <row r="905" spans="2:21" s="46" customFormat="1" x14ac:dyDescent="0.25">
      <c r="B905" s="37" t="s">
        <v>25</v>
      </c>
      <c r="C905" s="38"/>
      <c r="D905" s="39" t="str">
        <f>INDEX(Cad_Natureza!$B$3:$C$52,MATCH('2025'!F905,Cad_Natureza!$C$3:$C$52,0),MATCH('2025'!D$2,Cad_Natureza!$B$3:$C$3,0))</f>
        <v>OUG1</v>
      </c>
      <c r="E905" s="40" t="s">
        <v>1076</v>
      </c>
      <c r="F905" s="41" t="s">
        <v>748</v>
      </c>
      <c r="G905" s="39" t="s">
        <v>25</v>
      </c>
      <c r="H905" s="42">
        <v>46009</v>
      </c>
      <c r="I905" s="42"/>
      <c r="J905" s="43" t="s">
        <v>1120</v>
      </c>
      <c r="K905" s="19">
        <v>-86</v>
      </c>
      <c r="L905" s="19">
        <f t="shared" si="97"/>
        <v>585.229999999999</v>
      </c>
      <c r="M905" s="38"/>
      <c r="N905" s="44" t="str">
        <f t="shared" si="75"/>
        <v>MCSOUG1CPF - Outros gastos</v>
      </c>
      <c r="O905" s="44" t="str">
        <f t="shared" si="76"/>
        <v>OUG1CPF - Outros gastos</v>
      </c>
      <c r="P905" s="44" t="str">
        <f t="shared" si="77"/>
        <v>MCSOUG1CPF - Outros gastos</v>
      </c>
      <c r="Q905" s="44" t="str">
        <f t="shared" si="78"/>
        <v>MCSOUG1</v>
      </c>
      <c r="R905" s="44" t="str">
        <f t="shared" si="79"/>
        <v>MCSOUG1</v>
      </c>
      <c r="S905" s="38"/>
      <c r="T905" s="45">
        <f t="shared" si="80"/>
        <v>45992</v>
      </c>
      <c r="U905" s="24" t="str">
        <f t="shared" si="98"/>
        <v/>
      </c>
    </row>
    <row r="906" spans="2:21" s="46" customFormat="1" x14ac:dyDescent="0.25">
      <c r="B906" s="37" t="s">
        <v>25</v>
      </c>
      <c r="C906" s="38"/>
      <c r="D906" s="39" t="str">
        <f>INDEX(Cad_Natureza!$B$3:$C$52,MATCH('2025'!F906,Cad_Natureza!$C$3:$C$52,0),MATCH('2025'!D$2,Cad_Natureza!$B$3:$C$3,0))</f>
        <v>OPF2</v>
      </c>
      <c r="E906" s="40" t="s">
        <v>1077</v>
      </c>
      <c r="F906" s="85" t="s">
        <v>741</v>
      </c>
      <c r="G906" s="39" t="s">
        <v>25</v>
      </c>
      <c r="H906" s="42">
        <v>46009</v>
      </c>
      <c r="I906" s="42"/>
      <c r="J906" s="79" t="s">
        <v>674</v>
      </c>
      <c r="K906" s="19">
        <v>-50</v>
      </c>
      <c r="L906" s="19">
        <f t="shared" si="97"/>
        <v>535.229999999999</v>
      </c>
      <c r="M906" s="38"/>
      <c r="N906" s="44" t="str">
        <f t="shared" si="75"/>
        <v>MCSOPF2CPF - Desp. Transporte / Combustível</v>
      </c>
      <c r="O906" s="44" t="str">
        <f t="shared" si="76"/>
        <v>OPF2CPF - Desp. Transporte / Combustível</v>
      </c>
      <c r="P906" s="44" t="str">
        <f t="shared" si="77"/>
        <v>MCSOPF2CPF - Desp. Transporte / Combustível</v>
      </c>
      <c r="Q906" s="44" t="str">
        <f t="shared" si="78"/>
        <v>MCSOPF2</v>
      </c>
      <c r="R906" s="44" t="str">
        <f t="shared" si="79"/>
        <v>MCSOPF2</v>
      </c>
      <c r="S906" s="38"/>
      <c r="T906" s="45">
        <f t="shared" si="80"/>
        <v>45992</v>
      </c>
      <c r="U906" s="24" t="str">
        <f t="shared" si="98"/>
        <v/>
      </c>
    </row>
    <row r="907" spans="2:21" s="46" customFormat="1" x14ac:dyDescent="0.25">
      <c r="B907" s="37" t="s">
        <v>25</v>
      </c>
      <c r="C907" s="38"/>
      <c r="D907" s="39" t="str">
        <f>INDEX(Cad_Natureza!$B$3:$C$52,MATCH('2025'!F907,Cad_Natureza!$C$3:$C$52,0),MATCH('2025'!D$2,Cad_Natureza!$B$3:$C$3,0))</f>
        <v>OPF1</v>
      </c>
      <c r="E907" s="40" t="s">
        <v>1078</v>
      </c>
      <c r="F907" s="41" t="s">
        <v>744</v>
      </c>
      <c r="G907" s="39" t="s">
        <v>25</v>
      </c>
      <c r="H907" s="42">
        <v>46009</v>
      </c>
      <c r="I907" s="42"/>
      <c r="J907" s="79" t="s">
        <v>182</v>
      </c>
      <c r="K907" s="19">
        <v>-23.5</v>
      </c>
      <c r="L907" s="19">
        <f t="shared" si="97"/>
        <v>511.729999999999</v>
      </c>
      <c r="M907" s="38"/>
      <c r="N907" s="44" t="str">
        <f t="shared" si="75"/>
        <v>MCSOPF1CPF - Desp. Alimentação / Refeição</v>
      </c>
      <c r="O907" s="44" t="str">
        <f t="shared" si="76"/>
        <v>OPF1CPF - Desp. Alimentação / Refeição</v>
      </c>
      <c r="P907" s="44" t="str">
        <f t="shared" si="77"/>
        <v>MCSOPF1CPF - Desp. Alimentação / Refeição</v>
      </c>
      <c r="Q907" s="44" t="str">
        <f t="shared" si="78"/>
        <v>MCSOPF1</v>
      </c>
      <c r="R907" s="44" t="str">
        <f t="shared" si="79"/>
        <v>MCSOPF1</v>
      </c>
      <c r="S907" s="38"/>
      <c r="T907" s="45">
        <f t="shared" si="80"/>
        <v>45992</v>
      </c>
      <c r="U907" s="24" t="str">
        <f t="shared" si="98"/>
        <v/>
      </c>
    </row>
    <row r="908" spans="2:21" s="46" customFormat="1" x14ac:dyDescent="0.25">
      <c r="B908" s="37" t="s">
        <v>25</v>
      </c>
      <c r="C908" s="38"/>
      <c r="D908" s="39" t="str">
        <f>INDEX(Cad_Natureza!$B$3:$C$52,MATCH('2025'!F908,Cad_Natureza!$C$3:$C$52,0),MATCH('2025'!D$2,Cad_Natureza!$B$3:$C$3,0))</f>
        <v>GAST1</v>
      </c>
      <c r="E908" s="40" t="s">
        <v>1079</v>
      </c>
      <c r="F908" s="85" t="s">
        <v>742</v>
      </c>
      <c r="G908" s="39" t="s">
        <v>25</v>
      </c>
      <c r="H908" s="42">
        <v>46009</v>
      </c>
      <c r="I908" s="42"/>
      <c r="J908" s="79" t="s">
        <v>561</v>
      </c>
      <c r="K908" s="19">
        <v>-42</v>
      </c>
      <c r="L908" s="19">
        <f t="shared" si="97"/>
        <v>469.729999999999</v>
      </c>
      <c r="M908" s="38"/>
      <c r="N908" s="44" t="str">
        <f t="shared" si="75"/>
        <v>MCSGAST1CPF - Desp. Lazer e Entretenimento - Bares</v>
      </c>
      <c r="O908" s="44" t="str">
        <f t="shared" si="76"/>
        <v>GAST1CPF - Desp. Lazer e Entretenimento - Bares</v>
      </c>
      <c r="P908" s="44" t="str">
        <f t="shared" si="77"/>
        <v>MCSGAST1CPF - Desp. Lazer e Entretenimento - Bares</v>
      </c>
      <c r="Q908" s="44" t="str">
        <f t="shared" si="78"/>
        <v>MCSGAST1</v>
      </c>
      <c r="R908" s="44" t="str">
        <f t="shared" si="79"/>
        <v>MCSGAST1</v>
      </c>
      <c r="S908" s="38"/>
      <c r="T908" s="45">
        <f t="shared" si="80"/>
        <v>45992</v>
      </c>
      <c r="U908" s="24" t="str">
        <f t="shared" si="98"/>
        <v/>
      </c>
    </row>
    <row r="909" spans="2:21" s="46" customFormat="1" x14ac:dyDescent="0.25">
      <c r="B909" s="37" t="s">
        <v>25</v>
      </c>
      <c r="C909" s="38"/>
      <c r="D909" s="39" t="str">
        <f>INDEX(Cad_Natureza!$B$3:$C$52,MATCH('2025'!F909,Cad_Natureza!$C$3:$C$52,0),MATCH('2025'!D$2,Cad_Natureza!$B$3:$C$3,0))</f>
        <v>OPF1</v>
      </c>
      <c r="E909" s="40" t="s">
        <v>1080</v>
      </c>
      <c r="F909" s="41" t="s">
        <v>744</v>
      </c>
      <c r="G909" s="39" t="s">
        <v>25</v>
      </c>
      <c r="H909" s="42">
        <v>46010</v>
      </c>
      <c r="I909" s="42"/>
      <c r="J909" s="79" t="s">
        <v>182</v>
      </c>
      <c r="K909" s="19">
        <v>-23.5</v>
      </c>
      <c r="L909" s="19">
        <f t="shared" si="97"/>
        <v>446.229999999999</v>
      </c>
      <c r="M909" s="38"/>
      <c r="N909" s="44" t="str">
        <f t="shared" si="75"/>
        <v>MCSOPF1CPF - Desp. Alimentação / Refeição</v>
      </c>
      <c r="O909" s="44" t="str">
        <f t="shared" si="76"/>
        <v>OPF1CPF - Desp. Alimentação / Refeição</v>
      </c>
      <c r="P909" s="44" t="str">
        <f t="shared" si="77"/>
        <v>MCSOPF1CPF - Desp. Alimentação / Refeição</v>
      </c>
      <c r="Q909" s="44" t="str">
        <f t="shared" si="78"/>
        <v>MCSOPF1</v>
      </c>
      <c r="R909" s="44" t="str">
        <f t="shared" si="79"/>
        <v>MCSOPF1</v>
      </c>
      <c r="S909" s="38"/>
      <c r="T909" s="45">
        <f t="shared" si="80"/>
        <v>45992</v>
      </c>
      <c r="U909" s="24" t="str">
        <f t="shared" si="98"/>
        <v/>
      </c>
    </row>
    <row r="910" spans="2:21" s="46" customFormat="1" x14ac:dyDescent="0.25">
      <c r="B910" s="37" t="s">
        <v>25</v>
      </c>
      <c r="C910" s="38"/>
      <c r="D910" s="39" t="str">
        <f>INDEX(Cad_Natureza!$B$3:$C$52,MATCH('2025'!F910,Cad_Natureza!$C$3:$C$52,0),MATCH('2025'!D$2,Cad_Natureza!$B$3:$C$3,0))</f>
        <v>GAST1</v>
      </c>
      <c r="E910" s="40" t="s">
        <v>1081</v>
      </c>
      <c r="F910" s="85" t="s">
        <v>742</v>
      </c>
      <c r="G910" s="39" t="s">
        <v>25</v>
      </c>
      <c r="H910" s="42">
        <v>46010</v>
      </c>
      <c r="I910" s="42"/>
      <c r="J910" s="79" t="s">
        <v>561</v>
      </c>
      <c r="K910" s="19">
        <v>-8</v>
      </c>
      <c r="L910" s="19">
        <f t="shared" si="97"/>
        <v>438.229999999999</v>
      </c>
      <c r="M910" s="38"/>
      <c r="N910" s="44" t="str">
        <f t="shared" si="75"/>
        <v>MCSGAST1CPF - Desp. Lazer e Entretenimento - Bares</v>
      </c>
      <c r="O910" s="44" t="str">
        <f t="shared" si="76"/>
        <v>GAST1CPF - Desp. Lazer e Entretenimento - Bares</v>
      </c>
      <c r="P910" s="44" t="str">
        <f t="shared" si="77"/>
        <v>MCSGAST1CPF - Desp. Lazer e Entretenimento - Bares</v>
      </c>
      <c r="Q910" s="44" t="str">
        <f t="shared" si="78"/>
        <v>MCSGAST1</v>
      </c>
      <c r="R910" s="44" t="str">
        <f t="shared" si="79"/>
        <v>MCSGAST1</v>
      </c>
      <c r="S910" s="38"/>
      <c r="T910" s="45">
        <f t="shared" si="80"/>
        <v>45992</v>
      </c>
      <c r="U910" s="24" t="str">
        <f t="shared" si="98"/>
        <v/>
      </c>
    </row>
    <row r="911" spans="2:21" s="46" customFormat="1" x14ac:dyDescent="0.25">
      <c r="B911" s="37" t="s">
        <v>25</v>
      </c>
      <c r="C911" s="38"/>
      <c r="D911" s="39" t="str">
        <f>INDEX(Cad_Natureza!$B$3:$C$52,MATCH('2025'!F911,Cad_Natureza!$C$3:$C$52,0),MATCH('2025'!D$2,Cad_Natureza!$B$3:$C$3,0))</f>
        <v>GAST1</v>
      </c>
      <c r="E911" s="40" t="s">
        <v>1082</v>
      </c>
      <c r="F911" s="85" t="s">
        <v>742</v>
      </c>
      <c r="G911" s="39" t="s">
        <v>25</v>
      </c>
      <c r="H911" s="42">
        <v>46010</v>
      </c>
      <c r="I911" s="42"/>
      <c r="J911" s="79" t="s">
        <v>561</v>
      </c>
      <c r="K911" s="19">
        <v>-15</v>
      </c>
      <c r="L911" s="19">
        <f t="shared" si="97"/>
        <v>423.229999999999</v>
      </c>
      <c r="M911" s="38"/>
      <c r="N911" s="44" t="str">
        <f t="shared" si="75"/>
        <v>MCSGAST1CPF - Desp. Lazer e Entretenimento - Bares</v>
      </c>
      <c r="O911" s="44" t="str">
        <f t="shared" si="76"/>
        <v>GAST1CPF - Desp. Lazer e Entretenimento - Bares</v>
      </c>
      <c r="P911" s="44" t="str">
        <f t="shared" si="77"/>
        <v>MCSGAST1CPF - Desp. Lazer e Entretenimento - Bares</v>
      </c>
      <c r="Q911" s="44" t="str">
        <f t="shared" si="78"/>
        <v>MCSGAST1</v>
      </c>
      <c r="R911" s="44" t="str">
        <f t="shared" si="79"/>
        <v>MCSGAST1</v>
      </c>
      <c r="S911" s="38"/>
      <c r="T911" s="45">
        <f t="shared" si="80"/>
        <v>45992</v>
      </c>
      <c r="U911" s="24" t="str">
        <f t="shared" si="98"/>
        <v/>
      </c>
    </row>
    <row r="912" spans="2:21" s="46" customFormat="1" x14ac:dyDescent="0.25">
      <c r="B912" s="37" t="s">
        <v>25</v>
      </c>
      <c r="C912" s="38"/>
      <c r="D912" s="63" t="str">
        <f>INDEX(Cad_Natureza!$B$3:$C$52,MATCH('2025'!F912,Cad_Natureza!$C$3:$C$52,0),MATCH('2025'!D$2,Cad_Natureza!$B$3:$C$3,0))</f>
        <v>REC5</v>
      </c>
      <c r="E912" s="64" t="s">
        <v>1083</v>
      </c>
      <c r="F912" s="65" t="s">
        <v>740</v>
      </c>
      <c r="G912" s="63" t="s">
        <v>25</v>
      </c>
      <c r="H912" s="66">
        <v>46013</v>
      </c>
      <c r="I912" s="66"/>
      <c r="J912" s="67" t="s">
        <v>1128</v>
      </c>
      <c r="K912" s="68">
        <v>50</v>
      </c>
      <c r="L912" s="68">
        <f t="shared" si="97"/>
        <v>473.229999999999</v>
      </c>
      <c r="M912" s="38"/>
      <c r="N912" s="44" t="str">
        <f t="shared" si="75"/>
        <v>MCSREC5CPF - Outras receitas</v>
      </c>
      <c r="O912" s="44" t="str">
        <f t="shared" si="76"/>
        <v>REC5CPF - Outras receitas</v>
      </c>
      <c r="P912" s="44" t="str">
        <f t="shared" si="77"/>
        <v>MCSREC5CPF - Outras receitas</v>
      </c>
      <c r="Q912" s="44" t="str">
        <f t="shared" si="78"/>
        <v>MCSREC5</v>
      </c>
      <c r="R912" s="44" t="str">
        <f t="shared" si="79"/>
        <v>MCSREC5</v>
      </c>
      <c r="S912" s="38"/>
      <c r="T912" s="45">
        <f t="shared" si="80"/>
        <v>45992</v>
      </c>
      <c r="U912" s="24" t="str">
        <f t="shared" si="98"/>
        <v/>
      </c>
    </row>
    <row r="913" spans="2:21" s="46" customFormat="1" x14ac:dyDescent="0.25">
      <c r="B913" s="37" t="s">
        <v>25</v>
      </c>
      <c r="C913" s="38"/>
      <c r="D913" s="39" t="str">
        <f>INDEX(Cad_Natureza!$B$3:$C$52,MATCH('2025'!F913,Cad_Natureza!$C$3:$C$52,0),MATCH('2025'!D$2,Cad_Natureza!$B$3:$C$3,0))</f>
        <v>DESP4</v>
      </c>
      <c r="E913" s="40" t="s">
        <v>1084</v>
      </c>
      <c r="F913" s="41" t="s">
        <v>753</v>
      </c>
      <c r="G913" s="39" t="s">
        <v>25</v>
      </c>
      <c r="H913" s="42">
        <v>46013</v>
      </c>
      <c r="I913" s="42"/>
      <c r="J913" s="43" t="s">
        <v>1121</v>
      </c>
      <c r="K913" s="19">
        <v>-50</v>
      </c>
      <c r="L913" s="19">
        <f t="shared" si="97"/>
        <v>423.229999999999</v>
      </c>
      <c r="M913" s="38"/>
      <c r="N913" s="44" t="str">
        <f t="shared" ref="N913:N940" si="99">B913&amp;D913&amp;F913</f>
        <v>MCSDESP4CPF - Desp. Moradia</v>
      </c>
      <c r="O913" s="44" t="str">
        <f t="shared" ref="O913:O940" si="100">D913&amp;F913</f>
        <v>DESP4CPF - Desp. Moradia</v>
      </c>
      <c r="P913" s="44" t="str">
        <f t="shared" ref="P913:P940" si="101">"MCS"&amp;D913&amp;F913</f>
        <v>MCSDESP4CPF - Desp. Moradia</v>
      </c>
      <c r="Q913" s="44" t="str">
        <f t="shared" ref="Q913:Q940" si="102">"MCS"&amp;D913</f>
        <v>MCSDESP4</v>
      </c>
      <c r="R913" s="44" t="str">
        <f t="shared" ref="R913:R940" si="103">B913&amp;D913</f>
        <v>MCSDESP4</v>
      </c>
      <c r="S913" s="38"/>
      <c r="T913" s="45">
        <f t="shared" ref="T913:T940" si="104">(1&amp;"/"&amp;MONTH(H913)&amp;"/"&amp;YEAR(H913))*1</f>
        <v>45992</v>
      </c>
      <c r="U913" s="24" t="str">
        <f t="shared" si="98"/>
        <v/>
      </c>
    </row>
    <row r="914" spans="2:21" s="46" customFormat="1" x14ac:dyDescent="0.25">
      <c r="B914" s="37" t="s">
        <v>25</v>
      </c>
      <c r="C914" s="38"/>
      <c r="D914" s="39" t="str">
        <f>INDEX(Cad_Natureza!$B$3:$C$52,MATCH('2025'!F914,Cad_Natureza!$C$3:$C$52,0),MATCH('2025'!D$2,Cad_Natureza!$B$3:$C$3,0))</f>
        <v>OPF2</v>
      </c>
      <c r="E914" s="40" t="s">
        <v>1085</v>
      </c>
      <c r="F914" s="85" t="s">
        <v>741</v>
      </c>
      <c r="G914" s="39" t="s">
        <v>25</v>
      </c>
      <c r="H914" s="42">
        <v>46013</v>
      </c>
      <c r="I914" s="42"/>
      <c r="J914" s="79" t="s">
        <v>674</v>
      </c>
      <c r="K914" s="19">
        <v>-50</v>
      </c>
      <c r="L914" s="19">
        <f t="shared" si="97"/>
        <v>373.229999999999</v>
      </c>
      <c r="M914" s="38"/>
      <c r="N914" s="44" t="str">
        <f t="shared" si="99"/>
        <v>MCSOPF2CPF - Desp. Transporte / Combustível</v>
      </c>
      <c r="O914" s="44" t="str">
        <f t="shared" si="100"/>
        <v>OPF2CPF - Desp. Transporte / Combustível</v>
      </c>
      <c r="P914" s="44" t="str">
        <f t="shared" si="101"/>
        <v>MCSOPF2CPF - Desp. Transporte / Combustível</v>
      </c>
      <c r="Q914" s="44" t="str">
        <f t="shared" si="102"/>
        <v>MCSOPF2</v>
      </c>
      <c r="R914" s="44" t="str">
        <f t="shared" si="103"/>
        <v>MCSOPF2</v>
      </c>
      <c r="S914" s="38"/>
      <c r="T914" s="45">
        <f t="shared" si="104"/>
        <v>45992</v>
      </c>
      <c r="U914" s="24" t="str">
        <f t="shared" si="98"/>
        <v/>
      </c>
    </row>
    <row r="915" spans="2:21" s="46" customFormat="1" x14ac:dyDescent="0.25">
      <c r="B915" s="37" t="s">
        <v>25</v>
      </c>
      <c r="C915" s="38"/>
      <c r="D915" s="39" t="str">
        <f>INDEX(Cad_Natureza!$B$3:$C$52,MATCH('2025'!F915,Cad_Natureza!$C$3:$C$52,0),MATCH('2025'!D$2,Cad_Natureza!$B$3:$C$3,0))</f>
        <v>GAST1</v>
      </c>
      <c r="E915" s="40" t="s">
        <v>1086</v>
      </c>
      <c r="F915" s="85" t="s">
        <v>742</v>
      </c>
      <c r="G915" s="39" t="s">
        <v>25</v>
      </c>
      <c r="H915" s="42">
        <v>46013</v>
      </c>
      <c r="I915" s="42"/>
      <c r="J915" s="79" t="s">
        <v>561</v>
      </c>
      <c r="K915" s="19">
        <v>-10</v>
      </c>
      <c r="L915" s="19">
        <f t="shared" si="97"/>
        <v>363.229999999999</v>
      </c>
      <c r="M915" s="38"/>
      <c r="N915" s="44" t="str">
        <f t="shared" si="99"/>
        <v>MCSGAST1CPF - Desp. Lazer e Entretenimento - Bares</v>
      </c>
      <c r="O915" s="44" t="str">
        <f t="shared" si="100"/>
        <v>GAST1CPF - Desp. Lazer e Entretenimento - Bares</v>
      </c>
      <c r="P915" s="44" t="str">
        <f t="shared" si="101"/>
        <v>MCSGAST1CPF - Desp. Lazer e Entretenimento - Bares</v>
      </c>
      <c r="Q915" s="44" t="str">
        <f t="shared" si="102"/>
        <v>MCSGAST1</v>
      </c>
      <c r="R915" s="44" t="str">
        <f t="shared" si="103"/>
        <v>MCSGAST1</v>
      </c>
      <c r="S915" s="38"/>
      <c r="T915" s="45">
        <f t="shared" si="104"/>
        <v>45992</v>
      </c>
      <c r="U915" s="24" t="str">
        <f t="shared" si="98"/>
        <v/>
      </c>
    </row>
    <row r="916" spans="2:21" s="46" customFormat="1" x14ac:dyDescent="0.25">
      <c r="B916" s="37" t="s">
        <v>25</v>
      </c>
      <c r="C916" s="38"/>
      <c r="D916" s="39" t="str">
        <f>INDEX(Cad_Natureza!$B$3:$C$52,MATCH('2025'!F916,Cad_Natureza!$C$3:$C$52,0),MATCH('2025'!D$2,Cad_Natureza!$B$3:$C$3,0))</f>
        <v>GAST1</v>
      </c>
      <c r="E916" s="40" t="s">
        <v>1087</v>
      </c>
      <c r="F916" s="85" t="s">
        <v>742</v>
      </c>
      <c r="G916" s="39" t="s">
        <v>25</v>
      </c>
      <c r="H916" s="42">
        <v>46013</v>
      </c>
      <c r="I916" s="42"/>
      <c r="J916" s="79" t="s">
        <v>561</v>
      </c>
      <c r="K916" s="19">
        <v>-25</v>
      </c>
      <c r="L916" s="19">
        <f t="shared" si="97"/>
        <v>338.229999999999</v>
      </c>
      <c r="M916" s="38"/>
      <c r="N916" s="44" t="str">
        <f t="shared" si="99"/>
        <v>MCSGAST1CPF - Desp. Lazer e Entretenimento - Bares</v>
      </c>
      <c r="O916" s="44" t="str">
        <f t="shared" si="100"/>
        <v>GAST1CPF - Desp. Lazer e Entretenimento - Bares</v>
      </c>
      <c r="P916" s="44" t="str">
        <f t="shared" si="101"/>
        <v>MCSGAST1CPF - Desp. Lazer e Entretenimento - Bares</v>
      </c>
      <c r="Q916" s="44" t="str">
        <f t="shared" si="102"/>
        <v>MCSGAST1</v>
      </c>
      <c r="R916" s="44" t="str">
        <f t="shared" si="103"/>
        <v>MCSGAST1</v>
      </c>
      <c r="S916" s="38"/>
      <c r="T916" s="45">
        <f t="shared" si="104"/>
        <v>45992</v>
      </c>
      <c r="U916" s="24" t="str">
        <f t="shared" si="98"/>
        <v/>
      </c>
    </row>
    <row r="917" spans="2:21" s="46" customFormat="1" x14ac:dyDescent="0.25">
      <c r="B917" s="37" t="s">
        <v>25</v>
      </c>
      <c r="C917" s="38"/>
      <c r="D917" s="39" t="str">
        <f>INDEX(Cad_Natureza!$B$3:$C$52,MATCH('2025'!F917,Cad_Natureza!$C$3:$C$52,0),MATCH('2025'!D$2,Cad_Natureza!$B$3:$C$3,0))</f>
        <v>GAST1</v>
      </c>
      <c r="E917" s="40" t="s">
        <v>1088</v>
      </c>
      <c r="F917" s="85" t="s">
        <v>742</v>
      </c>
      <c r="G917" s="39" t="s">
        <v>25</v>
      </c>
      <c r="H917" s="42">
        <v>46013</v>
      </c>
      <c r="I917" s="42"/>
      <c r="J917" s="79" t="s">
        <v>561</v>
      </c>
      <c r="K917" s="19">
        <v>-10</v>
      </c>
      <c r="L917" s="19">
        <f t="shared" si="97"/>
        <v>328.229999999999</v>
      </c>
      <c r="M917" s="38"/>
      <c r="N917" s="44" t="str">
        <f t="shared" si="99"/>
        <v>MCSGAST1CPF - Desp. Lazer e Entretenimento - Bares</v>
      </c>
      <c r="O917" s="44" t="str">
        <f t="shared" si="100"/>
        <v>GAST1CPF - Desp. Lazer e Entretenimento - Bares</v>
      </c>
      <c r="P917" s="44" t="str">
        <f t="shared" si="101"/>
        <v>MCSGAST1CPF - Desp. Lazer e Entretenimento - Bares</v>
      </c>
      <c r="Q917" s="44" t="str">
        <f t="shared" si="102"/>
        <v>MCSGAST1</v>
      </c>
      <c r="R917" s="44" t="str">
        <f t="shared" si="103"/>
        <v>MCSGAST1</v>
      </c>
      <c r="S917" s="38"/>
      <c r="T917" s="45">
        <f t="shared" si="104"/>
        <v>45992</v>
      </c>
      <c r="U917" s="24" t="str">
        <f t="shared" si="98"/>
        <v/>
      </c>
    </row>
    <row r="918" spans="2:21" s="46" customFormat="1" x14ac:dyDescent="0.25">
      <c r="B918" s="37" t="s">
        <v>25</v>
      </c>
      <c r="C918" s="38"/>
      <c r="D918" s="39" t="str">
        <f>INDEX(Cad_Natureza!$B$3:$C$52,MATCH('2025'!F918,Cad_Natureza!$C$3:$C$52,0),MATCH('2025'!D$2,Cad_Natureza!$B$3:$C$3,0))</f>
        <v>GAST1</v>
      </c>
      <c r="E918" s="40" t="s">
        <v>1088</v>
      </c>
      <c r="F918" s="85" t="s">
        <v>742</v>
      </c>
      <c r="G918" s="39" t="s">
        <v>25</v>
      </c>
      <c r="H918" s="42">
        <v>46013</v>
      </c>
      <c r="I918" s="42"/>
      <c r="J918" s="79" t="s">
        <v>561</v>
      </c>
      <c r="K918" s="19">
        <v>-7</v>
      </c>
      <c r="L918" s="19">
        <f t="shared" si="97"/>
        <v>321.229999999999</v>
      </c>
      <c r="M918" s="38"/>
      <c r="N918" s="44" t="str">
        <f t="shared" si="99"/>
        <v>MCSGAST1CPF - Desp. Lazer e Entretenimento - Bares</v>
      </c>
      <c r="O918" s="44" t="str">
        <f t="shared" si="100"/>
        <v>GAST1CPF - Desp. Lazer e Entretenimento - Bares</v>
      </c>
      <c r="P918" s="44" t="str">
        <f t="shared" si="101"/>
        <v>MCSGAST1CPF - Desp. Lazer e Entretenimento - Bares</v>
      </c>
      <c r="Q918" s="44" t="str">
        <f t="shared" si="102"/>
        <v>MCSGAST1</v>
      </c>
      <c r="R918" s="44" t="str">
        <f t="shared" si="103"/>
        <v>MCSGAST1</v>
      </c>
      <c r="S918" s="38"/>
      <c r="T918" s="45">
        <f t="shared" si="104"/>
        <v>45992</v>
      </c>
      <c r="U918" s="24" t="str">
        <f t="shared" si="98"/>
        <v/>
      </c>
    </row>
    <row r="919" spans="2:21" s="46" customFormat="1" x14ac:dyDescent="0.25">
      <c r="B919" s="37" t="s">
        <v>25</v>
      </c>
      <c r="C919" s="38"/>
      <c r="D919" s="39" t="str">
        <f>INDEX(Cad_Natureza!$B$3:$C$52,MATCH('2025'!F919,Cad_Natureza!$C$3:$C$52,0),MATCH('2025'!D$2,Cad_Natureza!$B$3:$C$3,0))</f>
        <v>GAST1</v>
      </c>
      <c r="E919" s="40" t="s">
        <v>1089</v>
      </c>
      <c r="F919" s="85" t="s">
        <v>742</v>
      </c>
      <c r="G919" s="39" t="s">
        <v>25</v>
      </c>
      <c r="H919" s="42">
        <v>46014</v>
      </c>
      <c r="I919" s="42"/>
      <c r="J919" s="79" t="s">
        <v>561</v>
      </c>
      <c r="K919" s="19">
        <v>-16</v>
      </c>
      <c r="L919" s="19">
        <f t="shared" si="97"/>
        <v>305.229999999999</v>
      </c>
      <c r="M919" s="38"/>
      <c r="N919" s="44" t="str">
        <f t="shared" si="99"/>
        <v>MCSGAST1CPF - Desp. Lazer e Entretenimento - Bares</v>
      </c>
      <c r="O919" s="44" t="str">
        <f t="shared" si="100"/>
        <v>GAST1CPF - Desp. Lazer e Entretenimento - Bares</v>
      </c>
      <c r="P919" s="44" t="str">
        <f t="shared" si="101"/>
        <v>MCSGAST1CPF - Desp. Lazer e Entretenimento - Bares</v>
      </c>
      <c r="Q919" s="44" t="str">
        <f t="shared" si="102"/>
        <v>MCSGAST1</v>
      </c>
      <c r="R919" s="44" t="str">
        <f t="shared" si="103"/>
        <v>MCSGAST1</v>
      </c>
      <c r="S919" s="38"/>
      <c r="T919" s="45">
        <f t="shared" si="104"/>
        <v>45992</v>
      </c>
      <c r="U919" s="24" t="str">
        <f t="shared" si="98"/>
        <v/>
      </c>
    </row>
    <row r="920" spans="2:21" s="46" customFormat="1" x14ac:dyDescent="0.25">
      <c r="B920" s="37" t="s">
        <v>25</v>
      </c>
      <c r="C920" s="38"/>
      <c r="D920" s="39" t="str">
        <f>INDEX(Cad_Natureza!$B$3:$C$52,MATCH('2025'!F920,Cad_Natureza!$C$3:$C$52,0),MATCH('2025'!D$2,Cad_Natureza!$B$3:$C$3,0))</f>
        <v>OPF2</v>
      </c>
      <c r="E920" s="40" t="s">
        <v>1090</v>
      </c>
      <c r="F920" s="85" t="s">
        <v>741</v>
      </c>
      <c r="G920" s="39" t="s">
        <v>25</v>
      </c>
      <c r="H920" s="42">
        <v>46017</v>
      </c>
      <c r="I920" s="42"/>
      <c r="J920" s="79" t="s">
        <v>674</v>
      </c>
      <c r="K920" s="19">
        <v>-50</v>
      </c>
      <c r="L920" s="19">
        <f t="shared" si="97"/>
        <v>255.229999999999</v>
      </c>
      <c r="M920" s="38"/>
      <c r="N920" s="44" t="str">
        <f t="shared" si="99"/>
        <v>MCSOPF2CPF - Desp. Transporte / Combustível</v>
      </c>
      <c r="O920" s="44" t="str">
        <f t="shared" si="100"/>
        <v>OPF2CPF - Desp. Transporte / Combustível</v>
      </c>
      <c r="P920" s="44" t="str">
        <f t="shared" si="101"/>
        <v>MCSOPF2CPF - Desp. Transporte / Combustível</v>
      </c>
      <c r="Q920" s="44" t="str">
        <f t="shared" si="102"/>
        <v>MCSOPF2</v>
      </c>
      <c r="R920" s="44" t="str">
        <f t="shared" si="103"/>
        <v>MCSOPF2</v>
      </c>
      <c r="S920" s="38"/>
      <c r="T920" s="45">
        <f t="shared" si="104"/>
        <v>45992</v>
      </c>
      <c r="U920" s="24" t="str">
        <f t="shared" si="98"/>
        <v/>
      </c>
    </row>
    <row r="921" spans="2:21" s="46" customFormat="1" x14ac:dyDescent="0.25">
      <c r="B921" s="37" t="s">
        <v>25</v>
      </c>
      <c r="C921" s="38"/>
      <c r="D921" s="39" t="str">
        <f>INDEX(Cad_Natureza!$B$3:$C$52,MATCH('2025'!F921,Cad_Natureza!$C$3:$C$52,0),MATCH('2025'!D$2,Cad_Natureza!$B$3:$C$3,0))</f>
        <v>OUG1</v>
      </c>
      <c r="E921" s="40" t="s">
        <v>1091</v>
      </c>
      <c r="F921" s="85" t="s">
        <v>748</v>
      </c>
      <c r="G921" s="39" t="s">
        <v>25</v>
      </c>
      <c r="H921" s="42">
        <v>46017</v>
      </c>
      <c r="I921" s="42"/>
      <c r="J921" s="79" t="s">
        <v>1122</v>
      </c>
      <c r="K921" s="19">
        <v>-55</v>
      </c>
      <c r="L921" s="19">
        <f t="shared" si="97"/>
        <v>200.229999999999</v>
      </c>
      <c r="M921" s="38"/>
      <c r="N921" s="44" t="str">
        <f t="shared" si="99"/>
        <v>MCSOUG1CPF - Outros gastos</v>
      </c>
      <c r="O921" s="44" t="str">
        <f t="shared" si="100"/>
        <v>OUG1CPF - Outros gastos</v>
      </c>
      <c r="P921" s="44" t="str">
        <f t="shared" si="101"/>
        <v>MCSOUG1CPF - Outros gastos</v>
      </c>
      <c r="Q921" s="44" t="str">
        <f t="shared" si="102"/>
        <v>MCSOUG1</v>
      </c>
      <c r="R921" s="44" t="str">
        <f t="shared" si="103"/>
        <v>MCSOUG1</v>
      </c>
      <c r="S921" s="38"/>
      <c r="T921" s="45">
        <f t="shared" si="104"/>
        <v>45992</v>
      </c>
      <c r="U921" s="24" t="str">
        <f t="shared" si="98"/>
        <v/>
      </c>
    </row>
    <row r="922" spans="2:21" s="46" customFormat="1" x14ac:dyDescent="0.25">
      <c r="B922" s="37" t="s">
        <v>25</v>
      </c>
      <c r="C922" s="38"/>
      <c r="D922" s="39" t="str">
        <f>INDEX(Cad_Natureza!$B$3:$C$52,MATCH('2025'!F922,Cad_Natureza!$C$3:$C$52,0),MATCH('2025'!D$2,Cad_Natureza!$B$3:$C$3,0))</f>
        <v>GAST1</v>
      </c>
      <c r="E922" s="40" t="s">
        <v>1092</v>
      </c>
      <c r="F922" s="85" t="s">
        <v>742</v>
      </c>
      <c r="G922" s="39" t="s">
        <v>25</v>
      </c>
      <c r="H922" s="42">
        <v>46017</v>
      </c>
      <c r="I922" s="42"/>
      <c r="J922" s="79" t="s">
        <v>561</v>
      </c>
      <c r="K922" s="19">
        <v>-3.5</v>
      </c>
      <c r="L922" s="19">
        <f t="shared" si="97"/>
        <v>196.729999999999</v>
      </c>
      <c r="M922" s="38"/>
      <c r="N922" s="44" t="str">
        <f t="shared" si="99"/>
        <v>MCSGAST1CPF - Desp. Lazer e Entretenimento - Bares</v>
      </c>
      <c r="O922" s="44" t="str">
        <f t="shared" si="100"/>
        <v>GAST1CPF - Desp. Lazer e Entretenimento - Bares</v>
      </c>
      <c r="P922" s="44" t="str">
        <f t="shared" si="101"/>
        <v>MCSGAST1CPF - Desp. Lazer e Entretenimento - Bares</v>
      </c>
      <c r="Q922" s="44" t="str">
        <f t="shared" si="102"/>
        <v>MCSGAST1</v>
      </c>
      <c r="R922" s="44" t="str">
        <f t="shared" si="103"/>
        <v>MCSGAST1</v>
      </c>
      <c r="S922" s="38"/>
      <c r="T922" s="45">
        <f t="shared" si="104"/>
        <v>45992</v>
      </c>
      <c r="U922" s="24" t="str">
        <f t="shared" si="98"/>
        <v/>
      </c>
    </row>
    <row r="923" spans="2:21" s="46" customFormat="1" x14ac:dyDescent="0.25">
      <c r="B923" s="37" t="s">
        <v>25</v>
      </c>
      <c r="C923" s="38"/>
      <c r="D923" s="39" t="str">
        <f>INDEX(Cad_Natureza!$B$3:$C$52,MATCH('2025'!F923,Cad_Natureza!$C$3:$C$52,0),MATCH('2025'!D$2,Cad_Natureza!$B$3:$C$3,0))</f>
        <v>GAST1</v>
      </c>
      <c r="E923" s="40" t="s">
        <v>1093</v>
      </c>
      <c r="F923" s="85" t="s">
        <v>742</v>
      </c>
      <c r="G923" s="39" t="s">
        <v>25</v>
      </c>
      <c r="H923" s="42">
        <v>46017</v>
      </c>
      <c r="I923" s="42"/>
      <c r="J923" s="79" t="s">
        <v>561</v>
      </c>
      <c r="K923" s="19">
        <v>-5.5</v>
      </c>
      <c r="L923" s="19">
        <f t="shared" si="97"/>
        <v>191.229999999999</v>
      </c>
      <c r="M923" s="38"/>
      <c r="N923" s="44" t="str">
        <f t="shared" si="99"/>
        <v>MCSGAST1CPF - Desp. Lazer e Entretenimento - Bares</v>
      </c>
      <c r="O923" s="44" t="str">
        <f t="shared" si="100"/>
        <v>GAST1CPF - Desp. Lazer e Entretenimento - Bares</v>
      </c>
      <c r="P923" s="44" t="str">
        <f t="shared" si="101"/>
        <v>MCSGAST1CPF - Desp. Lazer e Entretenimento - Bares</v>
      </c>
      <c r="Q923" s="44" t="str">
        <f t="shared" si="102"/>
        <v>MCSGAST1</v>
      </c>
      <c r="R923" s="44" t="str">
        <f t="shared" si="103"/>
        <v>MCSGAST1</v>
      </c>
      <c r="S923" s="38"/>
      <c r="T923" s="45">
        <f t="shared" si="104"/>
        <v>45992</v>
      </c>
      <c r="U923" s="24" t="str">
        <f t="shared" si="98"/>
        <v/>
      </c>
    </row>
    <row r="924" spans="2:21" s="46" customFormat="1" x14ac:dyDescent="0.25">
      <c r="B924" s="37" t="s">
        <v>25</v>
      </c>
      <c r="C924" s="38"/>
      <c r="D924" s="39" t="str">
        <f>INDEX(Cad_Natureza!$B$3:$C$52,MATCH('2025'!F924,Cad_Natureza!$C$3:$C$52,0),MATCH('2025'!D$2,Cad_Natureza!$B$3:$C$3,0))</f>
        <v>GAST1</v>
      </c>
      <c r="E924" s="40" t="s">
        <v>1094</v>
      </c>
      <c r="F924" s="85" t="s">
        <v>742</v>
      </c>
      <c r="G924" s="39" t="s">
        <v>25</v>
      </c>
      <c r="H924" s="42">
        <v>46017</v>
      </c>
      <c r="I924" s="42"/>
      <c r="J924" s="79" t="s">
        <v>561</v>
      </c>
      <c r="K924" s="19">
        <v>-10</v>
      </c>
      <c r="L924" s="19">
        <f t="shared" si="97"/>
        <v>181.229999999999</v>
      </c>
      <c r="M924" s="38"/>
      <c r="N924" s="44" t="str">
        <f t="shared" si="99"/>
        <v>MCSGAST1CPF - Desp. Lazer e Entretenimento - Bares</v>
      </c>
      <c r="O924" s="44" t="str">
        <f t="shared" si="100"/>
        <v>GAST1CPF - Desp. Lazer e Entretenimento - Bares</v>
      </c>
      <c r="P924" s="44" t="str">
        <f t="shared" si="101"/>
        <v>MCSGAST1CPF - Desp. Lazer e Entretenimento - Bares</v>
      </c>
      <c r="Q924" s="44" t="str">
        <f t="shared" si="102"/>
        <v>MCSGAST1</v>
      </c>
      <c r="R924" s="44" t="str">
        <f t="shared" si="103"/>
        <v>MCSGAST1</v>
      </c>
      <c r="S924" s="38"/>
      <c r="T924" s="45">
        <f t="shared" si="104"/>
        <v>45992</v>
      </c>
      <c r="U924" s="24" t="str">
        <f t="shared" si="98"/>
        <v/>
      </c>
    </row>
    <row r="925" spans="2:21" s="46" customFormat="1" x14ac:dyDescent="0.25">
      <c r="B925" s="37" t="s">
        <v>25</v>
      </c>
      <c r="C925" s="38"/>
      <c r="D925" s="39" t="str">
        <f>INDEX(Cad_Natureza!$B$3:$C$52,MATCH('2025'!F925,Cad_Natureza!$C$3:$C$52,0),MATCH('2025'!D$2,Cad_Natureza!$B$3:$C$3,0))</f>
        <v>GAST1</v>
      </c>
      <c r="E925" s="40" t="s">
        <v>1095</v>
      </c>
      <c r="F925" s="85" t="s">
        <v>742</v>
      </c>
      <c r="G925" s="39" t="s">
        <v>25</v>
      </c>
      <c r="H925" s="42">
        <v>46017</v>
      </c>
      <c r="I925" s="42"/>
      <c r="J925" s="79" t="s">
        <v>561</v>
      </c>
      <c r="K925" s="19">
        <v>-5</v>
      </c>
      <c r="L925" s="19">
        <f t="shared" si="97"/>
        <v>176.229999999999</v>
      </c>
      <c r="M925" s="38"/>
      <c r="N925" s="44" t="str">
        <f t="shared" si="99"/>
        <v>MCSGAST1CPF - Desp. Lazer e Entretenimento - Bares</v>
      </c>
      <c r="O925" s="44" t="str">
        <f t="shared" si="100"/>
        <v>GAST1CPF - Desp. Lazer e Entretenimento - Bares</v>
      </c>
      <c r="P925" s="44" t="str">
        <f t="shared" si="101"/>
        <v>MCSGAST1CPF - Desp. Lazer e Entretenimento - Bares</v>
      </c>
      <c r="Q925" s="44" t="str">
        <f t="shared" si="102"/>
        <v>MCSGAST1</v>
      </c>
      <c r="R925" s="44" t="str">
        <f t="shared" si="103"/>
        <v>MCSGAST1</v>
      </c>
      <c r="S925" s="38"/>
      <c r="T925" s="45">
        <f t="shared" si="104"/>
        <v>45992</v>
      </c>
      <c r="U925" s="24" t="str">
        <f t="shared" si="98"/>
        <v/>
      </c>
    </row>
    <row r="926" spans="2:21" s="46" customFormat="1" x14ac:dyDescent="0.25">
      <c r="B926" s="37" t="s">
        <v>25</v>
      </c>
      <c r="C926" s="38"/>
      <c r="D926" s="39" t="str">
        <f>INDEX(Cad_Natureza!$B$3:$C$52,MATCH('2025'!F926,Cad_Natureza!$C$3:$C$52,0),MATCH('2025'!D$2,Cad_Natureza!$B$3:$C$3,0))</f>
        <v>GAST1</v>
      </c>
      <c r="E926" s="40" t="s">
        <v>1096</v>
      </c>
      <c r="F926" s="85" t="s">
        <v>742</v>
      </c>
      <c r="G926" s="39" t="s">
        <v>25</v>
      </c>
      <c r="H926" s="42">
        <v>46020</v>
      </c>
      <c r="I926" s="42"/>
      <c r="J926" s="79" t="s">
        <v>185</v>
      </c>
      <c r="K926" s="19">
        <v>-10</v>
      </c>
      <c r="L926" s="19">
        <f t="shared" si="97"/>
        <v>166.229999999999</v>
      </c>
      <c r="M926" s="38"/>
      <c r="N926" s="44" t="str">
        <f t="shared" si="99"/>
        <v>MCSGAST1CPF - Desp. Lazer e Entretenimento - Bares</v>
      </c>
      <c r="O926" s="44" t="str">
        <f t="shared" si="100"/>
        <v>GAST1CPF - Desp. Lazer e Entretenimento - Bares</v>
      </c>
      <c r="P926" s="44" t="str">
        <f t="shared" si="101"/>
        <v>MCSGAST1CPF - Desp. Lazer e Entretenimento - Bares</v>
      </c>
      <c r="Q926" s="44" t="str">
        <f t="shared" si="102"/>
        <v>MCSGAST1</v>
      </c>
      <c r="R926" s="44" t="str">
        <f t="shared" si="103"/>
        <v>MCSGAST1</v>
      </c>
      <c r="S926" s="38"/>
      <c r="T926" s="45">
        <f t="shared" si="104"/>
        <v>45992</v>
      </c>
      <c r="U926" s="24" t="str">
        <f t="shared" si="98"/>
        <v/>
      </c>
    </row>
    <row r="927" spans="2:21" s="46" customFormat="1" x14ac:dyDescent="0.25">
      <c r="B927" s="37" t="s">
        <v>25</v>
      </c>
      <c r="C927" s="38"/>
      <c r="D927" s="39" t="str">
        <f>INDEX(Cad_Natureza!$B$3:$C$52,MATCH('2025'!F927,Cad_Natureza!$C$3:$C$52,0),MATCH('2025'!D$2,Cad_Natureza!$B$3:$C$3,0))</f>
        <v>OUG1</v>
      </c>
      <c r="E927" s="40" t="s">
        <v>1097</v>
      </c>
      <c r="F927" s="85" t="s">
        <v>748</v>
      </c>
      <c r="G927" s="39" t="s">
        <v>25</v>
      </c>
      <c r="H927" s="42">
        <v>46020</v>
      </c>
      <c r="I927" s="42"/>
      <c r="J927" s="79" t="s">
        <v>1124</v>
      </c>
      <c r="K927" s="19">
        <v>-30</v>
      </c>
      <c r="L927" s="19">
        <f t="shared" si="97"/>
        <v>136.229999999999</v>
      </c>
      <c r="M927" s="38"/>
      <c r="N927" s="44" t="str">
        <f t="shared" si="99"/>
        <v>MCSOUG1CPF - Outros gastos</v>
      </c>
      <c r="O927" s="44" t="str">
        <f t="shared" si="100"/>
        <v>OUG1CPF - Outros gastos</v>
      </c>
      <c r="P927" s="44" t="str">
        <f t="shared" si="101"/>
        <v>MCSOUG1CPF - Outros gastos</v>
      </c>
      <c r="Q927" s="44" t="str">
        <f t="shared" si="102"/>
        <v>MCSOUG1</v>
      </c>
      <c r="R927" s="44" t="str">
        <f t="shared" si="103"/>
        <v>MCSOUG1</v>
      </c>
      <c r="S927" s="38"/>
      <c r="T927" s="45">
        <f t="shared" si="104"/>
        <v>45992</v>
      </c>
      <c r="U927" s="24" t="str">
        <f t="shared" si="98"/>
        <v/>
      </c>
    </row>
    <row r="928" spans="2:21" s="46" customFormat="1" x14ac:dyDescent="0.25">
      <c r="B928" s="37" t="s">
        <v>25</v>
      </c>
      <c r="C928" s="38"/>
      <c r="D928" s="63" t="str">
        <f>INDEX(Cad_Natureza!$B$3:$C$52,MATCH('2025'!F928,Cad_Natureza!$C$3:$C$52,0),MATCH('2025'!D$2,Cad_Natureza!$B$3:$C$3,0))</f>
        <v>REC5</v>
      </c>
      <c r="E928" s="64" t="s">
        <v>1098</v>
      </c>
      <c r="F928" s="65" t="s">
        <v>740</v>
      </c>
      <c r="G928" s="63" t="s">
        <v>25</v>
      </c>
      <c r="H928" s="66">
        <v>46020</v>
      </c>
      <c r="I928" s="66"/>
      <c r="J928" s="67" t="s">
        <v>1123</v>
      </c>
      <c r="K928" s="68">
        <v>30</v>
      </c>
      <c r="L928" s="68">
        <f t="shared" si="97"/>
        <v>166.229999999999</v>
      </c>
      <c r="M928" s="38"/>
      <c r="N928" s="44" t="str">
        <f t="shared" si="99"/>
        <v>MCSREC5CPF - Outras receitas</v>
      </c>
      <c r="O928" s="44" t="str">
        <f t="shared" si="100"/>
        <v>REC5CPF - Outras receitas</v>
      </c>
      <c r="P928" s="44" t="str">
        <f t="shared" si="101"/>
        <v>MCSREC5CPF - Outras receitas</v>
      </c>
      <c r="Q928" s="44" t="str">
        <f t="shared" si="102"/>
        <v>MCSREC5</v>
      </c>
      <c r="R928" s="44" t="str">
        <f t="shared" si="103"/>
        <v>MCSREC5</v>
      </c>
      <c r="S928" s="38"/>
      <c r="T928" s="45">
        <f t="shared" si="104"/>
        <v>45992</v>
      </c>
      <c r="U928" s="24" t="str">
        <f t="shared" si="98"/>
        <v/>
      </c>
    </row>
    <row r="929" spans="2:21" s="46" customFormat="1" x14ac:dyDescent="0.25">
      <c r="B929" s="37" t="s">
        <v>25</v>
      </c>
      <c r="C929" s="38"/>
      <c r="D929" s="39" t="str">
        <f>INDEX(Cad_Natureza!$B$3:$C$52,MATCH('2025'!F929,Cad_Natureza!$C$3:$C$52,0),MATCH('2025'!D$2,Cad_Natureza!$B$3:$C$3,0))</f>
        <v>OUG1</v>
      </c>
      <c r="E929" s="40" t="s">
        <v>1097</v>
      </c>
      <c r="F929" s="85" t="s">
        <v>748</v>
      </c>
      <c r="G929" s="39" t="s">
        <v>25</v>
      </c>
      <c r="H929" s="42">
        <v>46020</v>
      </c>
      <c r="I929" s="42"/>
      <c r="J929" s="79" t="s">
        <v>1124</v>
      </c>
      <c r="K929" s="19">
        <v>-30</v>
      </c>
      <c r="L929" s="19">
        <f t="shared" si="97"/>
        <v>136.229999999999</v>
      </c>
      <c r="M929" s="38"/>
      <c r="N929" s="44" t="str">
        <f t="shared" si="99"/>
        <v>MCSOUG1CPF - Outros gastos</v>
      </c>
      <c r="O929" s="44" t="str">
        <f t="shared" si="100"/>
        <v>OUG1CPF - Outros gastos</v>
      </c>
      <c r="P929" s="44" t="str">
        <f t="shared" si="101"/>
        <v>MCSOUG1CPF - Outros gastos</v>
      </c>
      <c r="Q929" s="44" t="str">
        <f t="shared" si="102"/>
        <v>MCSOUG1</v>
      </c>
      <c r="R929" s="44" t="str">
        <f t="shared" si="103"/>
        <v>MCSOUG1</v>
      </c>
      <c r="S929" s="38"/>
      <c r="T929" s="45">
        <f t="shared" si="104"/>
        <v>45992</v>
      </c>
      <c r="U929" s="24" t="str">
        <f t="shared" si="98"/>
        <v/>
      </c>
    </row>
    <row r="930" spans="2:21" s="46" customFormat="1" x14ac:dyDescent="0.25">
      <c r="B930" s="37" t="s">
        <v>25</v>
      </c>
      <c r="C930" s="38"/>
      <c r="D930" s="63" t="str">
        <f>INDEX(Cad_Natureza!$B$3:$C$52,MATCH('2025'!F930,Cad_Natureza!$C$3:$C$52,0),MATCH('2025'!D$2,Cad_Natureza!$B$3:$C$3,0))</f>
        <v>REC5</v>
      </c>
      <c r="E930" s="64" t="s">
        <v>1098</v>
      </c>
      <c r="F930" s="65" t="s">
        <v>740</v>
      </c>
      <c r="G930" s="63" t="s">
        <v>25</v>
      </c>
      <c r="H930" s="66">
        <v>46020</v>
      </c>
      <c r="I930" s="66"/>
      <c r="J930" s="67" t="s">
        <v>1123</v>
      </c>
      <c r="K930" s="68">
        <v>30</v>
      </c>
      <c r="L930" s="68">
        <f t="shared" si="97"/>
        <v>166.229999999999</v>
      </c>
      <c r="M930" s="38"/>
      <c r="N930" s="44" t="str">
        <f t="shared" si="99"/>
        <v>MCSREC5CPF - Outras receitas</v>
      </c>
      <c r="O930" s="44" t="str">
        <f t="shared" si="100"/>
        <v>REC5CPF - Outras receitas</v>
      </c>
      <c r="P930" s="44" t="str">
        <f t="shared" si="101"/>
        <v>MCSREC5CPF - Outras receitas</v>
      </c>
      <c r="Q930" s="44" t="str">
        <f t="shared" si="102"/>
        <v>MCSREC5</v>
      </c>
      <c r="R930" s="44" t="str">
        <f t="shared" si="103"/>
        <v>MCSREC5</v>
      </c>
      <c r="S930" s="38"/>
      <c r="T930" s="45">
        <f t="shared" si="104"/>
        <v>45992</v>
      </c>
      <c r="U930" s="24" t="str">
        <f t="shared" si="98"/>
        <v/>
      </c>
    </row>
    <row r="931" spans="2:21" s="46" customFormat="1" x14ac:dyDescent="0.25">
      <c r="B931" s="37" t="s">
        <v>25</v>
      </c>
      <c r="C931" s="38"/>
      <c r="D931" s="39" t="str">
        <f>INDEX(Cad_Natureza!$B$3:$C$52,MATCH('2025'!F931,Cad_Natureza!$C$3:$C$52,0),MATCH('2025'!D$2,Cad_Natureza!$B$3:$C$3,0))</f>
        <v>GAST1</v>
      </c>
      <c r="E931" s="40" t="s">
        <v>1099</v>
      </c>
      <c r="F931" s="85" t="s">
        <v>742</v>
      </c>
      <c r="G931" s="39" t="s">
        <v>25</v>
      </c>
      <c r="H931" s="42">
        <v>46020</v>
      </c>
      <c r="I931" s="42"/>
      <c r="J931" s="79" t="s">
        <v>561</v>
      </c>
      <c r="K931" s="19">
        <v>-5</v>
      </c>
      <c r="L931" s="19">
        <f t="shared" si="97"/>
        <v>161.229999999999</v>
      </c>
      <c r="M931" s="38"/>
      <c r="N931" s="44" t="str">
        <f t="shared" si="99"/>
        <v>MCSGAST1CPF - Desp. Lazer e Entretenimento - Bares</v>
      </c>
      <c r="O931" s="44" t="str">
        <f t="shared" si="100"/>
        <v>GAST1CPF - Desp. Lazer e Entretenimento - Bares</v>
      </c>
      <c r="P931" s="44" t="str">
        <f t="shared" si="101"/>
        <v>MCSGAST1CPF - Desp. Lazer e Entretenimento - Bares</v>
      </c>
      <c r="Q931" s="44" t="str">
        <f t="shared" si="102"/>
        <v>MCSGAST1</v>
      </c>
      <c r="R931" s="44" t="str">
        <f t="shared" si="103"/>
        <v>MCSGAST1</v>
      </c>
      <c r="S931" s="38"/>
      <c r="T931" s="45">
        <f t="shared" si="104"/>
        <v>45992</v>
      </c>
      <c r="U931" s="24" t="str">
        <f t="shared" si="98"/>
        <v/>
      </c>
    </row>
    <row r="932" spans="2:21" s="46" customFormat="1" x14ac:dyDescent="0.25">
      <c r="B932" s="37" t="s">
        <v>25</v>
      </c>
      <c r="C932" s="38"/>
      <c r="D932" s="39" t="str">
        <f>INDEX(Cad_Natureza!$B$3:$C$52,MATCH('2025'!F932,Cad_Natureza!$C$3:$C$52,0),MATCH('2025'!D$2,Cad_Natureza!$B$3:$C$3,0))</f>
        <v>GAST1</v>
      </c>
      <c r="E932" s="40" t="s">
        <v>1100</v>
      </c>
      <c r="F932" s="85" t="s">
        <v>742</v>
      </c>
      <c r="G932" s="39" t="s">
        <v>25</v>
      </c>
      <c r="H932" s="42">
        <v>46020</v>
      </c>
      <c r="I932" s="42"/>
      <c r="J932" s="79" t="s">
        <v>561</v>
      </c>
      <c r="K932" s="19">
        <v>-4.5</v>
      </c>
      <c r="L932" s="19">
        <f t="shared" si="97"/>
        <v>156.729999999999</v>
      </c>
      <c r="M932" s="38"/>
      <c r="N932" s="44" t="str">
        <f t="shared" si="99"/>
        <v>MCSGAST1CPF - Desp. Lazer e Entretenimento - Bares</v>
      </c>
      <c r="O932" s="44" t="str">
        <f t="shared" si="100"/>
        <v>GAST1CPF - Desp. Lazer e Entretenimento - Bares</v>
      </c>
      <c r="P932" s="44" t="str">
        <f t="shared" si="101"/>
        <v>MCSGAST1CPF - Desp. Lazer e Entretenimento - Bares</v>
      </c>
      <c r="Q932" s="44" t="str">
        <f t="shared" si="102"/>
        <v>MCSGAST1</v>
      </c>
      <c r="R932" s="44" t="str">
        <f t="shared" si="103"/>
        <v>MCSGAST1</v>
      </c>
      <c r="S932" s="38"/>
      <c r="T932" s="45">
        <f t="shared" si="104"/>
        <v>45992</v>
      </c>
      <c r="U932" s="24" t="str">
        <f t="shared" si="98"/>
        <v/>
      </c>
    </row>
    <row r="933" spans="2:21" s="46" customFormat="1" x14ac:dyDescent="0.25">
      <c r="B933" s="37" t="s">
        <v>25</v>
      </c>
      <c r="C933" s="38"/>
      <c r="D933" s="63" t="str">
        <f>INDEX(Cad_Natureza!$B$3:$C$52,MATCH('2025'!F933,Cad_Natureza!$C$3:$C$52,0),MATCH('2025'!D$2,Cad_Natureza!$B$3:$C$3,0))</f>
        <v>REC5</v>
      </c>
      <c r="E933" s="64" t="s">
        <v>1101</v>
      </c>
      <c r="F933" s="65" t="s">
        <v>740</v>
      </c>
      <c r="G933" s="63" t="s">
        <v>25</v>
      </c>
      <c r="H933" s="66">
        <v>46020</v>
      </c>
      <c r="I933" s="66"/>
      <c r="J933" s="67" t="s">
        <v>1125</v>
      </c>
      <c r="K933" s="68">
        <v>261.23</v>
      </c>
      <c r="L933" s="68">
        <f t="shared" si="97"/>
        <v>417.95999999999901</v>
      </c>
      <c r="M933" s="38"/>
      <c r="N933" s="44" t="str">
        <f t="shared" si="99"/>
        <v>MCSREC5CPF - Outras receitas</v>
      </c>
      <c r="O933" s="44" t="str">
        <f t="shared" si="100"/>
        <v>REC5CPF - Outras receitas</v>
      </c>
      <c r="P933" s="44" t="str">
        <f t="shared" si="101"/>
        <v>MCSREC5CPF - Outras receitas</v>
      </c>
      <c r="Q933" s="44" t="str">
        <f t="shared" si="102"/>
        <v>MCSREC5</v>
      </c>
      <c r="R933" s="44" t="str">
        <f t="shared" si="103"/>
        <v>MCSREC5</v>
      </c>
      <c r="S933" s="38"/>
      <c r="T933" s="45">
        <f t="shared" si="104"/>
        <v>45992</v>
      </c>
      <c r="U933" s="24" t="str">
        <f t="shared" si="98"/>
        <v/>
      </c>
    </row>
    <row r="934" spans="2:21" s="46" customFormat="1" x14ac:dyDescent="0.25">
      <c r="B934" s="37" t="s">
        <v>25</v>
      </c>
      <c r="C934" s="38"/>
      <c r="D934" s="39" t="str">
        <f>INDEX(Cad_Natureza!$B$3:$C$52,MATCH('2025'!F934,Cad_Natureza!$C$3:$C$52,0),MATCH('2025'!D$2,Cad_Natureza!$B$3:$C$3,0))</f>
        <v>GAST2</v>
      </c>
      <c r="E934" s="40" t="s">
        <v>1102</v>
      </c>
      <c r="F934" s="41" t="s">
        <v>743</v>
      </c>
      <c r="G934" s="39" t="s">
        <v>25</v>
      </c>
      <c r="H934" s="42">
        <v>46021</v>
      </c>
      <c r="I934" s="42"/>
      <c r="J934" s="43" t="s">
        <v>180</v>
      </c>
      <c r="K934" s="19">
        <v>-5</v>
      </c>
      <c r="L934" s="19">
        <f t="shared" si="97"/>
        <v>412.95999999999901</v>
      </c>
      <c r="M934" s="38"/>
      <c r="N934" s="44" t="str">
        <f t="shared" si="99"/>
        <v>MCSGAST2CPF - Desp. Lazer e Entretenimento - Cigarro</v>
      </c>
      <c r="O934" s="44" t="str">
        <f t="shared" si="100"/>
        <v>GAST2CPF - Desp. Lazer e Entretenimento - Cigarro</v>
      </c>
      <c r="P934" s="44" t="str">
        <f t="shared" si="101"/>
        <v>MCSGAST2CPF - Desp. Lazer e Entretenimento - Cigarro</v>
      </c>
      <c r="Q934" s="44" t="str">
        <f t="shared" si="102"/>
        <v>MCSGAST2</v>
      </c>
      <c r="R934" s="44" t="str">
        <f t="shared" si="103"/>
        <v>MCSGAST2</v>
      </c>
      <c r="S934" s="38"/>
      <c r="T934" s="45">
        <f t="shared" si="104"/>
        <v>45992</v>
      </c>
      <c r="U934" s="24" t="str">
        <f t="shared" si="98"/>
        <v/>
      </c>
    </row>
    <row r="935" spans="2:21" s="46" customFormat="1" x14ac:dyDescent="0.25">
      <c r="B935" s="37" t="s">
        <v>25</v>
      </c>
      <c r="C935" s="38"/>
      <c r="D935" s="39" t="str">
        <f>INDEX(Cad_Natureza!$B$3:$C$52,MATCH('2025'!F935,Cad_Natureza!$C$3:$C$52,0),MATCH('2025'!D$2,Cad_Natureza!$B$3:$C$3,0))</f>
        <v>OPF2</v>
      </c>
      <c r="E935" s="40" t="s">
        <v>1103</v>
      </c>
      <c r="F935" s="85" t="s">
        <v>741</v>
      </c>
      <c r="G935" s="39" t="s">
        <v>25</v>
      </c>
      <c r="H935" s="42">
        <v>46021</v>
      </c>
      <c r="I935" s="42"/>
      <c r="J935" s="79" t="s">
        <v>674</v>
      </c>
      <c r="K935" s="19">
        <v>-50</v>
      </c>
      <c r="L935" s="19">
        <f t="shared" si="97"/>
        <v>362.95999999999901</v>
      </c>
      <c r="M935" s="38"/>
      <c r="N935" s="44" t="str">
        <f t="shared" si="99"/>
        <v>MCSOPF2CPF - Desp. Transporte / Combustível</v>
      </c>
      <c r="O935" s="44" t="str">
        <f t="shared" si="100"/>
        <v>OPF2CPF - Desp. Transporte / Combustível</v>
      </c>
      <c r="P935" s="44" t="str">
        <f t="shared" si="101"/>
        <v>MCSOPF2CPF - Desp. Transporte / Combustível</v>
      </c>
      <c r="Q935" s="44" t="str">
        <f t="shared" si="102"/>
        <v>MCSOPF2</v>
      </c>
      <c r="R935" s="44" t="str">
        <f t="shared" si="103"/>
        <v>MCSOPF2</v>
      </c>
      <c r="S935" s="38"/>
      <c r="T935" s="45">
        <f t="shared" si="104"/>
        <v>45992</v>
      </c>
      <c r="U935" s="24" t="str">
        <f t="shared" si="98"/>
        <v/>
      </c>
    </row>
    <row r="936" spans="2:21" s="46" customFormat="1" x14ac:dyDescent="0.25">
      <c r="B936" s="37" t="s">
        <v>25</v>
      </c>
      <c r="C936" s="38"/>
      <c r="D936" s="39" t="str">
        <f>INDEX(Cad_Natureza!$B$3:$C$52,MATCH('2025'!F936,Cad_Natureza!$C$3:$C$52,0),MATCH('2025'!D$2,Cad_Natureza!$B$3:$C$3,0))</f>
        <v>GAST2</v>
      </c>
      <c r="E936" s="40" t="s">
        <v>1104</v>
      </c>
      <c r="F936" s="41" t="s">
        <v>743</v>
      </c>
      <c r="G936" s="39" t="s">
        <v>25</v>
      </c>
      <c r="H936" s="42">
        <v>46022</v>
      </c>
      <c r="I936" s="42"/>
      <c r="J936" s="43" t="s">
        <v>180</v>
      </c>
      <c r="K936" s="19">
        <v>-10</v>
      </c>
      <c r="L936" s="19">
        <f t="shared" si="97"/>
        <v>352.95999999999901</v>
      </c>
      <c r="M936" s="38"/>
      <c r="N936" s="44" t="str">
        <f t="shared" si="99"/>
        <v>MCSGAST2CPF - Desp. Lazer e Entretenimento - Cigarro</v>
      </c>
      <c r="O936" s="44" t="str">
        <f t="shared" si="100"/>
        <v>GAST2CPF - Desp. Lazer e Entretenimento - Cigarro</v>
      </c>
      <c r="P936" s="44" t="str">
        <f t="shared" si="101"/>
        <v>MCSGAST2CPF - Desp. Lazer e Entretenimento - Cigarro</v>
      </c>
      <c r="Q936" s="44" t="str">
        <f t="shared" si="102"/>
        <v>MCSGAST2</v>
      </c>
      <c r="R936" s="44" t="str">
        <f t="shared" si="103"/>
        <v>MCSGAST2</v>
      </c>
      <c r="S936" s="38"/>
      <c r="T936" s="45">
        <f t="shared" si="104"/>
        <v>45992</v>
      </c>
      <c r="U936" s="24" t="str">
        <f t="shared" si="98"/>
        <v/>
      </c>
    </row>
    <row r="937" spans="2:21" s="46" customFormat="1" x14ac:dyDescent="0.25">
      <c r="B937" s="37" t="s">
        <v>25</v>
      </c>
      <c r="C937" s="38"/>
      <c r="D937" s="39" t="str">
        <f>INDEX(Cad_Natureza!$B$3:$C$52,MATCH('2025'!F937,Cad_Natureza!$C$3:$C$52,0),MATCH('2025'!D$2,Cad_Natureza!$B$3:$C$3,0))</f>
        <v>PENS2</v>
      </c>
      <c r="E937" s="40" t="s">
        <v>1184</v>
      </c>
      <c r="F937" s="41" t="s">
        <v>715</v>
      </c>
      <c r="G937" s="39" t="s">
        <v>25</v>
      </c>
      <c r="H937" s="42">
        <v>45943</v>
      </c>
      <c r="I937" s="42"/>
      <c r="J937" s="78"/>
      <c r="K937" s="62">
        <v>0</v>
      </c>
      <c r="L937" s="19">
        <f>L935+K937</f>
        <v>362.95999999999901</v>
      </c>
      <c r="M937" s="38"/>
      <c r="N937" s="44" t="str">
        <f t="shared" si="99"/>
        <v>MCSPENS2CPF - Pensão - Energia</v>
      </c>
      <c r="O937" s="44" t="str">
        <f t="shared" si="100"/>
        <v>PENS2CPF - Pensão - Energia</v>
      </c>
      <c r="P937" s="44" t="str">
        <f t="shared" si="101"/>
        <v>MCSPENS2CPF - Pensão - Energia</v>
      </c>
      <c r="Q937" s="44" t="str">
        <f t="shared" si="102"/>
        <v>MCSPENS2</v>
      </c>
      <c r="R937" s="44" t="str">
        <f t="shared" si="103"/>
        <v>MCSPENS2</v>
      </c>
      <c r="S937" s="38"/>
      <c r="T937" s="45">
        <f t="shared" si="104"/>
        <v>45931</v>
      </c>
      <c r="U937" s="24" t="str">
        <f t="shared" si="98"/>
        <v/>
      </c>
    </row>
    <row r="938" spans="2:21" s="46" customFormat="1" x14ac:dyDescent="0.25">
      <c r="B938" s="37" t="s">
        <v>25</v>
      </c>
      <c r="C938" s="38"/>
      <c r="D938" s="39" t="str">
        <f>INDEX(Cad_Natureza!$B$3:$C$52,MATCH('2025'!F938,Cad_Natureza!$C$3:$C$52,0),MATCH('2025'!D$2,Cad_Natureza!$B$3:$C$3,0))</f>
        <v>GAST2</v>
      </c>
      <c r="E938" s="40" t="s">
        <v>1105</v>
      </c>
      <c r="F938" s="41" t="s">
        <v>743</v>
      </c>
      <c r="G938" s="39" t="s">
        <v>25</v>
      </c>
      <c r="H938" s="42">
        <v>46024</v>
      </c>
      <c r="I938" s="42"/>
      <c r="J938" s="43" t="s">
        <v>180</v>
      </c>
      <c r="K938" s="19">
        <v>-5</v>
      </c>
      <c r="L938" s="19">
        <f>L936+K938</f>
        <v>347.95999999999901</v>
      </c>
      <c r="M938" s="38"/>
      <c r="N938" s="44" t="str">
        <f t="shared" si="99"/>
        <v>MCSGAST2CPF - Desp. Lazer e Entretenimento - Cigarro</v>
      </c>
      <c r="O938" s="44" t="str">
        <f t="shared" si="100"/>
        <v>GAST2CPF - Desp. Lazer e Entretenimento - Cigarro</v>
      </c>
      <c r="P938" s="44" t="str">
        <f t="shared" si="101"/>
        <v>MCSGAST2CPF - Desp. Lazer e Entretenimento - Cigarro</v>
      </c>
      <c r="Q938" s="44" t="str">
        <f t="shared" si="102"/>
        <v>MCSGAST2</v>
      </c>
      <c r="R938" s="44" t="str">
        <f t="shared" si="103"/>
        <v>MCSGAST2</v>
      </c>
      <c r="S938" s="38"/>
      <c r="T938" s="45">
        <f t="shared" si="104"/>
        <v>46023</v>
      </c>
      <c r="U938" s="24" t="str">
        <f t="shared" si="98"/>
        <v/>
      </c>
    </row>
    <row r="939" spans="2:21" s="46" customFormat="1" x14ac:dyDescent="0.25">
      <c r="B939" s="37" t="s">
        <v>25</v>
      </c>
      <c r="C939" s="38"/>
      <c r="D939" s="39" t="str">
        <f>INDEX(Cad_Natureza!$B$3:$C$52,MATCH('2025'!F939,Cad_Natureza!$C$3:$C$52,0),MATCH('2025'!D$2,Cad_Natureza!$B$3:$C$3,0))</f>
        <v>DESP2</v>
      </c>
      <c r="E939" s="40" t="s">
        <v>1106</v>
      </c>
      <c r="F939" s="41" t="s">
        <v>739</v>
      </c>
      <c r="G939" s="39" t="s">
        <v>25</v>
      </c>
      <c r="H939" s="42">
        <v>46027</v>
      </c>
      <c r="I939" s="42"/>
      <c r="J939" s="79" t="s">
        <v>1126</v>
      </c>
      <c r="K939" s="19">
        <v>-86.64</v>
      </c>
      <c r="L939" s="19">
        <f t="shared" si="97"/>
        <v>261.31999999999903</v>
      </c>
      <c r="M939" s="38"/>
      <c r="N939" s="44" t="str">
        <f t="shared" si="99"/>
        <v>MCSDESP2CPF - Desp. Telefone / Internet</v>
      </c>
      <c r="O939" s="44" t="str">
        <f t="shared" si="100"/>
        <v>DESP2CPF - Desp. Telefone / Internet</v>
      </c>
      <c r="P939" s="44" t="str">
        <f t="shared" si="101"/>
        <v>MCSDESP2CPF - Desp. Telefone / Internet</v>
      </c>
      <c r="Q939" s="44" t="str">
        <f t="shared" si="102"/>
        <v>MCSDESP2</v>
      </c>
      <c r="R939" s="44" t="str">
        <f t="shared" si="103"/>
        <v>MCSDESP2</v>
      </c>
      <c r="S939" s="38"/>
      <c r="T939" s="45">
        <f t="shared" si="104"/>
        <v>46023</v>
      </c>
      <c r="U939" s="24" t="str">
        <f t="shared" si="98"/>
        <v/>
      </c>
    </row>
    <row r="940" spans="2:21" s="46" customFormat="1" x14ac:dyDescent="0.25">
      <c r="B940" s="37" t="s">
        <v>25</v>
      </c>
      <c r="C940" s="38"/>
      <c r="D940" s="39" t="str">
        <f>INDEX(Cad_Natureza!$B$3:$C$52,MATCH('2025'!F940,Cad_Natureza!$C$3:$C$52,0),MATCH('2025'!D$2,Cad_Natureza!$B$3:$C$3,0))</f>
        <v>DESP2</v>
      </c>
      <c r="E940" s="40" t="s">
        <v>1107</v>
      </c>
      <c r="F940" s="41" t="s">
        <v>739</v>
      </c>
      <c r="G940" s="39" t="s">
        <v>25</v>
      </c>
      <c r="H940" s="42">
        <v>46027</v>
      </c>
      <c r="I940" s="42"/>
      <c r="J940" s="79" t="s">
        <v>1127</v>
      </c>
      <c r="K940" s="19">
        <v>-38.130000000000003</v>
      </c>
      <c r="L940" s="19">
        <f t="shared" si="97"/>
        <v>223.18999999999903</v>
      </c>
      <c r="M940" s="38"/>
      <c r="N940" s="44" t="str">
        <f t="shared" si="99"/>
        <v>MCSDESP2CPF - Desp. Telefone / Internet</v>
      </c>
      <c r="O940" s="44" t="str">
        <f t="shared" si="100"/>
        <v>DESP2CPF - Desp. Telefone / Internet</v>
      </c>
      <c r="P940" s="44" t="str">
        <f t="shared" si="101"/>
        <v>MCSDESP2CPF - Desp. Telefone / Internet</v>
      </c>
      <c r="Q940" s="44" t="str">
        <f t="shared" si="102"/>
        <v>MCSDESP2</v>
      </c>
      <c r="R940" s="44" t="str">
        <f t="shared" si="103"/>
        <v>MCSDESP2</v>
      </c>
      <c r="S940" s="38"/>
      <c r="T940" s="45">
        <f t="shared" si="104"/>
        <v>46023</v>
      </c>
      <c r="U940" s="24" t="str">
        <f t="shared" si="98"/>
        <v/>
      </c>
    </row>
    <row r="941" spans="2:21" s="184" customFormat="1" x14ac:dyDescent="0.25">
      <c r="B941" s="184" t="s">
        <v>18</v>
      </c>
      <c r="C941" s="185" t="s">
        <v>18</v>
      </c>
      <c r="D941" s="184" t="s">
        <v>18</v>
      </c>
      <c r="E941" s="184" t="s">
        <v>18</v>
      </c>
      <c r="F941" s="31" t="s">
        <v>18</v>
      </c>
      <c r="G941" s="184" t="s">
        <v>18</v>
      </c>
      <c r="H941" s="184" t="s">
        <v>18</v>
      </c>
      <c r="I941" s="243" t="s">
        <v>18</v>
      </c>
      <c r="J941" s="184" t="s">
        <v>18</v>
      </c>
      <c r="K941" s="184" t="s">
        <v>18</v>
      </c>
      <c r="M941" s="185" t="s">
        <v>18</v>
      </c>
      <c r="N941" s="31" t="s">
        <v>18</v>
      </c>
      <c r="O941" s="31" t="s">
        <v>18</v>
      </c>
      <c r="P941" s="31" t="s">
        <v>18</v>
      </c>
      <c r="Q941" s="31" t="s">
        <v>18</v>
      </c>
      <c r="R941" s="31" t="s">
        <v>18</v>
      </c>
      <c r="S941" s="185" t="s">
        <v>18</v>
      </c>
      <c r="T941" s="184" t="s">
        <v>18</v>
      </c>
      <c r="U941" s="184" t="s">
        <v>18</v>
      </c>
    </row>
  </sheetData>
  <autoFilter ref="B2:V2" xr:uid="{75B161CC-3DE7-4E6E-BDAB-335760B3D941}"/>
  <dataValidations count="2">
    <dataValidation type="list" allowBlank="1" showInputMessage="1" showErrorMessage="1" sqref="G3:G940" xr:uid="{1DB1331D-16AA-4CEE-B623-41EB6AD47CA2}">
      <formula1>Lista_Socios</formula1>
    </dataValidation>
    <dataValidation type="list" allowBlank="1" showInputMessage="1" showErrorMessage="1" sqref="F3:F940" xr:uid="{4874648F-87DD-4B48-93E7-1F7E0DFC2ABC}">
      <formula1>Lista_CRs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FF0000"/>
  </sheetPr>
  <dimension ref="A1:V688"/>
  <sheetViews>
    <sheetView showGridLines="0" tabSelected="1" zoomScale="85" zoomScaleNormal="85" workbookViewId="0">
      <pane xSplit="2" ySplit="2" topLeftCell="C647" activePane="bottomRight" state="frozen"/>
      <selection activeCell="X47" sqref="X47"/>
      <selection pane="topRight" activeCell="X47" sqref="X47"/>
      <selection pane="bottomLeft" activeCell="X47" sqref="X47"/>
      <selection pane="bottomRight" activeCell="H668" sqref="H668"/>
    </sheetView>
  </sheetViews>
  <sheetFormatPr defaultColWidth="9.140625" defaultRowHeight="15" outlineLevelCol="1" x14ac:dyDescent="0.25"/>
  <cols>
    <col min="1" max="1" width="1.85546875" style="14" customWidth="1"/>
    <col min="2" max="2" width="9.85546875" style="16" customWidth="1"/>
    <col min="3" max="3" width="2.28515625" style="14" customWidth="1"/>
    <col min="4" max="4" width="11" style="16" customWidth="1"/>
    <col min="5" max="5" width="59.7109375" style="14" bestFit="1" customWidth="1"/>
    <col min="6" max="6" width="47" style="21" bestFit="1" customWidth="1"/>
    <col min="7" max="7" width="13.7109375" style="16" bestFit="1" customWidth="1"/>
    <col min="8" max="8" width="15.28515625" style="16" customWidth="1"/>
    <col min="9" max="9" width="17.85546875" style="241" bestFit="1" customWidth="1"/>
    <col min="10" max="10" width="62.7109375" style="16" bestFit="1" customWidth="1"/>
    <col min="11" max="11" width="15.85546875" style="14" bestFit="1" customWidth="1"/>
    <col min="12" max="12" width="17.42578125" style="14" customWidth="1"/>
    <col min="13" max="13" width="1.7109375" style="14" customWidth="1"/>
    <col min="14" max="14" width="16.5703125" style="21" hidden="1" customWidth="1" outlineLevel="1"/>
    <col min="15" max="15" width="10.85546875" style="21" hidden="1" customWidth="1" outlineLevel="1"/>
    <col min="16" max="16" width="14.85546875" style="21" hidden="1" customWidth="1" outlineLevel="1"/>
    <col min="17" max="17" width="12.7109375" style="21" hidden="1" customWidth="1" outlineLevel="1"/>
    <col min="18" max="18" width="21.5703125" style="21" hidden="1" customWidth="1" outlineLevel="1"/>
    <col min="19" max="19" width="2.85546875" style="14" hidden="1" customWidth="1" outlineLevel="1"/>
    <col min="20" max="20" width="16" style="16" bestFit="1" customWidth="1" collapsed="1"/>
    <col min="21" max="21" width="20" bestFit="1" customWidth="1"/>
    <col min="22" max="16384" width="9.140625" style="14"/>
  </cols>
  <sheetData>
    <row r="1" spans="2:22" x14ac:dyDescent="0.25">
      <c r="B1" s="31"/>
      <c r="K1" s="34">
        <f>SUBTOTAL(9,K3:K687)</f>
        <v>-2945.87</v>
      </c>
      <c r="L1" s="25">
        <v>-1</v>
      </c>
      <c r="T1" s="27"/>
    </row>
    <row r="2" spans="2:22" s="16" customFormat="1" x14ac:dyDescent="0.25">
      <c r="B2" s="32" t="s">
        <v>828</v>
      </c>
      <c r="C2" s="8" t="s">
        <v>18</v>
      </c>
      <c r="D2" s="13" t="s">
        <v>32</v>
      </c>
      <c r="E2" s="35" t="s">
        <v>17</v>
      </c>
      <c r="F2" s="35" t="s">
        <v>24</v>
      </c>
      <c r="G2" s="13" t="s">
        <v>799</v>
      </c>
      <c r="H2" s="13" t="s">
        <v>829</v>
      </c>
      <c r="I2" s="242" t="s">
        <v>830</v>
      </c>
      <c r="J2" s="13" t="s">
        <v>16</v>
      </c>
      <c r="K2" s="15" t="s">
        <v>33</v>
      </c>
      <c r="L2" s="15" t="s">
        <v>179</v>
      </c>
      <c r="M2" s="8" t="s">
        <v>18</v>
      </c>
      <c r="N2" s="3" t="s">
        <v>835</v>
      </c>
      <c r="O2" s="3" t="s">
        <v>19</v>
      </c>
      <c r="P2" s="3" t="s">
        <v>20</v>
      </c>
      <c r="Q2" s="3" t="s">
        <v>20</v>
      </c>
      <c r="R2" s="3" t="s">
        <v>834</v>
      </c>
      <c r="S2" s="8" t="s">
        <v>18</v>
      </c>
      <c r="T2" s="23" t="s">
        <v>826</v>
      </c>
      <c r="U2" s="23" t="s">
        <v>827</v>
      </c>
      <c r="V2" s="16" t="s">
        <v>731</v>
      </c>
    </row>
    <row r="3" spans="2:22" s="300" customFormat="1" x14ac:dyDescent="0.25">
      <c r="B3" s="301" t="s">
        <v>25</v>
      </c>
      <c r="C3" s="302"/>
      <c r="D3" s="86" t="str">
        <f>INDEX(Cad_Natureza!$B$3:$C$52,MATCH('2026'!F3,Cad_Natureza!$C$3:$C$52,0),MATCH('2026'!D$2,Cad_Natureza!$B$3:$C$3,0))</f>
        <v>GAST2</v>
      </c>
      <c r="E3" s="84" t="s">
        <v>1105</v>
      </c>
      <c r="F3" s="85" t="s">
        <v>743</v>
      </c>
      <c r="G3" s="86" t="s">
        <v>25</v>
      </c>
      <c r="H3" s="87">
        <v>46024</v>
      </c>
      <c r="I3" s="87"/>
      <c r="J3" s="79" t="s">
        <v>180</v>
      </c>
      <c r="K3" s="62">
        <v>-5</v>
      </c>
      <c r="L3" s="303">
        <v>347.96</v>
      </c>
      <c r="M3" s="302"/>
      <c r="N3" s="21" t="str">
        <f t="shared" ref="N3:N660" si="0">B3&amp;D3&amp;F3</f>
        <v>MCSGAST2CPF - Desp. Lazer e Entretenimento - Cigarro</v>
      </c>
      <c r="O3" s="21" t="str">
        <f t="shared" ref="O3:O660" si="1">D3&amp;F3</f>
        <v>GAST2CPF - Desp. Lazer e Entretenimento - Cigarro</v>
      </c>
      <c r="P3" s="21" t="str">
        <f t="shared" ref="P3:P660" si="2">"MCS"&amp;D3&amp;F3</f>
        <v>MCSGAST2CPF - Desp. Lazer e Entretenimento - Cigarro</v>
      </c>
      <c r="Q3" s="21" t="str">
        <f t="shared" ref="Q3:Q660" si="3">"MCS"&amp;D3</f>
        <v>MCSGAST2</v>
      </c>
      <c r="R3" s="21" t="str">
        <f t="shared" ref="R3:R660" si="4">B3&amp;D3</f>
        <v>MCSGAST2</v>
      </c>
      <c r="S3" s="17"/>
      <c r="T3" s="304">
        <f t="shared" ref="T3:T660" si="5">(1&amp;"/"&amp;MONTH(H3)&amp;"/"&amp;YEAR(H3))*1</f>
        <v>46023</v>
      </c>
      <c r="U3" s="304" t="str">
        <f t="shared" ref="U3:U660" si="6">IF(I3="","",(1&amp;"/"&amp;MONTH(I3)&amp;"/"&amp;YEAR(I3))*1)</f>
        <v/>
      </c>
      <c r="V3" s="300" t="s">
        <v>761</v>
      </c>
    </row>
    <row r="4" spans="2:22" s="300" customFormat="1" x14ac:dyDescent="0.25">
      <c r="B4" s="301" t="s">
        <v>25</v>
      </c>
      <c r="C4" s="302"/>
      <c r="D4" s="86" t="str">
        <f>INDEX(Cad_Natureza!$B$3:$C$52,MATCH('2026'!F4,Cad_Natureza!$C$3:$C$52,0),MATCH('2026'!D$2,Cad_Natureza!$B$3:$C$3,0))</f>
        <v>DESP2</v>
      </c>
      <c r="E4" s="84" t="s">
        <v>1106</v>
      </c>
      <c r="F4" s="85" t="s">
        <v>739</v>
      </c>
      <c r="G4" s="86" t="s">
        <v>25</v>
      </c>
      <c r="H4" s="87">
        <v>46027</v>
      </c>
      <c r="I4" s="87"/>
      <c r="J4" s="79" t="s">
        <v>1126</v>
      </c>
      <c r="K4" s="62">
        <v>-86.64</v>
      </c>
      <c r="L4" s="62">
        <f t="shared" ref="L4:L67" si="7">L3+K4</f>
        <v>261.32</v>
      </c>
      <c r="M4" s="302"/>
      <c r="N4" s="21" t="str">
        <f t="shared" si="0"/>
        <v>MCSDESP2CPF - Desp. Telefone / Internet</v>
      </c>
      <c r="O4" s="21" t="str">
        <f t="shared" si="1"/>
        <v>DESP2CPF - Desp. Telefone / Internet</v>
      </c>
      <c r="P4" s="21" t="str">
        <f t="shared" si="2"/>
        <v>MCSDESP2CPF - Desp. Telefone / Internet</v>
      </c>
      <c r="Q4" s="21" t="str">
        <f t="shared" si="3"/>
        <v>MCSDESP2</v>
      </c>
      <c r="R4" s="21" t="str">
        <f t="shared" si="4"/>
        <v>MCSDESP2</v>
      </c>
      <c r="S4" s="17"/>
      <c r="T4" s="304">
        <f t="shared" si="5"/>
        <v>46023</v>
      </c>
      <c r="U4" s="304" t="str">
        <f t="shared" si="6"/>
        <v/>
      </c>
      <c r="V4" s="300" t="s">
        <v>761</v>
      </c>
    </row>
    <row r="5" spans="2:22" s="300" customFormat="1" x14ac:dyDescent="0.25">
      <c r="B5" s="301" t="s">
        <v>25</v>
      </c>
      <c r="C5" s="302"/>
      <c r="D5" s="86" t="str">
        <f>INDEX(Cad_Natureza!$B$3:$C$52,MATCH('2026'!F5,Cad_Natureza!$C$3:$C$52,0),MATCH('2026'!D$2,Cad_Natureza!$B$3:$C$3,0))</f>
        <v>DESP2</v>
      </c>
      <c r="E5" s="84" t="s">
        <v>1107</v>
      </c>
      <c r="F5" s="85" t="s">
        <v>739</v>
      </c>
      <c r="G5" s="86" t="s">
        <v>25</v>
      </c>
      <c r="H5" s="87">
        <v>46027</v>
      </c>
      <c r="I5" s="87"/>
      <c r="J5" s="79" t="s">
        <v>1127</v>
      </c>
      <c r="K5" s="62">
        <v>-38.130000000000003</v>
      </c>
      <c r="L5" s="62">
        <f t="shared" si="7"/>
        <v>223.19</v>
      </c>
      <c r="M5" s="302"/>
      <c r="N5" s="21" t="str">
        <f t="shared" si="0"/>
        <v>MCSDESP2CPF - Desp. Telefone / Internet</v>
      </c>
      <c r="O5" s="21" t="str">
        <f t="shared" si="1"/>
        <v>DESP2CPF - Desp. Telefone / Internet</v>
      </c>
      <c r="P5" s="21" t="str">
        <f t="shared" si="2"/>
        <v>MCSDESP2CPF - Desp. Telefone / Internet</v>
      </c>
      <c r="Q5" s="21" t="str">
        <f t="shared" si="3"/>
        <v>MCSDESP2</v>
      </c>
      <c r="R5" s="21" t="str">
        <f t="shared" si="4"/>
        <v>MCSDESP2</v>
      </c>
      <c r="S5" s="17"/>
      <c r="T5" s="304">
        <f t="shared" si="5"/>
        <v>46023</v>
      </c>
      <c r="U5" s="304" t="str">
        <f t="shared" si="6"/>
        <v/>
      </c>
      <c r="V5" s="300" t="s">
        <v>761</v>
      </c>
    </row>
    <row r="6" spans="2:22" s="300" customFormat="1" x14ac:dyDescent="0.25">
      <c r="B6" s="301" t="s">
        <v>25</v>
      </c>
      <c r="C6" s="302"/>
      <c r="D6" s="86" t="str">
        <f>INDEX(Cad_Natureza!$B$3:$C$52,MATCH('2026'!F6,Cad_Natureza!$C$3:$C$52,0),MATCH('2026'!D$2,Cad_Natureza!$B$3:$C$3,0))</f>
        <v>GAST2</v>
      </c>
      <c r="E6" s="84" t="s">
        <v>1201</v>
      </c>
      <c r="F6" s="85" t="s">
        <v>743</v>
      </c>
      <c r="G6" s="86" t="s">
        <v>25</v>
      </c>
      <c r="H6" s="87">
        <v>46027</v>
      </c>
      <c r="I6" s="87"/>
      <c r="J6" s="79" t="s">
        <v>180</v>
      </c>
      <c r="K6" s="62">
        <v>-10</v>
      </c>
      <c r="L6" s="62">
        <f t="shared" si="7"/>
        <v>213.19</v>
      </c>
      <c r="M6" s="302"/>
      <c r="N6" s="44" t="str">
        <f t="shared" si="0"/>
        <v>MCSGAST2CPF - Desp. Lazer e Entretenimento - Cigarro</v>
      </c>
      <c r="O6" s="44" t="str">
        <f t="shared" si="1"/>
        <v>GAST2CPF - Desp. Lazer e Entretenimento - Cigarro</v>
      </c>
      <c r="P6" s="44" t="str">
        <f t="shared" si="2"/>
        <v>MCSGAST2CPF - Desp. Lazer e Entretenimento - Cigarro</v>
      </c>
      <c r="Q6" s="44" t="str">
        <f t="shared" si="3"/>
        <v>MCSGAST2</v>
      </c>
      <c r="R6" s="44" t="str">
        <f t="shared" si="4"/>
        <v>MCSGAST2</v>
      </c>
      <c r="S6" s="38"/>
      <c r="T6" s="304">
        <f t="shared" si="5"/>
        <v>46023</v>
      </c>
      <c r="U6" s="304" t="str">
        <f t="shared" si="6"/>
        <v/>
      </c>
      <c r="V6" s="300" t="s">
        <v>761</v>
      </c>
    </row>
    <row r="7" spans="2:22" s="300" customFormat="1" x14ac:dyDescent="0.25">
      <c r="B7" s="301" t="s">
        <v>25</v>
      </c>
      <c r="C7" s="302"/>
      <c r="D7" s="86" t="str">
        <f>INDEX(Cad_Natureza!$B$3:$C$52,MATCH('2026'!F7,Cad_Natureza!$C$3:$C$52,0),MATCH('2026'!D$2,Cad_Natureza!$B$3:$C$3,0))</f>
        <v>GAST2</v>
      </c>
      <c r="E7" s="84" t="s">
        <v>1202</v>
      </c>
      <c r="F7" s="85" t="s">
        <v>743</v>
      </c>
      <c r="G7" s="86" t="s">
        <v>25</v>
      </c>
      <c r="H7" s="87">
        <v>46027</v>
      </c>
      <c r="I7" s="87"/>
      <c r="J7" s="79" t="s">
        <v>180</v>
      </c>
      <c r="K7" s="62">
        <v>-4</v>
      </c>
      <c r="L7" s="62">
        <f t="shared" si="7"/>
        <v>209.19</v>
      </c>
      <c r="M7" s="302"/>
      <c r="N7" s="44" t="str">
        <f t="shared" si="0"/>
        <v>MCSGAST2CPF - Desp. Lazer e Entretenimento - Cigarro</v>
      </c>
      <c r="O7" s="44" t="str">
        <f t="shared" si="1"/>
        <v>GAST2CPF - Desp. Lazer e Entretenimento - Cigarro</v>
      </c>
      <c r="P7" s="44" t="str">
        <f t="shared" si="2"/>
        <v>MCSGAST2CPF - Desp. Lazer e Entretenimento - Cigarro</v>
      </c>
      <c r="Q7" s="44" t="str">
        <f t="shared" si="3"/>
        <v>MCSGAST2</v>
      </c>
      <c r="R7" s="44" t="str">
        <f t="shared" si="4"/>
        <v>MCSGAST2</v>
      </c>
      <c r="S7" s="38"/>
      <c r="T7" s="304">
        <f t="shared" si="5"/>
        <v>46023</v>
      </c>
      <c r="U7" s="304" t="str">
        <f t="shared" si="6"/>
        <v/>
      </c>
      <c r="V7" s="300" t="s">
        <v>761</v>
      </c>
    </row>
    <row r="8" spans="2:22" s="300" customFormat="1" x14ac:dyDescent="0.25">
      <c r="B8" s="301" t="s">
        <v>25</v>
      </c>
      <c r="C8" s="302"/>
      <c r="D8" s="86" t="str">
        <f>INDEX(Cad_Natureza!$B$3:$C$52,MATCH('2026'!F8,Cad_Natureza!$C$3:$C$52,0),MATCH('2026'!D$2,Cad_Natureza!$B$3:$C$3,0))</f>
        <v>OPF2</v>
      </c>
      <c r="E8" s="84" t="s">
        <v>1203</v>
      </c>
      <c r="F8" s="85" t="s">
        <v>741</v>
      </c>
      <c r="G8" s="86" t="s">
        <v>25</v>
      </c>
      <c r="H8" s="87">
        <v>46027</v>
      </c>
      <c r="I8" s="87"/>
      <c r="J8" s="79" t="s">
        <v>184</v>
      </c>
      <c r="K8" s="62">
        <v>-50</v>
      </c>
      <c r="L8" s="62">
        <f t="shared" si="7"/>
        <v>159.19</v>
      </c>
      <c r="M8" s="302"/>
      <c r="N8" s="44" t="str">
        <f t="shared" si="0"/>
        <v>MCSOPF2CPF - Desp. Transporte / Combustível</v>
      </c>
      <c r="O8" s="44" t="str">
        <f t="shared" si="1"/>
        <v>OPF2CPF - Desp. Transporte / Combustível</v>
      </c>
      <c r="P8" s="44" t="str">
        <f t="shared" si="2"/>
        <v>MCSOPF2CPF - Desp. Transporte / Combustível</v>
      </c>
      <c r="Q8" s="44" t="str">
        <f t="shared" si="3"/>
        <v>MCSOPF2</v>
      </c>
      <c r="R8" s="44" t="str">
        <f t="shared" si="4"/>
        <v>MCSOPF2</v>
      </c>
      <c r="S8" s="38"/>
      <c r="T8" s="304">
        <f t="shared" si="5"/>
        <v>46023</v>
      </c>
      <c r="U8" s="304" t="str">
        <f t="shared" si="6"/>
        <v/>
      </c>
      <c r="V8" s="300" t="s">
        <v>761</v>
      </c>
    </row>
    <row r="9" spans="2:22" s="300" customFormat="1" x14ac:dyDescent="0.25">
      <c r="B9" s="301" t="s">
        <v>25</v>
      </c>
      <c r="C9" s="302"/>
      <c r="D9" s="86" t="str">
        <f>INDEX(Cad_Natureza!$B$3:$C$52,MATCH('2026'!F9,Cad_Natureza!$C$3:$C$52,0),MATCH('2026'!D$2,Cad_Natureza!$B$3:$C$3,0))</f>
        <v>OPF1</v>
      </c>
      <c r="E9" s="84" t="s">
        <v>1204</v>
      </c>
      <c r="F9" s="85" t="s">
        <v>744</v>
      </c>
      <c r="G9" s="86" t="s">
        <v>25</v>
      </c>
      <c r="H9" s="87">
        <v>46027</v>
      </c>
      <c r="I9" s="87"/>
      <c r="J9" s="79" t="s">
        <v>182</v>
      </c>
      <c r="K9" s="62">
        <v>-23.33</v>
      </c>
      <c r="L9" s="62">
        <f t="shared" si="7"/>
        <v>135.86000000000001</v>
      </c>
      <c r="M9" s="302"/>
      <c r="N9" s="44" t="str">
        <f t="shared" si="0"/>
        <v>MCSOPF1CPF - Desp. Alimentação / Refeição</v>
      </c>
      <c r="O9" s="44" t="str">
        <f t="shared" si="1"/>
        <v>OPF1CPF - Desp. Alimentação / Refeição</v>
      </c>
      <c r="P9" s="44" t="str">
        <f t="shared" si="2"/>
        <v>MCSOPF1CPF - Desp. Alimentação / Refeição</v>
      </c>
      <c r="Q9" s="44" t="str">
        <f t="shared" si="3"/>
        <v>MCSOPF1</v>
      </c>
      <c r="R9" s="44" t="str">
        <f t="shared" si="4"/>
        <v>MCSOPF1</v>
      </c>
      <c r="S9" s="38"/>
      <c r="T9" s="304">
        <f t="shared" si="5"/>
        <v>46023</v>
      </c>
      <c r="U9" s="304" t="str">
        <f t="shared" si="6"/>
        <v/>
      </c>
      <c r="V9" s="300" t="s">
        <v>731</v>
      </c>
    </row>
    <row r="10" spans="2:22" s="300" customFormat="1" x14ac:dyDescent="0.25">
      <c r="B10" s="301" t="s">
        <v>25</v>
      </c>
      <c r="C10" s="302"/>
      <c r="D10" s="86" t="str">
        <f>INDEX(Cad_Natureza!$B$3:$C$52,MATCH('2026'!F10,Cad_Natureza!$C$3:$C$52,0),MATCH('2026'!D$2,Cad_Natureza!$B$3:$C$3,0))</f>
        <v>GAST1</v>
      </c>
      <c r="E10" s="84" t="s">
        <v>1205</v>
      </c>
      <c r="F10" s="85" t="s">
        <v>742</v>
      </c>
      <c r="G10" s="86" t="s">
        <v>25</v>
      </c>
      <c r="H10" s="87">
        <v>46027</v>
      </c>
      <c r="I10" s="87"/>
      <c r="J10" s="79" t="s">
        <v>185</v>
      </c>
      <c r="K10" s="62">
        <v>-16</v>
      </c>
      <c r="L10" s="62">
        <f t="shared" si="7"/>
        <v>119.86000000000001</v>
      </c>
      <c r="M10" s="302"/>
      <c r="N10" s="44" t="str">
        <f t="shared" si="0"/>
        <v>MCSGAST1CPF - Desp. Lazer e Entretenimento - Bares</v>
      </c>
      <c r="O10" s="44" t="str">
        <f t="shared" si="1"/>
        <v>GAST1CPF - Desp. Lazer e Entretenimento - Bares</v>
      </c>
      <c r="P10" s="44" t="str">
        <f t="shared" si="2"/>
        <v>MCSGAST1CPF - Desp. Lazer e Entretenimento - Bares</v>
      </c>
      <c r="Q10" s="44" t="str">
        <f t="shared" si="3"/>
        <v>MCSGAST1</v>
      </c>
      <c r="R10" s="44" t="str">
        <f t="shared" si="4"/>
        <v>MCSGAST1</v>
      </c>
      <c r="S10" s="38"/>
      <c r="T10" s="304">
        <f t="shared" si="5"/>
        <v>46023</v>
      </c>
      <c r="U10" s="304" t="str">
        <f t="shared" si="6"/>
        <v/>
      </c>
      <c r="V10" s="300" t="s">
        <v>731</v>
      </c>
    </row>
    <row r="11" spans="2:22" s="300" customFormat="1" x14ac:dyDescent="0.25">
      <c r="B11" s="301" t="s">
        <v>25</v>
      </c>
      <c r="C11" s="302"/>
      <c r="D11" s="86" t="str">
        <f>INDEX(Cad_Natureza!$B$3:$C$52,MATCH('2026'!F11,Cad_Natureza!$C$3:$C$52,0),MATCH('2026'!D$2,Cad_Natureza!$B$3:$C$3,0))</f>
        <v>PENS6</v>
      </c>
      <c r="E11" s="84" t="s">
        <v>1206</v>
      </c>
      <c r="F11" s="85" t="s">
        <v>37</v>
      </c>
      <c r="G11" s="86" t="s">
        <v>25</v>
      </c>
      <c r="H11" s="87">
        <v>46027</v>
      </c>
      <c r="I11" s="87"/>
      <c r="J11" s="78" t="s">
        <v>196</v>
      </c>
      <c r="K11" s="62">
        <v>-14.49</v>
      </c>
      <c r="L11" s="62">
        <f t="shared" si="7"/>
        <v>105.37000000000002</v>
      </c>
      <c r="M11" s="302"/>
      <c r="N11" s="44" t="str">
        <f t="shared" si="0"/>
        <v>MCSPENS6CPF - Pensão - Farmácia e Saúde</v>
      </c>
      <c r="O11" s="44" t="str">
        <f t="shared" si="1"/>
        <v>PENS6CPF - Pensão - Farmácia e Saúde</v>
      </c>
      <c r="P11" s="44" t="str">
        <f t="shared" si="2"/>
        <v>MCSPENS6CPF - Pensão - Farmácia e Saúde</v>
      </c>
      <c r="Q11" s="44" t="str">
        <f t="shared" si="3"/>
        <v>MCSPENS6</v>
      </c>
      <c r="R11" s="44" t="str">
        <f t="shared" si="4"/>
        <v>MCSPENS6</v>
      </c>
      <c r="S11" s="38"/>
      <c r="T11" s="304">
        <f t="shared" si="5"/>
        <v>46023</v>
      </c>
      <c r="U11" s="304" t="str">
        <f t="shared" si="6"/>
        <v/>
      </c>
      <c r="V11" s="300" t="s">
        <v>761</v>
      </c>
    </row>
    <row r="12" spans="2:22" s="300" customFormat="1" x14ac:dyDescent="0.25">
      <c r="B12" s="301" t="s">
        <v>25</v>
      </c>
      <c r="C12" s="302"/>
      <c r="D12" s="86" t="str">
        <f>INDEX(Cad_Natureza!$B$3:$C$52,MATCH('2026'!F12,Cad_Natureza!$C$3:$C$52,0),MATCH('2026'!D$2,Cad_Natureza!$B$3:$C$3,0))</f>
        <v>GAST1</v>
      </c>
      <c r="E12" s="84" t="s">
        <v>1207</v>
      </c>
      <c r="F12" s="85" t="s">
        <v>742</v>
      </c>
      <c r="G12" s="86" t="s">
        <v>25</v>
      </c>
      <c r="H12" s="87">
        <v>46027</v>
      </c>
      <c r="I12" s="87"/>
      <c r="J12" s="79" t="s">
        <v>185</v>
      </c>
      <c r="K12" s="62">
        <v>-10</v>
      </c>
      <c r="L12" s="62">
        <f t="shared" si="7"/>
        <v>95.370000000000019</v>
      </c>
      <c r="M12" s="302"/>
      <c r="N12" s="44" t="str">
        <f t="shared" si="0"/>
        <v>MCSGAST1CPF - Desp. Lazer e Entretenimento - Bares</v>
      </c>
      <c r="O12" s="44" t="str">
        <f t="shared" si="1"/>
        <v>GAST1CPF - Desp. Lazer e Entretenimento - Bares</v>
      </c>
      <c r="P12" s="44" t="str">
        <f t="shared" si="2"/>
        <v>MCSGAST1CPF - Desp. Lazer e Entretenimento - Bares</v>
      </c>
      <c r="Q12" s="44" t="str">
        <f t="shared" si="3"/>
        <v>MCSGAST1</v>
      </c>
      <c r="R12" s="44" t="str">
        <f t="shared" si="4"/>
        <v>MCSGAST1</v>
      </c>
      <c r="S12" s="38"/>
      <c r="T12" s="304">
        <f t="shared" si="5"/>
        <v>46023</v>
      </c>
      <c r="U12" s="304" t="str">
        <f t="shared" si="6"/>
        <v/>
      </c>
      <c r="V12" s="300" t="s">
        <v>761</v>
      </c>
    </row>
    <row r="13" spans="2:22" s="300" customFormat="1" x14ac:dyDescent="0.25">
      <c r="B13" s="301" t="s">
        <v>25</v>
      </c>
      <c r="C13" s="302"/>
      <c r="D13" s="86" t="str">
        <f>INDEX(Cad_Natureza!$B$3:$C$52,MATCH('2026'!F13,Cad_Natureza!$C$3:$C$52,0),MATCH('2026'!D$2,Cad_Natureza!$B$3:$C$3,0))</f>
        <v>FIN2</v>
      </c>
      <c r="E13" s="84" t="s">
        <v>1208</v>
      </c>
      <c r="F13" s="85" t="s">
        <v>751</v>
      </c>
      <c r="G13" s="86" t="s">
        <v>25</v>
      </c>
      <c r="H13" s="87">
        <v>46027</v>
      </c>
      <c r="I13" s="87"/>
      <c r="J13" s="79" t="s">
        <v>188</v>
      </c>
      <c r="K13" s="62">
        <v>-28</v>
      </c>
      <c r="L13" s="62">
        <f t="shared" si="7"/>
        <v>67.370000000000019</v>
      </c>
      <c r="M13" s="302"/>
      <c r="N13" s="44" t="str">
        <f t="shared" si="0"/>
        <v>MCSFIN2CPF - Desp. Financeiras - Juros / Tarifas</v>
      </c>
      <c r="O13" s="44" t="str">
        <f t="shared" si="1"/>
        <v>FIN2CPF - Desp. Financeiras - Juros / Tarifas</v>
      </c>
      <c r="P13" s="44" t="str">
        <f t="shared" si="2"/>
        <v>MCSFIN2CPF - Desp. Financeiras - Juros / Tarifas</v>
      </c>
      <c r="Q13" s="44" t="str">
        <f t="shared" si="3"/>
        <v>MCSFIN2</v>
      </c>
      <c r="R13" s="44" t="str">
        <f t="shared" si="4"/>
        <v>MCSFIN2</v>
      </c>
      <c r="S13" s="38"/>
      <c r="T13" s="304">
        <f t="shared" si="5"/>
        <v>46023</v>
      </c>
      <c r="U13" s="304" t="str">
        <f t="shared" si="6"/>
        <v/>
      </c>
      <c r="V13" s="300" t="s">
        <v>761</v>
      </c>
    </row>
    <row r="14" spans="2:22" s="300" customFormat="1" x14ac:dyDescent="0.25">
      <c r="B14" s="301" t="s">
        <v>25</v>
      </c>
      <c r="C14" s="302"/>
      <c r="D14" s="86" t="str">
        <f>INDEX(Cad_Natureza!$B$3:$C$52,MATCH('2026'!F14,Cad_Natureza!$C$3:$C$52,0),MATCH('2026'!D$2,Cad_Natureza!$B$3:$C$3,0))</f>
        <v>OPF2</v>
      </c>
      <c r="E14" s="84" t="s">
        <v>1209</v>
      </c>
      <c r="F14" s="85" t="s">
        <v>741</v>
      </c>
      <c r="G14" s="86" t="s">
        <v>25</v>
      </c>
      <c r="H14" s="87">
        <v>46028</v>
      </c>
      <c r="I14" s="87"/>
      <c r="J14" s="79" t="s">
        <v>184</v>
      </c>
      <c r="K14" s="62">
        <v>-40</v>
      </c>
      <c r="L14" s="62">
        <f t="shared" si="7"/>
        <v>27.370000000000019</v>
      </c>
      <c r="M14" s="302"/>
      <c r="N14" s="44" t="str">
        <f t="shared" si="0"/>
        <v>MCSOPF2CPF - Desp. Transporte / Combustível</v>
      </c>
      <c r="O14" s="44" t="str">
        <f t="shared" si="1"/>
        <v>OPF2CPF - Desp. Transporte / Combustível</v>
      </c>
      <c r="P14" s="44" t="str">
        <f t="shared" si="2"/>
        <v>MCSOPF2CPF - Desp. Transporte / Combustível</v>
      </c>
      <c r="Q14" s="44" t="str">
        <f t="shared" si="3"/>
        <v>MCSOPF2</v>
      </c>
      <c r="R14" s="44" t="str">
        <f t="shared" si="4"/>
        <v>MCSOPF2</v>
      </c>
      <c r="S14" s="38"/>
      <c r="T14" s="304">
        <f t="shared" si="5"/>
        <v>46023</v>
      </c>
      <c r="U14" s="304" t="str">
        <f t="shared" si="6"/>
        <v/>
      </c>
      <c r="V14" s="300" t="s">
        <v>761</v>
      </c>
    </row>
    <row r="15" spans="2:22" s="300" customFormat="1" x14ac:dyDescent="0.25">
      <c r="B15" s="301" t="s">
        <v>25</v>
      </c>
      <c r="C15" s="302"/>
      <c r="D15" s="86" t="str">
        <f>INDEX(Cad_Natureza!$B$3:$C$52,MATCH('2026'!F15,Cad_Natureza!$C$3:$C$52,0),MATCH('2026'!D$2,Cad_Natureza!$B$3:$C$3,0))</f>
        <v>GAST1</v>
      </c>
      <c r="E15" s="84" t="s">
        <v>1210</v>
      </c>
      <c r="F15" s="85" t="s">
        <v>742</v>
      </c>
      <c r="G15" s="86" t="s">
        <v>25</v>
      </c>
      <c r="H15" s="87">
        <v>46028</v>
      </c>
      <c r="I15" s="87"/>
      <c r="J15" s="79" t="s">
        <v>1340</v>
      </c>
      <c r="K15" s="62">
        <v>-10</v>
      </c>
      <c r="L15" s="62">
        <f t="shared" si="7"/>
        <v>17.370000000000019</v>
      </c>
      <c r="M15" s="302"/>
      <c r="N15" s="44" t="str">
        <f t="shared" si="0"/>
        <v>MCSGAST1CPF - Desp. Lazer e Entretenimento - Bares</v>
      </c>
      <c r="O15" s="44" t="str">
        <f t="shared" si="1"/>
        <v>GAST1CPF - Desp. Lazer e Entretenimento - Bares</v>
      </c>
      <c r="P15" s="44" t="str">
        <f t="shared" si="2"/>
        <v>MCSGAST1CPF - Desp. Lazer e Entretenimento - Bares</v>
      </c>
      <c r="Q15" s="44" t="str">
        <f t="shared" si="3"/>
        <v>MCSGAST1</v>
      </c>
      <c r="R15" s="44" t="str">
        <f t="shared" si="4"/>
        <v>MCSGAST1</v>
      </c>
      <c r="S15" s="38"/>
      <c r="T15" s="304">
        <f t="shared" si="5"/>
        <v>46023</v>
      </c>
      <c r="U15" s="304" t="str">
        <f t="shared" si="6"/>
        <v/>
      </c>
      <c r="V15" s="300" t="s">
        <v>761</v>
      </c>
    </row>
    <row r="16" spans="2:22" s="291" customFormat="1" x14ac:dyDescent="0.25">
      <c r="B16" s="288" t="s">
        <v>25</v>
      </c>
      <c r="C16" s="83"/>
      <c r="D16" s="63" t="str">
        <f>INDEX(Cad_Natureza!$B$3:$C$52,MATCH('2026'!F16,Cad_Natureza!$C$3:$C$52,0),MATCH('2026'!D$2,Cad_Natureza!$B$3:$C$3,0))</f>
        <v>REC4</v>
      </c>
      <c r="E16" s="64" t="s">
        <v>1211</v>
      </c>
      <c r="F16" s="65" t="s">
        <v>734</v>
      </c>
      <c r="G16" s="63" t="s">
        <v>25</v>
      </c>
      <c r="H16" s="66">
        <v>46029</v>
      </c>
      <c r="I16" s="66"/>
      <c r="J16" s="67" t="s">
        <v>183</v>
      </c>
      <c r="K16" s="68">
        <v>3000</v>
      </c>
      <c r="L16" s="68">
        <f t="shared" si="7"/>
        <v>3017.37</v>
      </c>
      <c r="M16" s="83"/>
      <c r="N16" s="289" t="str">
        <f t="shared" si="0"/>
        <v>MCSREC4CPF - Transf. Da conta PJ para a conta PF</v>
      </c>
      <c r="O16" s="289" t="str">
        <f t="shared" si="1"/>
        <v>REC4CPF - Transf. Da conta PJ para a conta PF</v>
      </c>
      <c r="P16" s="289" t="str">
        <f t="shared" si="2"/>
        <v>MCSREC4CPF - Transf. Da conta PJ para a conta PF</v>
      </c>
      <c r="Q16" s="289" t="str">
        <f t="shared" si="3"/>
        <v>MCSREC4</v>
      </c>
      <c r="R16" s="289" t="str">
        <f t="shared" si="4"/>
        <v>MCSREC4</v>
      </c>
      <c r="S16" s="83"/>
      <c r="T16" s="290">
        <f t="shared" si="5"/>
        <v>46023</v>
      </c>
      <c r="U16" s="290" t="str">
        <f t="shared" si="6"/>
        <v/>
      </c>
      <c r="V16" s="291" t="s">
        <v>761</v>
      </c>
    </row>
    <row r="17" spans="2:22" s="300" customFormat="1" x14ac:dyDescent="0.25">
      <c r="B17" s="301" t="s">
        <v>25</v>
      </c>
      <c r="C17" s="302"/>
      <c r="D17" s="86" t="str">
        <f>INDEX(Cad_Natureza!$B$3:$C$52,MATCH('2026'!F17,Cad_Natureza!$C$3:$C$52,0),MATCH('2026'!D$2,Cad_Natureza!$B$3:$C$3,0))</f>
        <v>GAST1</v>
      </c>
      <c r="E17" s="84" t="s">
        <v>1212</v>
      </c>
      <c r="F17" s="85" t="s">
        <v>742</v>
      </c>
      <c r="G17" s="86" t="s">
        <v>25</v>
      </c>
      <c r="H17" s="87">
        <v>46029</v>
      </c>
      <c r="I17" s="87"/>
      <c r="J17" s="79" t="s">
        <v>1340</v>
      </c>
      <c r="K17" s="62">
        <v>-22</v>
      </c>
      <c r="L17" s="62">
        <f t="shared" si="7"/>
        <v>2995.37</v>
      </c>
      <c r="M17" s="302"/>
      <c r="N17" s="44" t="str">
        <f t="shared" si="0"/>
        <v>MCSGAST1CPF - Desp. Lazer e Entretenimento - Bares</v>
      </c>
      <c r="O17" s="44" t="str">
        <f t="shared" si="1"/>
        <v>GAST1CPF - Desp. Lazer e Entretenimento - Bares</v>
      </c>
      <c r="P17" s="44" t="str">
        <f t="shared" si="2"/>
        <v>MCSGAST1CPF - Desp. Lazer e Entretenimento - Bares</v>
      </c>
      <c r="Q17" s="44" t="str">
        <f t="shared" si="3"/>
        <v>MCSGAST1</v>
      </c>
      <c r="R17" s="44" t="str">
        <f t="shared" si="4"/>
        <v>MCSGAST1</v>
      </c>
      <c r="S17" s="38"/>
      <c r="T17" s="304">
        <f t="shared" si="5"/>
        <v>46023</v>
      </c>
      <c r="U17" s="304" t="str">
        <f t="shared" si="6"/>
        <v/>
      </c>
      <c r="V17" s="300" t="s">
        <v>731</v>
      </c>
    </row>
    <row r="18" spans="2:22" s="300" customFormat="1" x14ac:dyDescent="0.25">
      <c r="B18" s="301" t="s">
        <v>25</v>
      </c>
      <c r="C18" s="302"/>
      <c r="D18" s="86" t="str">
        <f>INDEX(Cad_Natureza!$B$3:$C$52,MATCH('2026'!F18,Cad_Natureza!$C$3:$C$52,0),MATCH('2026'!D$2,Cad_Natureza!$B$3:$C$3,0))</f>
        <v>GAST1</v>
      </c>
      <c r="E18" s="84" t="s">
        <v>1213</v>
      </c>
      <c r="F18" s="85" t="s">
        <v>742</v>
      </c>
      <c r="G18" s="86" t="s">
        <v>25</v>
      </c>
      <c r="H18" s="87">
        <v>46029</v>
      </c>
      <c r="I18" s="87"/>
      <c r="J18" s="79" t="s">
        <v>185</v>
      </c>
      <c r="K18" s="62">
        <v>-28.5</v>
      </c>
      <c r="L18" s="62">
        <f t="shared" si="7"/>
        <v>2966.87</v>
      </c>
      <c r="M18" s="302"/>
      <c r="N18" s="44" t="str">
        <f t="shared" si="0"/>
        <v>MCSGAST1CPF - Desp. Lazer e Entretenimento - Bares</v>
      </c>
      <c r="O18" s="44" t="str">
        <f t="shared" si="1"/>
        <v>GAST1CPF - Desp. Lazer e Entretenimento - Bares</v>
      </c>
      <c r="P18" s="44" t="str">
        <f t="shared" si="2"/>
        <v>MCSGAST1CPF - Desp. Lazer e Entretenimento - Bares</v>
      </c>
      <c r="Q18" s="44" t="str">
        <f t="shared" si="3"/>
        <v>MCSGAST1</v>
      </c>
      <c r="R18" s="44" t="str">
        <f t="shared" si="4"/>
        <v>MCSGAST1</v>
      </c>
      <c r="S18" s="38"/>
      <c r="T18" s="304">
        <f t="shared" si="5"/>
        <v>46023</v>
      </c>
      <c r="U18" s="304" t="str">
        <f t="shared" si="6"/>
        <v/>
      </c>
      <c r="V18" s="300" t="s">
        <v>731</v>
      </c>
    </row>
    <row r="19" spans="2:22" s="300" customFormat="1" x14ac:dyDescent="0.25">
      <c r="B19" s="301" t="s">
        <v>25</v>
      </c>
      <c r="C19" s="302"/>
      <c r="D19" s="86" t="str">
        <f>INDEX(Cad_Natureza!$B$3:$C$52,MATCH('2026'!F19,Cad_Natureza!$C$3:$C$52,0),MATCH('2026'!D$2,Cad_Natureza!$B$3:$C$3,0))</f>
        <v>DESP2</v>
      </c>
      <c r="E19" s="84" t="s">
        <v>1214</v>
      </c>
      <c r="F19" s="85" t="s">
        <v>739</v>
      </c>
      <c r="G19" s="86" t="s">
        <v>25</v>
      </c>
      <c r="H19" s="87">
        <v>46029</v>
      </c>
      <c r="I19" s="87"/>
      <c r="J19" s="79" t="s">
        <v>1441</v>
      </c>
      <c r="K19" s="62">
        <v>-123.35</v>
      </c>
      <c r="L19" s="62">
        <f t="shared" si="7"/>
        <v>2843.52</v>
      </c>
      <c r="M19" s="302"/>
      <c r="N19" s="44" t="str">
        <f t="shared" si="0"/>
        <v>MCSDESP2CPF - Desp. Telefone / Internet</v>
      </c>
      <c r="O19" s="44" t="str">
        <f t="shared" si="1"/>
        <v>DESP2CPF - Desp. Telefone / Internet</v>
      </c>
      <c r="P19" s="44" t="str">
        <f t="shared" si="2"/>
        <v>MCSDESP2CPF - Desp. Telefone / Internet</v>
      </c>
      <c r="Q19" s="44" t="str">
        <f t="shared" si="3"/>
        <v>MCSDESP2</v>
      </c>
      <c r="R19" s="44" t="str">
        <f t="shared" si="4"/>
        <v>MCSDESP2</v>
      </c>
      <c r="S19" s="38"/>
      <c r="T19" s="304">
        <f t="shared" si="5"/>
        <v>46023</v>
      </c>
      <c r="U19" s="304" t="str">
        <f t="shared" si="6"/>
        <v/>
      </c>
      <c r="V19" s="300" t="s">
        <v>761</v>
      </c>
    </row>
    <row r="20" spans="2:22" s="300" customFormat="1" x14ac:dyDescent="0.25">
      <c r="B20" s="301" t="s">
        <v>25</v>
      </c>
      <c r="C20" s="302"/>
      <c r="D20" s="86" t="str">
        <f>INDEX(Cad_Natureza!$B$3:$C$52,MATCH('2026'!F20,Cad_Natureza!$C$3:$C$52,0),MATCH('2026'!D$2,Cad_Natureza!$B$3:$C$3,0))</f>
        <v>PENS3</v>
      </c>
      <c r="E20" s="84" t="s">
        <v>558</v>
      </c>
      <c r="F20" s="85" t="s">
        <v>746</v>
      </c>
      <c r="G20" s="86" t="s">
        <v>25</v>
      </c>
      <c r="H20" s="87">
        <v>46029</v>
      </c>
      <c r="I20" s="87"/>
      <c r="J20" s="78" t="s">
        <v>1334</v>
      </c>
      <c r="K20" s="62">
        <v>-506.56</v>
      </c>
      <c r="L20" s="62">
        <f t="shared" si="7"/>
        <v>2336.96</v>
      </c>
      <c r="M20" s="302"/>
      <c r="N20" s="44" t="str">
        <f t="shared" si="0"/>
        <v>MCSPENS3CPF - Pensão - Plano de saúde</v>
      </c>
      <c r="O20" s="44" t="str">
        <f t="shared" si="1"/>
        <v>PENS3CPF - Pensão - Plano de saúde</v>
      </c>
      <c r="P20" s="44" t="str">
        <f t="shared" si="2"/>
        <v>MCSPENS3CPF - Pensão - Plano de saúde</v>
      </c>
      <c r="Q20" s="44" t="str">
        <f t="shared" si="3"/>
        <v>MCSPENS3</v>
      </c>
      <c r="R20" s="44" t="str">
        <f t="shared" si="4"/>
        <v>MCSPENS3</v>
      </c>
      <c r="S20" s="38"/>
      <c r="T20" s="304">
        <f t="shared" si="5"/>
        <v>46023</v>
      </c>
      <c r="U20" s="304" t="str">
        <f t="shared" si="6"/>
        <v/>
      </c>
      <c r="V20" s="300" t="s">
        <v>761</v>
      </c>
    </row>
    <row r="21" spans="2:22" s="300" customFormat="1" x14ac:dyDescent="0.25">
      <c r="B21" s="301" t="s">
        <v>25</v>
      </c>
      <c r="C21" s="302"/>
      <c r="D21" s="86" t="str">
        <f>INDEX(Cad_Natureza!$B$3:$C$52,MATCH('2026'!F21,Cad_Natureza!$C$3:$C$52,0),MATCH('2026'!D$2,Cad_Natureza!$B$3:$C$3,0))</f>
        <v>OPF2</v>
      </c>
      <c r="E21" s="84" t="s">
        <v>1215</v>
      </c>
      <c r="F21" s="85" t="s">
        <v>741</v>
      </c>
      <c r="G21" s="86" t="s">
        <v>25</v>
      </c>
      <c r="H21" s="87">
        <v>46030</v>
      </c>
      <c r="I21" s="87"/>
      <c r="J21" s="79" t="s">
        <v>184</v>
      </c>
      <c r="K21" s="62">
        <v>-50</v>
      </c>
      <c r="L21" s="62">
        <f t="shared" si="7"/>
        <v>2286.96</v>
      </c>
      <c r="M21" s="302"/>
      <c r="N21" s="44" t="str">
        <f t="shared" si="0"/>
        <v>MCSOPF2CPF - Desp. Transporte / Combustível</v>
      </c>
      <c r="O21" s="44" t="str">
        <f t="shared" si="1"/>
        <v>OPF2CPF - Desp. Transporte / Combustível</v>
      </c>
      <c r="P21" s="44" t="str">
        <f t="shared" si="2"/>
        <v>MCSOPF2CPF - Desp. Transporte / Combustível</v>
      </c>
      <c r="Q21" s="44" t="str">
        <f t="shared" si="3"/>
        <v>MCSOPF2</v>
      </c>
      <c r="R21" s="44" t="str">
        <f t="shared" si="4"/>
        <v>MCSOPF2</v>
      </c>
      <c r="S21" s="38"/>
      <c r="T21" s="304">
        <f t="shared" si="5"/>
        <v>46023</v>
      </c>
      <c r="U21" s="304" t="str">
        <f t="shared" si="6"/>
        <v/>
      </c>
      <c r="V21" s="300" t="s">
        <v>761</v>
      </c>
    </row>
    <row r="22" spans="2:22" s="300" customFormat="1" x14ac:dyDescent="0.25">
      <c r="B22" s="301" t="s">
        <v>25</v>
      </c>
      <c r="C22" s="302"/>
      <c r="D22" s="86" t="str">
        <f>INDEX(Cad_Natureza!$B$3:$C$52,MATCH('2026'!F22,Cad_Natureza!$C$3:$C$52,0),MATCH('2026'!D$2,Cad_Natureza!$B$3:$C$3,0))</f>
        <v>OPF1</v>
      </c>
      <c r="E22" s="84" t="s">
        <v>1216</v>
      </c>
      <c r="F22" s="85" t="s">
        <v>744</v>
      </c>
      <c r="G22" s="86" t="s">
        <v>25</v>
      </c>
      <c r="H22" s="87">
        <v>46030</v>
      </c>
      <c r="I22" s="87"/>
      <c r="J22" s="79" t="s">
        <v>182</v>
      </c>
      <c r="K22" s="62">
        <v>-63.5</v>
      </c>
      <c r="L22" s="62">
        <f t="shared" si="7"/>
        <v>2223.46</v>
      </c>
      <c r="M22" s="302"/>
      <c r="N22" s="44" t="str">
        <f t="shared" si="0"/>
        <v>MCSOPF1CPF - Desp. Alimentação / Refeição</v>
      </c>
      <c r="O22" s="44" t="str">
        <f t="shared" si="1"/>
        <v>OPF1CPF - Desp. Alimentação / Refeição</v>
      </c>
      <c r="P22" s="44" t="str">
        <f t="shared" si="2"/>
        <v>MCSOPF1CPF - Desp. Alimentação / Refeição</v>
      </c>
      <c r="Q22" s="44" t="str">
        <f t="shared" si="3"/>
        <v>MCSOPF1</v>
      </c>
      <c r="R22" s="44" t="str">
        <f t="shared" si="4"/>
        <v>MCSOPF1</v>
      </c>
      <c r="S22" s="38"/>
      <c r="T22" s="304">
        <f t="shared" si="5"/>
        <v>46023</v>
      </c>
      <c r="U22" s="304" t="str">
        <f t="shared" si="6"/>
        <v/>
      </c>
      <c r="V22" s="300" t="s">
        <v>761</v>
      </c>
    </row>
    <row r="23" spans="2:22" s="300" customFormat="1" x14ac:dyDescent="0.25">
      <c r="B23" s="301" t="s">
        <v>25</v>
      </c>
      <c r="C23" s="302"/>
      <c r="D23" s="86" t="str">
        <f>INDEX(Cad_Natureza!$B$3:$C$52,MATCH('2026'!F23,Cad_Natureza!$C$3:$C$52,0),MATCH('2026'!D$2,Cad_Natureza!$B$3:$C$3,0))</f>
        <v>GAST1</v>
      </c>
      <c r="E23" s="84" t="s">
        <v>1217</v>
      </c>
      <c r="F23" s="85" t="s">
        <v>742</v>
      </c>
      <c r="G23" s="86" t="s">
        <v>25</v>
      </c>
      <c r="H23" s="87">
        <v>46030</v>
      </c>
      <c r="I23" s="87"/>
      <c r="J23" s="79" t="s">
        <v>1340</v>
      </c>
      <c r="K23" s="62">
        <v>-50</v>
      </c>
      <c r="L23" s="62">
        <f t="shared" si="7"/>
        <v>2173.46</v>
      </c>
      <c r="M23" s="302"/>
      <c r="N23" s="44" t="str">
        <f t="shared" si="0"/>
        <v>MCSGAST1CPF - Desp. Lazer e Entretenimento - Bares</v>
      </c>
      <c r="O23" s="44" t="str">
        <f t="shared" si="1"/>
        <v>GAST1CPF - Desp. Lazer e Entretenimento - Bares</v>
      </c>
      <c r="P23" s="44" t="str">
        <f t="shared" si="2"/>
        <v>MCSGAST1CPF - Desp. Lazer e Entretenimento - Bares</v>
      </c>
      <c r="Q23" s="44" t="str">
        <f t="shared" si="3"/>
        <v>MCSGAST1</v>
      </c>
      <c r="R23" s="44" t="str">
        <f t="shared" si="4"/>
        <v>MCSGAST1</v>
      </c>
      <c r="S23" s="38"/>
      <c r="T23" s="304">
        <f t="shared" si="5"/>
        <v>46023</v>
      </c>
      <c r="U23" s="304" t="str">
        <f t="shared" si="6"/>
        <v/>
      </c>
      <c r="V23" s="300" t="s">
        <v>761</v>
      </c>
    </row>
    <row r="24" spans="2:22" s="300" customFormat="1" x14ac:dyDescent="0.25">
      <c r="B24" s="301" t="s">
        <v>25</v>
      </c>
      <c r="C24" s="302"/>
      <c r="D24" s="86" t="str">
        <f>INDEX(Cad_Natureza!$B$3:$C$52,MATCH('2026'!F24,Cad_Natureza!$C$3:$C$52,0),MATCH('2026'!D$2,Cad_Natureza!$B$3:$C$3,0))</f>
        <v>OPF1</v>
      </c>
      <c r="E24" s="84" t="s">
        <v>1218</v>
      </c>
      <c r="F24" s="85" t="s">
        <v>744</v>
      </c>
      <c r="G24" s="86" t="s">
        <v>25</v>
      </c>
      <c r="H24" s="87">
        <v>46031</v>
      </c>
      <c r="I24" s="87"/>
      <c r="J24" s="79" t="s">
        <v>182</v>
      </c>
      <c r="K24" s="62">
        <v>-20</v>
      </c>
      <c r="L24" s="62">
        <f t="shared" si="7"/>
        <v>2153.46</v>
      </c>
      <c r="M24" s="302"/>
      <c r="N24" s="44" t="str">
        <f t="shared" si="0"/>
        <v>MCSOPF1CPF - Desp. Alimentação / Refeição</v>
      </c>
      <c r="O24" s="44" t="str">
        <f t="shared" si="1"/>
        <v>OPF1CPF - Desp. Alimentação / Refeição</v>
      </c>
      <c r="P24" s="44" t="str">
        <f t="shared" si="2"/>
        <v>MCSOPF1CPF - Desp. Alimentação / Refeição</v>
      </c>
      <c r="Q24" s="44" t="str">
        <f t="shared" si="3"/>
        <v>MCSOPF1</v>
      </c>
      <c r="R24" s="44" t="str">
        <f t="shared" si="4"/>
        <v>MCSOPF1</v>
      </c>
      <c r="S24" s="38"/>
      <c r="T24" s="304">
        <f t="shared" si="5"/>
        <v>46023</v>
      </c>
      <c r="U24" s="304" t="str">
        <f t="shared" si="6"/>
        <v/>
      </c>
      <c r="V24" s="300" t="s">
        <v>761</v>
      </c>
    </row>
    <row r="25" spans="2:22" s="300" customFormat="1" x14ac:dyDescent="0.25">
      <c r="B25" s="301" t="s">
        <v>25</v>
      </c>
      <c r="C25" s="302"/>
      <c r="D25" s="86" t="str">
        <f>INDEX(Cad_Natureza!$B$3:$C$52,MATCH('2026'!F25,Cad_Natureza!$C$3:$C$52,0),MATCH('2026'!D$2,Cad_Natureza!$B$3:$C$3,0))</f>
        <v>GAST1</v>
      </c>
      <c r="E25" s="84" t="s">
        <v>1219</v>
      </c>
      <c r="F25" s="85" t="s">
        <v>742</v>
      </c>
      <c r="G25" s="86" t="s">
        <v>25</v>
      </c>
      <c r="H25" s="87">
        <v>46031</v>
      </c>
      <c r="I25" s="87"/>
      <c r="J25" s="79" t="s">
        <v>1340</v>
      </c>
      <c r="K25" s="62">
        <v>-30</v>
      </c>
      <c r="L25" s="62">
        <f t="shared" si="7"/>
        <v>2123.46</v>
      </c>
      <c r="M25" s="302"/>
      <c r="N25" s="44" t="str">
        <f t="shared" si="0"/>
        <v>MCSGAST1CPF - Desp. Lazer e Entretenimento - Bares</v>
      </c>
      <c r="O25" s="44" t="str">
        <f t="shared" si="1"/>
        <v>GAST1CPF - Desp. Lazer e Entretenimento - Bares</v>
      </c>
      <c r="P25" s="44" t="str">
        <f t="shared" si="2"/>
        <v>MCSGAST1CPF - Desp. Lazer e Entretenimento - Bares</v>
      </c>
      <c r="Q25" s="44" t="str">
        <f t="shared" si="3"/>
        <v>MCSGAST1</v>
      </c>
      <c r="R25" s="44" t="str">
        <f t="shared" si="4"/>
        <v>MCSGAST1</v>
      </c>
      <c r="S25" s="38"/>
      <c r="T25" s="304">
        <f t="shared" si="5"/>
        <v>46023</v>
      </c>
      <c r="U25" s="304" t="str">
        <f t="shared" si="6"/>
        <v/>
      </c>
      <c r="V25" s="300" t="s">
        <v>731</v>
      </c>
    </row>
    <row r="26" spans="2:22" s="300" customFormat="1" x14ac:dyDescent="0.25">
      <c r="B26" s="301" t="s">
        <v>25</v>
      </c>
      <c r="C26" s="302"/>
      <c r="D26" s="86" t="str">
        <f>INDEX(Cad_Natureza!$B$3:$C$52,MATCH('2026'!F26,Cad_Natureza!$C$3:$C$52,0),MATCH('2026'!D$2,Cad_Natureza!$B$3:$C$3,0))</f>
        <v>OUG1</v>
      </c>
      <c r="E26" s="84" t="s">
        <v>1220</v>
      </c>
      <c r="F26" s="85" t="s">
        <v>748</v>
      </c>
      <c r="G26" s="86" t="s">
        <v>25</v>
      </c>
      <c r="H26" s="87">
        <v>46031</v>
      </c>
      <c r="I26" s="87"/>
      <c r="J26" s="79" t="s">
        <v>1350</v>
      </c>
      <c r="K26" s="62">
        <v>-50</v>
      </c>
      <c r="L26" s="62">
        <f t="shared" si="7"/>
        <v>2073.46</v>
      </c>
      <c r="M26" s="302"/>
      <c r="N26" s="44" t="str">
        <f t="shared" si="0"/>
        <v>MCSOUG1CPF - Outros gastos</v>
      </c>
      <c r="O26" s="44" t="str">
        <f t="shared" si="1"/>
        <v>OUG1CPF - Outros gastos</v>
      </c>
      <c r="P26" s="44" t="str">
        <f t="shared" si="2"/>
        <v>MCSOUG1CPF - Outros gastos</v>
      </c>
      <c r="Q26" s="44" t="str">
        <f t="shared" si="3"/>
        <v>MCSOUG1</v>
      </c>
      <c r="R26" s="44" t="str">
        <f t="shared" si="4"/>
        <v>MCSOUG1</v>
      </c>
      <c r="S26" s="38"/>
      <c r="T26" s="304">
        <f t="shared" si="5"/>
        <v>46023</v>
      </c>
      <c r="U26" s="304" t="str">
        <f t="shared" si="6"/>
        <v/>
      </c>
      <c r="V26" s="300" t="s">
        <v>731</v>
      </c>
    </row>
    <row r="27" spans="2:22" s="300" customFormat="1" x14ac:dyDescent="0.25">
      <c r="B27" s="301" t="s">
        <v>25</v>
      </c>
      <c r="C27" s="302"/>
      <c r="D27" s="86" t="str">
        <f>INDEX(Cad_Natureza!$B$3:$C$52,MATCH('2026'!F27,Cad_Natureza!$C$3:$C$52,0),MATCH('2026'!D$2,Cad_Natureza!$B$3:$C$3,0))</f>
        <v>OPF1</v>
      </c>
      <c r="E27" s="84" t="s">
        <v>1221</v>
      </c>
      <c r="F27" s="85" t="s">
        <v>744</v>
      </c>
      <c r="G27" s="86" t="s">
        <v>25</v>
      </c>
      <c r="H27" s="87">
        <v>46031</v>
      </c>
      <c r="I27" s="87"/>
      <c r="J27" s="79" t="s">
        <v>1349</v>
      </c>
      <c r="K27" s="62">
        <v>-10</v>
      </c>
      <c r="L27" s="62">
        <f t="shared" si="7"/>
        <v>2063.46</v>
      </c>
      <c r="M27" s="302"/>
      <c r="N27" s="44" t="str">
        <f t="shared" si="0"/>
        <v>MCSOPF1CPF - Desp. Alimentação / Refeição</v>
      </c>
      <c r="O27" s="44" t="str">
        <f t="shared" si="1"/>
        <v>OPF1CPF - Desp. Alimentação / Refeição</v>
      </c>
      <c r="P27" s="44" t="str">
        <f t="shared" si="2"/>
        <v>MCSOPF1CPF - Desp. Alimentação / Refeição</v>
      </c>
      <c r="Q27" s="44" t="str">
        <f t="shared" si="3"/>
        <v>MCSOPF1</v>
      </c>
      <c r="R27" s="44" t="str">
        <f t="shared" si="4"/>
        <v>MCSOPF1</v>
      </c>
      <c r="S27" s="38"/>
      <c r="T27" s="304">
        <f t="shared" si="5"/>
        <v>46023</v>
      </c>
      <c r="U27" s="304" t="str">
        <f t="shared" si="6"/>
        <v/>
      </c>
      <c r="V27" s="300" t="s">
        <v>761</v>
      </c>
    </row>
    <row r="28" spans="2:22" s="300" customFormat="1" x14ac:dyDescent="0.25">
      <c r="B28" s="301" t="s">
        <v>25</v>
      </c>
      <c r="C28" s="302"/>
      <c r="D28" s="86" t="str">
        <f>INDEX(Cad_Natureza!$B$3:$C$52,MATCH('2026'!F28,Cad_Natureza!$C$3:$C$52,0),MATCH('2026'!D$2,Cad_Natureza!$B$3:$C$3,0))</f>
        <v>OPF2</v>
      </c>
      <c r="E28" s="84" t="s">
        <v>1222</v>
      </c>
      <c r="F28" s="85" t="s">
        <v>741</v>
      </c>
      <c r="G28" s="86" t="s">
        <v>25</v>
      </c>
      <c r="H28" s="87">
        <v>46031</v>
      </c>
      <c r="I28" s="87"/>
      <c r="J28" s="79" t="s">
        <v>184</v>
      </c>
      <c r="K28" s="62">
        <v>-50</v>
      </c>
      <c r="L28" s="62">
        <f t="shared" si="7"/>
        <v>2013.46</v>
      </c>
      <c r="M28" s="302"/>
      <c r="N28" s="44" t="str">
        <f t="shared" si="0"/>
        <v>MCSOPF2CPF - Desp. Transporte / Combustível</v>
      </c>
      <c r="O28" s="44" t="str">
        <f t="shared" si="1"/>
        <v>OPF2CPF - Desp. Transporte / Combustível</v>
      </c>
      <c r="P28" s="44" t="str">
        <f t="shared" si="2"/>
        <v>MCSOPF2CPF - Desp. Transporte / Combustível</v>
      </c>
      <c r="Q28" s="44" t="str">
        <f t="shared" si="3"/>
        <v>MCSOPF2</v>
      </c>
      <c r="R28" s="44" t="str">
        <f t="shared" si="4"/>
        <v>MCSOPF2</v>
      </c>
      <c r="S28" s="38"/>
      <c r="T28" s="304">
        <f t="shared" si="5"/>
        <v>46023</v>
      </c>
      <c r="U28" s="304" t="str">
        <f t="shared" si="6"/>
        <v/>
      </c>
      <c r="V28" s="300" t="s">
        <v>761</v>
      </c>
    </row>
    <row r="29" spans="2:22" s="300" customFormat="1" x14ac:dyDescent="0.25">
      <c r="B29" s="301" t="s">
        <v>25</v>
      </c>
      <c r="C29" s="302"/>
      <c r="D29" s="86" t="str">
        <f>INDEX(Cad_Natureza!$B$3:$C$52,MATCH('2026'!F29,Cad_Natureza!$C$3:$C$52,0),MATCH('2026'!D$2,Cad_Natureza!$B$3:$C$3,0))</f>
        <v>GAST1</v>
      </c>
      <c r="E29" s="84" t="s">
        <v>1223</v>
      </c>
      <c r="F29" s="85" t="s">
        <v>742</v>
      </c>
      <c r="G29" s="86" t="s">
        <v>25</v>
      </c>
      <c r="H29" s="87">
        <v>46034</v>
      </c>
      <c r="I29" s="87"/>
      <c r="J29" s="79" t="s">
        <v>185</v>
      </c>
      <c r="K29" s="62">
        <v>-15</v>
      </c>
      <c r="L29" s="62">
        <f t="shared" si="7"/>
        <v>1998.46</v>
      </c>
      <c r="M29" s="302"/>
      <c r="N29" s="44" t="str">
        <f t="shared" si="0"/>
        <v>MCSGAST1CPF - Desp. Lazer e Entretenimento - Bares</v>
      </c>
      <c r="O29" s="44" t="str">
        <f t="shared" si="1"/>
        <v>GAST1CPF - Desp. Lazer e Entretenimento - Bares</v>
      </c>
      <c r="P29" s="44" t="str">
        <f t="shared" si="2"/>
        <v>MCSGAST1CPF - Desp. Lazer e Entretenimento - Bares</v>
      </c>
      <c r="Q29" s="44" t="str">
        <f t="shared" si="3"/>
        <v>MCSGAST1</v>
      </c>
      <c r="R29" s="44" t="str">
        <f t="shared" si="4"/>
        <v>MCSGAST1</v>
      </c>
      <c r="S29" s="38"/>
      <c r="T29" s="304">
        <f t="shared" si="5"/>
        <v>46023</v>
      </c>
      <c r="U29" s="304" t="str">
        <f t="shared" si="6"/>
        <v/>
      </c>
      <c r="V29" s="300" t="s">
        <v>761</v>
      </c>
    </row>
    <row r="30" spans="2:22" s="300" customFormat="1" x14ac:dyDescent="0.25">
      <c r="B30" s="301" t="s">
        <v>25</v>
      </c>
      <c r="C30" s="302"/>
      <c r="D30" s="86" t="str">
        <f>INDEX(Cad_Natureza!$B$3:$C$52,MATCH('2026'!F30,Cad_Natureza!$C$3:$C$52,0),MATCH('2026'!D$2,Cad_Natureza!$B$3:$C$3,0))</f>
        <v>GAST1</v>
      </c>
      <c r="E30" s="84" t="s">
        <v>1224</v>
      </c>
      <c r="F30" s="85" t="s">
        <v>742</v>
      </c>
      <c r="G30" s="86" t="s">
        <v>25</v>
      </c>
      <c r="H30" s="87">
        <v>46034</v>
      </c>
      <c r="I30" s="87"/>
      <c r="J30" s="79" t="s">
        <v>185</v>
      </c>
      <c r="K30" s="62">
        <v>-9</v>
      </c>
      <c r="L30" s="62">
        <f t="shared" si="7"/>
        <v>1989.46</v>
      </c>
      <c r="M30" s="302"/>
      <c r="N30" s="44" t="str">
        <f t="shared" si="0"/>
        <v>MCSGAST1CPF - Desp. Lazer e Entretenimento - Bares</v>
      </c>
      <c r="O30" s="44" t="str">
        <f t="shared" si="1"/>
        <v>GAST1CPF - Desp. Lazer e Entretenimento - Bares</v>
      </c>
      <c r="P30" s="44" t="str">
        <f t="shared" si="2"/>
        <v>MCSGAST1CPF - Desp. Lazer e Entretenimento - Bares</v>
      </c>
      <c r="Q30" s="44" t="str">
        <f t="shared" si="3"/>
        <v>MCSGAST1</v>
      </c>
      <c r="R30" s="44" t="str">
        <f t="shared" si="4"/>
        <v>MCSGAST1</v>
      </c>
      <c r="S30" s="38"/>
      <c r="T30" s="304">
        <f t="shared" si="5"/>
        <v>46023</v>
      </c>
      <c r="U30" s="304" t="str">
        <f t="shared" si="6"/>
        <v/>
      </c>
      <c r="V30" s="300" t="s">
        <v>761</v>
      </c>
    </row>
    <row r="31" spans="2:22" s="300" customFormat="1" x14ac:dyDescent="0.25">
      <c r="B31" s="301" t="s">
        <v>25</v>
      </c>
      <c r="C31" s="302"/>
      <c r="D31" s="86" t="str">
        <f>INDEX(Cad_Natureza!$B$3:$C$52,MATCH('2026'!F31,Cad_Natureza!$C$3:$C$52,0),MATCH('2026'!D$2,Cad_Natureza!$B$3:$C$3,0))</f>
        <v>OUG1</v>
      </c>
      <c r="E31" s="84" t="s">
        <v>1225</v>
      </c>
      <c r="F31" s="85" t="s">
        <v>748</v>
      </c>
      <c r="G31" s="86" t="s">
        <v>25</v>
      </c>
      <c r="H31" s="87">
        <v>46034</v>
      </c>
      <c r="I31" s="87"/>
      <c r="J31" s="79" t="s">
        <v>1348</v>
      </c>
      <c r="K31" s="62">
        <v>-8</v>
      </c>
      <c r="L31" s="62">
        <f t="shared" si="7"/>
        <v>1981.46</v>
      </c>
      <c r="M31" s="302"/>
      <c r="N31" s="44" t="str">
        <f t="shared" si="0"/>
        <v>MCSOUG1CPF - Outros gastos</v>
      </c>
      <c r="O31" s="44" t="str">
        <f t="shared" si="1"/>
        <v>OUG1CPF - Outros gastos</v>
      </c>
      <c r="P31" s="44" t="str">
        <f t="shared" si="2"/>
        <v>MCSOUG1CPF - Outros gastos</v>
      </c>
      <c r="Q31" s="44" t="str">
        <f t="shared" si="3"/>
        <v>MCSOUG1</v>
      </c>
      <c r="R31" s="44" t="str">
        <f t="shared" si="4"/>
        <v>MCSOUG1</v>
      </c>
      <c r="S31" s="38"/>
      <c r="T31" s="304">
        <f t="shared" si="5"/>
        <v>46023</v>
      </c>
      <c r="U31" s="304" t="str">
        <f t="shared" si="6"/>
        <v/>
      </c>
      <c r="V31" s="300" t="s">
        <v>761</v>
      </c>
    </row>
    <row r="32" spans="2:22" s="300" customFormat="1" x14ac:dyDescent="0.25">
      <c r="B32" s="301" t="s">
        <v>25</v>
      </c>
      <c r="C32" s="302"/>
      <c r="D32" s="86" t="str">
        <f>INDEX(Cad_Natureza!$B$3:$C$52,MATCH('2026'!F32,Cad_Natureza!$C$3:$C$52,0),MATCH('2026'!D$2,Cad_Natureza!$B$3:$C$3,0))</f>
        <v>GAST1</v>
      </c>
      <c r="E32" s="84" t="s">
        <v>1226</v>
      </c>
      <c r="F32" s="85" t="s">
        <v>742</v>
      </c>
      <c r="G32" s="86" t="s">
        <v>25</v>
      </c>
      <c r="H32" s="87">
        <v>46034</v>
      </c>
      <c r="I32" s="87"/>
      <c r="J32" s="79" t="s">
        <v>1340</v>
      </c>
      <c r="K32" s="62">
        <v>-22.5</v>
      </c>
      <c r="L32" s="62">
        <f t="shared" si="7"/>
        <v>1958.96</v>
      </c>
      <c r="M32" s="302"/>
      <c r="N32" s="44" t="str">
        <f t="shared" si="0"/>
        <v>MCSGAST1CPF - Desp. Lazer e Entretenimento - Bares</v>
      </c>
      <c r="O32" s="44" t="str">
        <f t="shared" si="1"/>
        <v>GAST1CPF - Desp. Lazer e Entretenimento - Bares</v>
      </c>
      <c r="P32" s="44" t="str">
        <f t="shared" si="2"/>
        <v>MCSGAST1CPF - Desp. Lazer e Entretenimento - Bares</v>
      </c>
      <c r="Q32" s="44" t="str">
        <f t="shared" si="3"/>
        <v>MCSGAST1</v>
      </c>
      <c r="R32" s="44" t="str">
        <f t="shared" si="4"/>
        <v>MCSGAST1</v>
      </c>
      <c r="S32" s="38"/>
      <c r="T32" s="304">
        <f t="shared" si="5"/>
        <v>46023</v>
      </c>
      <c r="U32" s="304" t="str">
        <f t="shared" si="6"/>
        <v/>
      </c>
      <c r="V32" s="300" t="s">
        <v>761</v>
      </c>
    </row>
    <row r="33" spans="2:22" s="300" customFormat="1" x14ac:dyDescent="0.25">
      <c r="B33" s="301" t="s">
        <v>25</v>
      </c>
      <c r="C33" s="302"/>
      <c r="D33" s="86" t="str">
        <f>INDEX(Cad_Natureza!$B$3:$C$52,MATCH('2026'!F33,Cad_Natureza!$C$3:$C$52,0),MATCH('2026'!D$2,Cad_Natureza!$B$3:$C$3,0))</f>
        <v>OPF2</v>
      </c>
      <c r="E33" s="84" t="s">
        <v>1227</v>
      </c>
      <c r="F33" s="85" t="s">
        <v>741</v>
      </c>
      <c r="G33" s="86" t="s">
        <v>25</v>
      </c>
      <c r="H33" s="87">
        <v>46034</v>
      </c>
      <c r="I33" s="87"/>
      <c r="J33" s="79" t="s">
        <v>184</v>
      </c>
      <c r="K33" s="62">
        <v>-50</v>
      </c>
      <c r="L33" s="62">
        <f t="shared" si="7"/>
        <v>1908.96</v>
      </c>
      <c r="M33" s="302"/>
      <c r="N33" s="44" t="str">
        <f t="shared" si="0"/>
        <v>MCSOPF2CPF - Desp. Transporte / Combustível</v>
      </c>
      <c r="O33" s="44" t="str">
        <f t="shared" si="1"/>
        <v>OPF2CPF - Desp. Transporte / Combustível</v>
      </c>
      <c r="P33" s="44" t="str">
        <f t="shared" si="2"/>
        <v>MCSOPF2CPF - Desp. Transporte / Combustível</v>
      </c>
      <c r="Q33" s="44" t="str">
        <f t="shared" si="3"/>
        <v>MCSOPF2</v>
      </c>
      <c r="R33" s="44" t="str">
        <f t="shared" si="4"/>
        <v>MCSOPF2</v>
      </c>
      <c r="S33" s="38"/>
      <c r="T33" s="304">
        <f t="shared" si="5"/>
        <v>46023</v>
      </c>
      <c r="U33" s="304" t="str">
        <f t="shared" si="6"/>
        <v/>
      </c>
      <c r="V33" s="300" t="s">
        <v>731</v>
      </c>
    </row>
    <row r="34" spans="2:22" s="300" customFormat="1" x14ac:dyDescent="0.25">
      <c r="B34" s="301" t="s">
        <v>25</v>
      </c>
      <c r="C34" s="302"/>
      <c r="D34" s="86" t="str">
        <f>INDEX(Cad_Natureza!$B$3:$C$52,MATCH('2026'!F34,Cad_Natureza!$C$3:$C$52,0),MATCH('2026'!D$2,Cad_Natureza!$B$3:$C$3,0))</f>
        <v>GAST1</v>
      </c>
      <c r="E34" s="84" t="s">
        <v>1228</v>
      </c>
      <c r="F34" s="85" t="s">
        <v>742</v>
      </c>
      <c r="G34" s="86" t="s">
        <v>25</v>
      </c>
      <c r="H34" s="87">
        <v>46034</v>
      </c>
      <c r="I34" s="87"/>
      <c r="J34" s="79" t="s">
        <v>185</v>
      </c>
      <c r="K34" s="62">
        <v>-25</v>
      </c>
      <c r="L34" s="62">
        <f t="shared" si="7"/>
        <v>1883.96</v>
      </c>
      <c r="M34" s="302"/>
      <c r="N34" s="44" t="str">
        <f t="shared" si="0"/>
        <v>MCSGAST1CPF - Desp. Lazer e Entretenimento - Bares</v>
      </c>
      <c r="O34" s="44" t="str">
        <f t="shared" si="1"/>
        <v>GAST1CPF - Desp. Lazer e Entretenimento - Bares</v>
      </c>
      <c r="P34" s="44" t="str">
        <f t="shared" si="2"/>
        <v>MCSGAST1CPF - Desp. Lazer e Entretenimento - Bares</v>
      </c>
      <c r="Q34" s="44" t="str">
        <f t="shared" si="3"/>
        <v>MCSGAST1</v>
      </c>
      <c r="R34" s="44" t="str">
        <f t="shared" si="4"/>
        <v>MCSGAST1</v>
      </c>
      <c r="S34" s="38"/>
      <c r="T34" s="304">
        <f t="shared" si="5"/>
        <v>46023</v>
      </c>
      <c r="U34" s="304" t="str">
        <f t="shared" si="6"/>
        <v/>
      </c>
      <c r="V34" s="300" t="s">
        <v>731</v>
      </c>
    </row>
    <row r="35" spans="2:22" s="300" customFormat="1" x14ac:dyDescent="0.25">
      <c r="B35" s="301" t="s">
        <v>25</v>
      </c>
      <c r="C35" s="302"/>
      <c r="D35" s="86" t="str">
        <f>INDEX(Cad_Natureza!$B$3:$C$52,MATCH('2026'!F35,Cad_Natureza!$C$3:$C$52,0),MATCH('2026'!D$2,Cad_Natureza!$B$3:$C$3,0))</f>
        <v>GAST1</v>
      </c>
      <c r="E35" s="84" t="s">
        <v>1229</v>
      </c>
      <c r="F35" s="85" t="s">
        <v>742</v>
      </c>
      <c r="G35" s="86" t="s">
        <v>25</v>
      </c>
      <c r="H35" s="87">
        <v>46034</v>
      </c>
      <c r="I35" s="87"/>
      <c r="J35" s="79" t="s">
        <v>185</v>
      </c>
      <c r="K35" s="62">
        <v>-4</v>
      </c>
      <c r="L35" s="62">
        <f t="shared" si="7"/>
        <v>1879.96</v>
      </c>
      <c r="M35" s="302"/>
      <c r="N35" s="44" t="str">
        <f t="shared" si="0"/>
        <v>MCSGAST1CPF - Desp. Lazer e Entretenimento - Bares</v>
      </c>
      <c r="O35" s="44" t="str">
        <f t="shared" si="1"/>
        <v>GAST1CPF - Desp. Lazer e Entretenimento - Bares</v>
      </c>
      <c r="P35" s="44" t="str">
        <f t="shared" si="2"/>
        <v>MCSGAST1CPF - Desp. Lazer e Entretenimento - Bares</v>
      </c>
      <c r="Q35" s="44" t="str">
        <f t="shared" si="3"/>
        <v>MCSGAST1</v>
      </c>
      <c r="R35" s="44" t="str">
        <f t="shared" si="4"/>
        <v>MCSGAST1</v>
      </c>
      <c r="S35" s="38"/>
      <c r="T35" s="304">
        <f t="shared" si="5"/>
        <v>46023</v>
      </c>
      <c r="U35" s="304" t="str">
        <f t="shared" si="6"/>
        <v/>
      </c>
      <c r="V35" s="300" t="s">
        <v>761</v>
      </c>
    </row>
    <row r="36" spans="2:22" s="300" customFormat="1" x14ac:dyDescent="0.25">
      <c r="B36" s="301" t="s">
        <v>25</v>
      </c>
      <c r="C36" s="302"/>
      <c r="D36" s="86" t="str">
        <f>INDEX(Cad_Natureza!$B$3:$C$52,MATCH('2026'!F36,Cad_Natureza!$C$3:$C$52,0),MATCH('2026'!D$2,Cad_Natureza!$B$3:$C$3,0))</f>
        <v>GAST1</v>
      </c>
      <c r="E36" s="84" t="s">
        <v>1229</v>
      </c>
      <c r="F36" s="85" t="s">
        <v>742</v>
      </c>
      <c r="G36" s="86" t="s">
        <v>25</v>
      </c>
      <c r="H36" s="87">
        <v>46034</v>
      </c>
      <c r="I36" s="87"/>
      <c r="J36" s="79" t="s">
        <v>185</v>
      </c>
      <c r="K36" s="62">
        <v>-18</v>
      </c>
      <c r="L36" s="62">
        <f t="shared" si="7"/>
        <v>1861.96</v>
      </c>
      <c r="M36" s="302"/>
      <c r="N36" s="44" t="str">
        <f t="shared" si="0"/>
        <v>MCSGAST1CPF - Desp. Lazer e Entretenimento - Bares</v>
      </c>
      <c r="O36" s="44" t="str">
        <f t="shared" si="1"/>
        <v>GAST1CPF - Desp. Lazer e Entretenimento - Bares</v>
      </c>
      <c r="P36" s="44" t="str">
        <f t="shared" si="2"/>
        <v>MCSGAST1CPF - Desp. Lazer e Entretenimento - Bares</v>
      </c>
      <c r="Q36" s="44" t="str">
        <f t="shared" si="3"/>
        <v>MCSGAST1</v>
      </c>
      <c r="R36" s="44" t="str">
        <f t="shared" si="4"/>
        <v>MCSGAST1</v>
      </c>
      <c r="S36" s="38"/>
      <c r="T36" s="304">
        <f t="shared" si="5"/>
        <v>46023</v>
      </c>
      <c r="U36" s="304" t="str">
        <f t="shared" si="6"/>
        <v/>
      </c>
      <c r="V36" s="300" t="s">
        <v>761</v>
      </c>
    </row>
    <row r="37" spans="2:22" s="300" customFormat="1" x14ac:dyDescent="0.25">
      <c r="B37" s="301" t="s">
        <v>25</v>
      </c>
      <c r="C37" s="302"/>
      <c r="D37" s="86" t="str">
        <f>INDEX(Cad_Natureza!$B$3:$C$52,MATCH('2026'!F37,Cad_Natureza!$C$3:$C$52,0),MATCH('2026'!D$2,Cad_Natureza!$B$3:$C$3,0))</f>
        <v>GAST1</v>
      </c>
      <c r="E37" s="84" t="s">
        <v>1229</v>
      </c>
      <c r="F37" s="85" t="s">
        <v>742</v>
      </c>
      <c r="G37" s="86" t="s">
        <v>25</v>
      </c>
      <c r="H37" s="87">
        <v>46034</v>
      </c>
      <c r="I37" s="87"/>
      <c r="J37" s="79" t="s">
        <v>185</v>
      </c>
      <c r="K37" s="62">
        <v>-4</v>
      </c>
      <c r="L37" s="62">
        <f t="shared" si="7"/>
        <v>1857.96</v>
      </c>
      <c r="M37" s="302"/>
      <c r="N37" s="44" t="str">
        <f t="shared" si="0"/>
        <v>MCSGAST1CPF - Desp. Lazer e Entretenimento - Bares</v>
      </c>
      <c r="O37" s="44" t="str">
        <f t="shared" si="1"/>
        <v>GAST1CPF - Desp. Lazer e Entretenimento - Bares</v>
      </c>
      <c r="P37" s="44" t="str">
        <f t="shared" si="2"/>
        <v>MCSGAST1CPF - Desp. Lazer e Entretenimento - Bares</v>
      </c>
      <c r="Q37" s="44" t="str">
        <f t="shared" si="3"/>
        <v>MCSGAST1</v>
      </c>
      <c r="R37" s="44" t="str">
        <f t="shared" si="4"/>
        <v>MCSGAST1</v>
      </c>
      <c r="S37" s="38"/>
      <c r="T37" s="304">
        <f t="shared" si="5"/>
        <v>46023</v>
      </c>
      <c r="U37" s="304" t="str">
        <f t="shared" si="6"/>
        <v/>
      </c>
      <c r="V37" s="300" t="s">
        <v>761</v>
      </c>
    </row>
    <row r="38" spans="2:22" s="300" customFormat="1" x14ac:dyDescent="0.25">
      <c r="B38" s="301" t="s">
        <v>25</v>
      </c>
      <c r="C38" s="302"/>
      <c r="D38" s="86" t="str">
        <f>INDEX(Cad_Natureza!$B$3:$C$52,MATCH('2026'!F38,Cad_Natureza!$C$3:$C$52,0),MATCH('2026'!D$2,Cad_Natureza!$B$3:$C$3,0))</f>
        <v>GAST1</v>
      </c>
      <c r="E38" s="84" t="s">
        <v>1230</v>
      </c>
      <c r="F38" s="85" t="s">
        <v>742</v>
      </c>
      <c r="G38" s="86" t="s">
        <v>25</v>
      </c>
      <c r="H38" s="87">
        <v>46034</v>
      </c>
      <c r="I38" s="87"/>
      <c r="J38" s="79" t="s">
        <v>1347</v>
      </c>
      <c r="K38" s="62">
        <v>-6.4</v>
      </c>
      <c r="L38" s="62">
        <f t="shared" si="7"/>
        <v>1851.56</v>
      </c>
      <c r="M38" s="302"/>
      <c r="N38" s="44" t="str">
        <f t="shared" si="0"/>
        <v>MCSGAST1CPF - Desp. Lazer e Entretenimento - Bares</v>
      </c>
      <c r="O38" s="44" t="str">
        <f t="shared" si="1"/>
        <v>GAST1CPF - Desp. Lazer e Entretenimento - Bares</v>
      </c>
      <c r="P38" s="44" t="str">
        <f t="shared" si="2"/>
        <v>MCSGAST1CPF - Desp. Lazer e Entretenimento - Bares</v>
      </c>
      <c r="Q38" s="44" t="str">
        <f t="shared" si="3"/>
        <v>MCSGAST1</v>
      </c>
      <c r="R38" s="44" t="str">
        <f t="shared" si="4"/>
        <v>MCSGAST1</v>
      </c>
      <c r="S38" s="38"/>
      <c r="T38" s="304">
        <f t="shared" si="5"/>
        <v>46023</v>
      </c>
      <c r="U38" s="304" t="str">
        <f t="shared" si="6"/>
        <v/>
      </c>
      <c r="V38" s="300" t="s">
        <v>761</v>
      </c>
    </row>
    <row r="39" spans="2:22" s="300" customFormat="1" x14ac:dyDescent="0.25">
      <c r="B39" s="301" t="s">
        <v>25</v>
      </c>
      <c r="C39" s="302"/>
      <c r="D39" s="86" t="str">
        <f>INDEX(Cad_Natureza!$B$3:$C$52,MATCH('2026'!F39,Cad_Natureza!$C$3:$C$52,0),MATCH('2026'!D$2,Cad_Natureza!$B$3:$C$3,0))</f>
        <v>OUG1</v>
      </c>
      <c r="E39" s="84" t="s">
        <v>1231</v>
      </c>
      <c r="F39" s="85" t="s">
        <v>748</v>
      </c>
      <c r="G39" s="86" t="s">
        <v>25</v>
      </c>
      <c r="H39" s="87">
        <v>46034</v>
      </c>
      <c r="I39" s="87"/>
      <c r="J39" s="79" t="s">
        <v>1346</v>
      </c>
      <c r="K39" s="62">
        <v>-25</v>
      </c>
      <c r="L39" s="62">
        <f t="shared" si="7"/>
        <v>1826.56</v>
      </c>
      <c r="M39" s="302"/>
      <c r="N39" s="44" t="str">
        <f t="shared" si="0"/>
        <v>MCSOUG1CPF - Outros gastos</v>
      </c>
      <c r="O39" s="44" t="str">
        <f t="shared" si="1"/>
        <v>OUG1CPF - Outros gastos</v>
      </c>
      <c r="P39" s="44" t="str">
        <f t="shared" si="2"/>
        <v>MCSOUG1CPF - Outros gastos</v>
      </c>
      <c r="Q39" s="44" t="str">
        <f t="shared" si="3"/>
        <v>MCSOUG1</v>
      </c>
      <c r="R39" s="44" t="str">
        <f t="shared" si="4"/>
        <v>MCSOUG1</v>
      </c>
      <c r="S39" s="38"/>
      <c r="T39" s="304">
        <f t="shared" si="5"/>
        <v>46023</v>
      </c>
      <c r="U39" s="304" t="str">
        <f t="shared" si="6"/>
        <v/>
      </c>
      <c r="V39" s="300" t="s">
        <v>761</v>
      </c>
    </row>
    <row r="40" spans="2:22" s="300" customFormat="1" x14ac:dyDescent="0.25">
      <c r="B40" s="301" t="s">
        <v>25</v>
      </c>
      <c r="C40" s="302"/>
      <c r="D40" s="86" t="str">
        <f>INDEX(Cad_Natureza!$B$3:$C$52,MATCH('2026'!F40,Cad_Natureza!$C$3:$C$52,0),MATCH('2026'!D$2,Cad_Natureza!$B$3:$C$3,0))</f>
        <v>FIN1</v>
      </c>
      <c r="E40" s="84" t="s">
        <v>1232</v>
      </c>
      <c r="F40" s="85" t="s">
        <v>713</v>
      </c>
      <c r="G40" s="86" t="s">
        <v>25</v>
      </c>
      <c r="H40" s="87">
        <v>46034</v>
      </c>
      <c r="I40" s="87"/>
      <c r="J40" s="79" t="s">
        <v>943</v>
      </c>
      <c r="K40" s="62">
        <v>-200</v>
      </c>
      <c r="L40" s="62">
        <f t="shared" si="7"/>
        <v>1626.56</v>
      </c>
      <c r="M40" s="302"/>
      <c r="N40" s="44" t="str">
        <f t="shared" si="0"/>
        <v>MCSFIN1CPF - Desp. Financeiras - Empréstimos</v>
      </c>
      <c r="O40" s="44" t="str">
        <f t="shared" si="1"/>
        <v>FIN1CPF - Desp. Financeiras - Empréstimos</v>
      </c>
      <c r="P40" s="44" t="str">
        <f t="shared" si="2"/>
        <v>MCSFIN1CPF - Desp. Financeiras - Empréstimos</v>
      </c>
      <c r="Q40" s="44" t="str">
        <f t="shared" si="3"/>
        <v>MCSFIN1</v>
      </c>
      <c r="R40" s="44" t="str">
        <f t="shared" si="4"/>
        <v>MCSFIN1</v>
      </c>
      <c r="S40" s="38"/>
      <c r="T40" s="304">
        <f t="shared" si="5"/>
        <v>46023</v>
      </c>
      <c r="U40" s="304" t="str">
        <f t="shared" si="6"/>
        <v/>
      </c>
      <c r="V40" s="300" t="s">
        <v>761</v>
      </c>
    </row>
    <row r="41" spans="2:22" s="300" customFormat="1" x14ac:dyDescent="0.25">
      <c r="B41" s="301" t="s">
        <v>25</v>
      </c>
      <c r="C41" s="302"/>
      <c r="D41" s="86" t="str">
        <f>INDEX(Cad_Natureza!$B$3:$C$52,MATCH('2026'!F41,Cad_Natureza!$C$3:$C$52,0),MATCH('2026'!D$2,Cad_Natureza!$B$3:$C$3,0))</f>
        <v>GAST1</v>
      </c>
      <c r="E41" s="84" t="s">
        <v>1233</v>
      </c>
      <c r="F41" s="85" t="s">
        <v>742</v>
      </c>
      <c r="G41" s="86" t="s">
        <v>25</v>
      </c>
      <c r="H41" s="87">
        <v>46034</v>
      </c>
      <c r="I41" s="87"/>
      <c r="J41" s="79" t="s">
        <v>185</v>
      </c>
      <c r="K41" s="62">
        <v>-19</v>
      </c>
      <c r="L41" s="62">
        <f t="shared" si="7"/>
        <v>1607.56</v>
      </c>
      <c r="M41" s="302"/>
      <c r="N41" s="44" t="str">
        <f t="shared" si="0"/>
        <v>MCSGAST1CPF - Desp. Lazer e Entretenimento - Bares</v>
      </c>
      <c r="O41" s="44" t="str">
        <f t="shared" si="1"/>
        <v>GAST1CPF - Desp. Lazer e Entretenimento - Bares</v>
      </c>
      <c r="P41" s="44" t="str">
        <f t="shared" si="2"/>
        <v>MCSGAST1CPF - Desp. Lazer e Entretenimento - Bares</v>
      </c>
      <c r="Q41" s="44" t="str">
        <f t="shared" si="3"/>
        <v>MCSGAST1</v>
      </c>
      <c r="R41" s="44" t="str">
        <f t="shared" si="4"/>
        <v>MCSGAST1</v>
      </c>
      <c r="S41" s="38"/>
      <c r="T41" s="304">
        <f t="shared" si="5"/>
        <v>46023</v>
      </c>
      <c r="U41" s="304" t="str">
        <f t="shared" si="6"/>
        <v/>
      </c>
      <c r="V41" s="300" t="s">
        <v>731</v>
      </c>
    </row>
    <row r="42" spans="2:22" s="300" customFormat="1" x14ac:dyDescent="0.25">
      <c r="B42" s="301" t="s">
        <v>25</v>
      </c>
      <c r="C42" s="302"/>
      <c r="D42" s="86" t="str">
        <f>INDEX(Cad_Natureza!$B$3:$C$52,MATCH('2026'!F42,Cad_Natureza!$C$3:$C$52,0),MATCH('2026'!D$2,Cad_Natureza!$B$3:$C$3,0))</f>
        <v>OPF2</v>
      </c>
      <c r="E42" s="84" t="s">
        <v>1234</v>
      </c>
      <c r="F42" s="85" t="s">
        <v>741</v>
      </c>
      <c r="G42" s="86" t="s">
        <v>25</v>
      </c>
      <c r="H42" s="87">
        <v>46034</v>
      </c>
      <c r="I42" s="87"/>
      <c r="J42" s="79" t="s">
        <v>184</v>
      </c>
      <c r="K42" s="62">
        <v>-50</v>
      </c>
      <c r="L42" s="62">
        <f t="shared" si="7"/>
        <v>1557.56</v>
      </c>
      <c r="M42" s="302"/>
      <c r="N42" s="44" t="str">
        <f t="shared" si="0"/>
        <v>MCSOPF2CPF - Desp. Transporte / Combustível</v>
      </c>
      <c r="O42" s="44" t="str">
        <f t="shared" si="1"/>
        <v>OPF2CPF - Desp. Transporte / Combustível</v>
      </c>
      <c r="P42" s="44" t="str">
        <f t="shared" si="2"/>
        <v>MCSOPF2CPF - Desp. Transporte / Combustível</v>
      </c>
      <c r="Q42" s="44" t="str">
        <f t="shared" si="3"/>
        <v>MCSOPF2</v>
      </c>
      <c r="R42" s="44" t="str">
        <f t="shared" si="4"/>
        <v>MCSOPF2</v>
      </c>
      <c r="S42" s="38"/>
      <c r="T42" s="304">
        <f t="shared" si="5"/>
        <v>46023</v>
      </c>
      <c r="U42" s="304" t="str">
        <f t="shared" si="6"/>
        <v/>
      </c>
      <c r="V42" s="300" t="s">
        <v>731</v>
      </c>
    </row>
    <row r="43" spans="2:22" s="300" customFormat="1" x14ac:dyDescent="0.25">
      <c r="B43" s="301" t="s">
        <v>25</v>
      </c>
      <c r="C43" s="302"/>
      <c r="D43" s="86" t="str">
        <f>INDEX(Cad_Natureza!$B$3:$C$52,MATCH('2026'!F43,Cad_Natureza!$C$3:$C$52,0),MATCH('2026'!D$2,Cad_Natureza!$B$3:$C$3,0))</f>
        <v>FIN3</v>
      </c>
      <c r="E43" s="84" t="s">
        <v>1235</v>
      </c>
      <c r="F43" s="85" t="s">
        <v>939</v>
      </c>
      <c r="G43" s="86" t="s">
        <v>25</v>
      </c>
      <c r="H43" s="87">
        <v>46034</v>
      </c>
      <c r="I43" s="87"/>
      <c r="J43" s="79" t="s">
        <v>572</v>
      </c>
      <c r="K43" s="62">
        <v>-290.26</v>
      </c>
      <c r="L43" s="62">
        <f t="shared" si="7"/>
        <v>1267.3</v>
      </c>
      <c r="M43" s="302"/>
      <c r="N43" s="44" t="str">
        <f t="shared" si="0"/>
        <v>MCSFIN3CPF - Desp. Financeiras - Empréstimos bancários</v>
      </c>
      <c r="O43" s="44" t="str">
        <f t="shared" si="1"/>
        <v>FIN3CPF - Desp. Financeiras - Empréstimos bancários</v>
      </c>
      <c r="P43" s="44" t="str">
        <f t="shared" si="2"/>
        <v>MCSFIN3CPF - Desp. Financeiras - Empréstimos bancários</v>
      </c>
      <c r="Q43" s="44" t="str">
        <f t="shared" si="3"/>
        <v>MCSFIN3</v>
      </c>
      <c r="R43" s="44" t="str">
        <f t="shared" si="4"/>
        <v>MCSFIN3</v>
      </c>
      <c r="S43" s="38"/>
      <c r="T43" s="304">
        <f t="shared" si="5"/>
        <v>46023</v>
      </c>
      <c r="U43" s="304" t="str">
        <f t="shared" si="6"/>
        <v/>
      </c>
      <c r="V43" s="300" t="s">
        <v>761</v>
      </c>
    </row>
    <row r="44" spans="2:22" s="300" customFormat="1" x14ac:dyDescent="0.25">
      <c r="B44" s="301" t="s">
        <v>25</v>
      </c>
      <c r="C44" s="302"/>
      <c r="D44" s="86" t="str">
        <f>INDEX(Cad_Natureza!$B$3:$C$52,MATCH('2026'!F44,Cad_Natureza!$C$3:$C$52,0),MATCH('2026'!D$2,Cad_Natureza!$B$3:$C$3,0))</f>
        <v>FIN3</v>
      </c>
      <c r="E44" s="84" t="s">
        <v>1235</v>
      </c>
      <c r="F44" s="85" t="s">
        <v>939</v>
      </c>
      <c r="G44" s="86" t="s">
        <v>25</v>
      </c>
      <c r="H44" s="87">
        <v>46034</v>
      </c>
      <c r="I44" s="87"/>
      <c r="J44" s="79" t="s">
        <v>572</v>
      </c>
      <c r="K44" s="62">
        <v>-6.79</v>
      </c>
      <c r="L44" s="62">
        <f t="shared" si="7"/>
        <v>1260.51</v>
      </c>
      <c r="M44" s="302"/>
      <c r="N44" s="44" t="str">
        <f t="shared" si="0"/>
        <v>MCSFIN3CPF - Desp. Financeiras - Empréstimos bancários</v>
      </c>
      <c r="O44" s="44" t="str">
        <f t="shared" si="1"/>
        <v>FIN3CPF - Desp. Financeiras - Empréstimos bancários</v>
      </c>
      <c r="P44" s="44" t="str">
        <f t="shared" si="2"/>
        <v>MCSFIN3CPF - Desp. Financeiras - Empréstimos bancários</v>
      </c>
      <c r="Q44" s="44" t="str">
        <f t="shared" si="3"/>
        <v>MCSFIN3</v>
      </c>
      <c r="R44" s="44" t="str">
        <f t="shared" si="4"/>
        <v>MCSFIN3</v>
      </c>
      <c r="S44" s="38"/>
      <c r="T44" s="304">
        <f t="shared" si="5"/>
        <v>46023</v>
      </c>
      <c r="U44" s="304" t="str">
        <f t="shared" si="6"/>
        <v/>
      </c>
      <c r="V44" s="300" t="s">
        <v>761</v>
      </c>
    </row>
    <row r="45" spans="2:22" s="300" customFormat="1" x14ac:dyDescent="0.25">
      <c r="B45" s="301" t="s">
        <v>25</v>
      </c>
      <c r="C45" s="302"/>
      <c r="D45" s="86" t="str">
        <f>INDEX(Cad_Natureza!$B$3:$C$52,MATCH('2026'!F45,Cad_Natureza!$C$3:$C$52,0),MATCH('2026'!D$2,Cad_Natureza!$B$3:$C$3,0))</f>
        <v>GAST2</v>
      </c>
      <c r="E45" s="84" t="s">
        <v>1236</v>
      </c>
      <c r="F45" s="85" t="s">
        <v>743</v>
      </c>
      <c r="G45" s="86" t="s">
        <v>25</v>
      </c>
      <c r="H45" s="87">
        <v>46034</v>
      </c>
      <c r="I45" s="87"/>
      <c r="J45" s="79" t="s">
        <v>180</v>
      </c>
      <c r="K45" s="62">
        <v>-40</v>
      </c>
      <c r="L45" s="62">
        <f t="shared" si="7"/>
        <v>1220.51</v>
      </c>
      <c r="M45" s="302"/>
      <c r="N45" s="44" t="str">
        <f t="shared" si="0"/>
        <v>MCSGAST2CPF - Desp. Lazer e Entretenimento - Cigarro</v>
      </c>
      <c r="O45" s="44" t="str">
        <f t="shared" si="1"/>
        <v>GAST2CPF - Desp. Lazer e Entretenimento - Cigarro</v>
      </c>
      <c r="P45" s="44" t="str">
        <f t="shared" si="2"/>
        <v>MCSGAST2CPF - Desp. Lazer e Entretenimento - Cigarro</v>
      </c>
      <c r="Q45" s="44" t="str">
        <f t="shared" si="3"/>
        <v>MCSGAST2</v>
      </c>
      <c r="R45" s="44" t="str">
        <f t="shared" si="4"/>
        <v>MCSGAST2</v>
      </c>
      <c r="S45" s="38"/>
      <c r="T45" s="304">
        <f t="shared" si="5"/>
        <v>46023</v>
      </c>
      <c r="U45" s="304" t="str">
        <f t="shared" si="6"/>
        <v/>
      </c>
      <c r="V45" s="300" t="s">
        <v>761</v>
      </c>
    </row>
    <row r="46" spans="2:22" s="300" customFormat="1" x14ac:dyDescent="0.25">
      <c r="B46" s="301" t="s">
        <v>25</v>
      </c>
      <c r="C46" s="302"/>
      <c r="D46" s="86" t="str">
        <f>INDEX(Cad_Natureza!$B$3:$C$52,MATCH('2026'!F46,Cad_Natureza!$C$3:$C$52,0),MATCH('2026'!D$2,Cad_Natureza!$B$3:$C$3,0))</f>
        <v>PENS1</v>
      </c>
      <c r="E46" s="84" t="s">
        <v>1237</v>
      </c>
      <c r="F46" s="85" t="s">
        <v>717</v>
      </c>
      <c r="G46" s="86" t="s">
        <v>25</v>
      </c>
      <c r="H46" s="87">
        <v>46034</v>
      </c>
      <c r="I46" s="87"/>
      <c r="J46" s="78" t="s">
        <v>1183</v>
      </c>
      <c r="K46" s="62">
        <v>-700</v>
      </c>
      <c r="L46" s="62">
        <f t="shared" si="7"/>
        <v>520.51</v>
      </c>
      <c r="M46" s="302"/>
      <c r="N46" s="44" t="str">
        <f t="shared" ref="N46:N85" si="8">B46&amp;D46&amp;F46</f>
        <v>MCSPENS1CPF - Pensão - Aluguel</v>
      </c>
      <c r="O46" s="44" t="str">
        <f t="shared" ref="O46:O85" si="9">D46&amp;F46</f>
        <v>PENS1CPF - Pensão - Aluguel</v>
      </c>
      <c r="P46" s="44" t="str">
        <f t="shared" ref="P46:P85" si="10">"MCS"&amp;D46&amp;F46</f>
        <v>MCSPENS1CPF - Pensão - Aluguel</v>
      </c>
      <c r="Q46" s="44" t="str">
        <f t="shared" ref="Q46:Q85" si="11">"MCS"&amp;D46</f>
        <v>MCSPENS1</v>
      </c>
      <c r="R46" s="44" t="str">
        <f t="shared" ref="R46:R85" si="12">B46&amp;D46</f>
        <v>MCSPENS1</v>
      </c>
      <c r="S46" s="38"/>
      <c r="T46" s="304">
        <f t="shared" ref="T46:T85" si="13">(1&amp;"/"&amp;MONTH(H46)&amp;"/"&amp;YEAR(H46))*1</f>
        <v>46023</v>
      </c>
      <c r="U46" s="304" t="str">
        <f t="shared" ref="U46:U85" si="14">IF(I46="","",(1&amp;"/"&amp;MONTH(I46)&amp;"/"&amp;YEAR(I46))*1)</f>
        <v/>
      </c>
      <c r="V46" s="300" t="s">
        <v>761</v>
      </c>
    </row>
    <row r="47" spans="2:22" s="291" customFormat="1" x14ac:dyDescent="0.25">
      <c r="B47" s="288" t="s">
        <v>25</v>
      </c>
      <c r="C47" s="83"/>
      <c r="D47" s="63" t="str">
        <f>INDEX(Cad_Natureza!$B$3:$C$52,MATCH('2026'!F47,Cad_Natureza!$C$3:$C$52,0),MATCH('2026'!D$2,Cad_Natureza!$B$3:$C$3,0))</f>
        <v>REC4</v>
      </c>
      <c r="E47" s="64" t="s">
        <v>1238</v>
      </c>
      <c r="F47" s="65" t="s">
        <v>734</v>
      </c>
      <c r="G47" s="63" t="s">
        <v>25</v>
      </c>
      <c r="H47" s="66">
        <v>46034</v>
      </c>
      <c r="I47" s="66"/>
      <c r="J47" s="67" t="s">
        <v>183</v>
      </c>
      <c r="K47" s="68">
        <v>1900</v>
      </c>
      <c r="L47" s="68">
        <f t="shared" si="7"/>
        <v>2420.5100000000002</v>
      </c>
      <c r="M47" s="83"/>
      <c r="N47" s="289" t="str">
        <f t="shared" si="8"/>
        <v>MCSREC4CPF - Transf. Da conta PJ para a conta PF</v>
      </c>
      <c r="O47" s="289" t="str">
        <f t="shared" si="9"/>
        <v>REC4CPF - Transf. Da conta PJ para a conta PF</v>
      </c>
      <c r="P47" s="289" t="str">
        <f t="shared" si="10"/>
        <v>MCSREC4CPF - Transf. Da conta PJ para a conta PF</v>
      </c>
      <c r="Q47" s="289" t="str">
        <f t="shared" si="11"/>
        <v>MCSREC4</v>
      </c>
      <c r="R47" s="289" t="str">
        <f t="shared" si="12"/>
        <v>MCSREC4</v>
      </c>
      <c r="S47" s="83"/>
      <c r="T47" s="290">
        <f t="shared" si="13"/>
        <v>46023</v>
      </c>
      <c r="U47" s="290" t="str">
        <f t="shared" si="14"/>
        <v/>
      </c>
      <c r="V47" s="291" t="s">
        <v>761</v>
      </c>
    </row>
    <row r="48" spans="2:22" s="300" customFormat="1" x14ac:dyDescent="0.25">
      <c r="B48" s="301" t="s">
        <v>25</v>
      </c>
      <c r="C48" s="302"/>
      <c r="D48" s="86" t="str">
        <f>INDEX(Cad_Natureza!$B$3:$C$52,MATCH('2026'!F48,Cad_Natureza!$C$3:$C$52,0),MATCH('2026'!D$2,Cad_Natureza!$B$3:$C$3,0))</f>
        <v>PENS2</v>
      </c>
      <c r="E48" s="84" t="s">
        <v>1239</v>
      </c>
      <c r="F48" s="85" t="s">
        <v>715</v>
      </c>
      <c r="G48" s="86" t="s">
        <v>25</v>
      </c>
      <c r="H48" s="87">
        <v>46034</v>
      </c>
      <c r="I48" s="87"/>
      <c r="J48" s="78" t="s">
        <v>962</v>
      </c>
      <c r="K48" s="62">
        <v>-816.87</v>
      </c>
      <c r="L48" s="62">
        <f t="shared" si="7"/>
        <v>1603.6400000000003</v>
      </c>
      <c r="M48" s="302"/>
      <c r="N48" s="44" t="str">
        <f t="shared" si="8"/>
        <v>MCSPENS2CPF - Pensão - Energia</v>
      </c>
      <c r="O48" s="44" t="str">
        <f t="shared" si="9"/>
        <v>PENS2CPF - Pensão - Energia</v>
      </c>
      <c r="P48" s="44" t="str">
        <f t="shared" si="10"/>
        <v>MCSPENS2CPF - Pensão - Energia</v>
      </c>
      <c r="Q48" s="44" t="str">
        <f t="shared" si="11"/>
        <v>MCSPENS2</v>
      </c>
      <c r="R48" s="44" t="str">
        <f t="shared" si="12"/>
        <v>MCSPENS2</v>
      </c>
      <c r="S48" s="38"/>
      <c r="T48" s="304">
        <f t="shared" si="13"/>
        <v>46023</v>
      </c>
      <c r="U48" s="304" t="str">
        <f t="shared" si="14"/>
        <v/>
      </c>
      <c r="V48" s="300" t="s">
        <v>761</v>
      </c>
    </row>
    <row r="49" spans="2:22" s="300" customFormat="1" x14ac:dyDescent="0.25">
      <c r="B49" s="301" t="s">
        <v>25</v>
      </c>
      <c r="C49" s="302"/>
      <c r="D49" s="86" t="str">
        <f>INDEX(Cad_Natureza!$B$3:$C$52,MATCH('2026'!F49,Cad_Natureza!$C$3:$C$52,0),MATCH('2026'!D$2,Cad_Natureza!$B$3:$C$3,0))</f>
        <v>GAST1</v>
      </c>
      <c r="E49" s="84" t="s">
        <v>1240</v>
      </c>
      <c r="F49" s="85" t="s">
        <v>742</v>
      </c>
      <c r="G49" s="86" t="s">
        <v>25</v>
      </c>
      <c r="H49" s="87">
        <v>46034</v>
      </c>
      <c r="I49" s="87"/>
      <c r="J49" s="79" t="s">
        <v>1340</v>
      </c>
      <c r="K49" s="62">
        <v>-4</v>
      </c>
      <c r="L49" s="62">
        <f t="shared" si="7"/>
        <v>1599.6400000000003</v>
      </c>
      <c r="M49" s="302"/>
      <c r="N49" s="44" t="str">
        <f t="shared" si="8"/>
        <v>MCSGAST1CPF - Desp. Lazer e Entretenimento - Bares</v>
      </c>
      <c r="O49" s="44" t="str">
        <f t="shared" si="9"/>
        <v>GAST1CPF - Desp. Lazer e Entretenimento - Bares</v>
      </c>
      <c r="P49" s="44" t="str">
        <f t="shared" si="10"/>
        <v>MCSGAST1CPF - Desp. Lazer e Entretenimento - Bares</v>
      </c>
      <c r="Q49" s="44" t="str">
        <f t="shared" si="11"/>
        <v>MCSGAST1</v>
      </c>
      <c r="R49" s="44" t="str">
        <f t="shared" si="12"/>
        <v>MCSGAST1</v>
      </c>
      <c r="S49" s="38"/>
      <c r="T49" s="304">
        <f t="shared" si="13"/>
        <v>46023</v>
      </c>
      <c r="U49" s="304" t="str">
        <f t="shared" si="14"/>
        <v/>
      </c>
      <c r="V49" s="300" t="s">
        <v>731</v>
      </c>
    </row>
    <row r="50" spans="2:22" s="300" customFormat="1" x14ac:dyDescent="0.25">
      <c r="B50" s="301" t="s">
        <v>25</v>
      </c>
      <c r="C50" s="302"/>
      <c r="D50" s="86" t="str">
        <f>INDEX(Cad_Natureza!$B$3:$C$52,MATCH('2026'!F50,Cad_Natureza!$C$3:$C$52,0),MATCH('2026'!D$2,Cad_Natureza!$B$3:$C$3,0))</f>
        <v>GAST1</v>
      </c>
      <c r="E50" s="84" t="s">
        <v>1240</v>
      </c>
      <c r="F50" s="85" t="s">
        <v>742</v>
      </c>
      <c r="G50" s="86" t="s">
        <v>25</v>
      </c>
      <c r="H50" s="87">
        <v>46034</v>
      </c>
      <c r="I50" s="87"/>
      <c r="J50" s="79" t="s">
        <v>1340</v>
      </c>
      <c r="K50" s="62">
        <v>-6</v>
      </c>
      <c r="L50" s="62">
        <f t="shared" si="7"/>
        <v>1593.6400000000003</v>
      </c>
      <c r="M50" s="302"/>
      <c r="N50" s="44" t="str">
        <f t="shared" si="8"/>
        <v>MCSGAST1CPF - Desp. Lazer e Entretenimento - Bares</v>
      </c>
      <c r="O50" s="44" t="str">
        <f t="shared" si="9"/>
        <v>GAST1CPF - Desp. Lazer e Entretenimento - Bares</v>
      </c>
      <c r="P50" s="44" t="str">
        <f t="shared" si="10"/>
        <v>MCSGAST1CPF - Desp. Lazer e Entretenimento - Bares</v>
      </c>
      <c r="Q50" s="44" t="str">
        <f t="shared" si="11"/>
        <v>MCSGAST1</v>
      </c>
      <c r="R50" s="44" t="str">
        <f t="shared" si="12"/>
        <v>MCSGAST1</v>
      </c>
      <c r="S50" s="38"/>
      <c r="T50" s="304">
        <f t="shared" si="13"/>
        <v>46023</v>
      </c>
      <c r="U50" s="304" t="str">
        <f t="shared" si="14"/>
        <v/>
      </c>
      <c r="V50" s="300" t="s">
        <v>731</v>
      </c>
    </row>
    <row r="51" spans="2:22" s="300" customFormat="1" x14ac:dyDescent="0.25">
      <c r="B51" s="301" t="s">
        <v>25</v>
      </c>
      <c r="C51" s="302"/>
      <c r="D51" s="86" t="str">
        <f>INDEX(Cad_Natureza!$B$3:$C$52,MATCH('2026'!F51,Cad_Natureza!$C$3:$C$52,0),MATCH('2026'!D$2,Cad_Natureza!$B$3:$C$3,0))</f>
        <v>GAST1</v>
      </c>
      <c r="E51" s="84" t="s">
        <v>1240</v>
      </c>
      <c r="F51" s="85" t="s">
        <v>742</v>
      </c>
      <c r="G51" s="86" t="s">
        <v>25</v>
      </c>
      <c r="H51" s="87">
        <v>46034</v>
      </c>
      <c r="I51" s="87"/>
      <c r="J51" s="79" t="s">
        <v>1340</v>
      </c>
      <c r="K51" s="62">
        <v>-4</v>
      </c>
      <c r="L51" s="62">
        <f t="shared" si="7"/>
        <v>1589.6400000000003</v>
      </c>
      <c r="M51" s="302"/>
      <c r="N51" s="44" t="str">
        <f t="shared" si="8"/>
        <v>MCSGAST1CPF - Desp. Lazer e Entretenimento - Bares</v>
      </c>
      <c r="O51" s="44" t="str">
        <f t="shared" si="9"/>
        <v>GAST1CPF - Desp. Lazer e Entretenimento - Bares</v>
      </c>
      <c r="P51" s="44" t="str">
        <f t="shared" si="10"/>
        <v>MCSGAST1CPF - Desp. Lazer e Entretenimento - Bares</v>
      </c>
      <c r="Q51" s="44" t="str">
        <f t="shared" si="11"/>
        <v>MCSGAST1</v>
      </c>
      <c r="R51" s="44" t="str">
        <f t="shared" si="12"/>
        <v>MCSGAST1</v>
      </c>
      <c r="S51" s="38"/>
      <c r="T51" s="304">
        <f t="shared" si="13"/>
        <v>46023</v>
      </c>
      <c r="U51" s="304" t="str">
        <f t="shared" si="14"/>
        <v/>
      </c>
      <c r="V51" s="300" t="s">
        <v>761</v>
      </c>
    </row>
    <row r="52" spans="2:22" s="300" customFormat="1" x14ac:dyDescent="0.25">
      <c r="B52" s="301" t="s">
        <v>25</v>
      </c>
      <c r="C52" s="302"/>
      <c r="D52" s="86" t="str">
        <f>INDEX(Cad_Natureza!$B$3:$C$52,MATCH('2026'!F52,Cad_Natureza!$C$3:$C$52,0),MATCH('2026'!D$2,Cad_Natureza!$B$3:$C$3,0))</f>
        <v>OPF1</v>
      </c>
      <c r="E52" s="84" t="s">
        <v>1241</v>
      </c>
      <c r="F52" s="85" t="s">
        <v>744</v>
      </c>
      <c r="G52" s="86" t="s">
        <v>25</v>
      </c>
      <c r="H52" s="87">
        <v>46035</v>
      </c>
      <c r="I52" s="87"/>
      <c r="J52" s="79" t="s">
        <v>182</v>
      </c>
      <c r="K52" s="62">
        <v>-22</v>
      </c>
      <c r="L52" s="62">
        <f t="shared" si="7"/>
        <v>1567.6400000000003</v>
      </c>
      <c r="M52" s="302"/>
      <c r="N52" s="44" t="str">
        <f t="shared" si="8"/>
        <v>MCSOPF1CPF - Desp. Alimentação / Refeição</v>
      </c>
      <c r="O52" s="44" t="str">
        <f t="shared" si="9"/>
        <v>OPF1CPF - Desp. Alimentação / Refeição</v>
      </c>
      <c r="P52" s="44" t="str">
        <f t="shared" si="10"/>
        <v>MCSOPF1CPF - Desp. Alimentação / Refeição</v>
      </c>
      <c r="Q52" s="44" t="str">
        <f t="shared" si="11"/>
        <v>MCSOPF1</v>
      </c>
      <c r="R52" s="44" t="str">
        <f t="shared" si="12"/>
        <v>MCSOPF1</v>
      </c>
      <c r="S52" s="38"/>
      <c r="T52" s="304">
        <f t="shared" si="13"/>
        <v>46023</v>
      </c>
      <c r="U52" s="304" t="str">
        <f t="shared" si="14"/>
        <v/>
      </c>
      <c r="V52" s="300" t="s">
        <v>761</v>
      </c>
    </row>
    <row r="53" spans="2:22" s="300" customFormat="1" x14ac:dyDescent="0.25">
      <c r="B53" s="301" t="s">
        <v>25</v>
      </c>
      <c r="C53" s="302"/>
      <c r="D53" s="86" t="str">
        <f>INDEX(Cad_Natureza!$B$3:$C$52,MATCH('2026'!F53,Cad_Natureza!$C$3:$C$52,0),MATCH('2026'!D$2,Cad_Natureza!$B$3:$C$3,0))</f>
        <v>OPF1</v>
      </c>
      <c r="E53" s="84" t="s">
        <v>1242</v>
      </c>
      <c r="F53" s="85" t="s">
        <v>744</v>
      </c>
      <c r="G53" s="86" t="s">
        <v>25</v>
      </c>
      <c r="H53" s="87">
        <v>46036</v>
      </c>
      <c r="I53" s="87"/>
      <c r="J53" s="79" t="s">
        <v>182</v>
      </c>
      <c r="K53" s="62">
        <v>-23.5</v>
      </c>
      <c r="L53" s="62">
        <f t="shared" si="7"/>
        <v>1544.1400000000003</v>
      </c>
      <c r="M53" s="302"/>
      <c r="N53" s="44" t="str">
        <f t="shared" si="8"/>
        <v>MCSOPF1CPF - Desp. Alimentação / Refeição</v>
      </c>
      <c r="O53" s="44" t="str">
        <f t="shared" si="9"/>
        <v>OPF1CPF - Desp. Alimentação / Refeição</v>
      </c>
      <c r="P53" s="44" t="str">
        <f t="shared" si="10"/>
        <v>MCSOPF1CPF - Desp. Alimentação / Refeição</v>
      </c>
      <c r="Q53" s="44" t="str">
        <f t="shared" si="11"/>
        <v>MCSOPF1</v>
      </c>
      <c r="R53" s="44" t="str">
        <f t="shared" si="12"/>
        <v>MCSOPF1</v>
      </c>
      <c r="S53" s="38"/>
      <c r="T53" s="304">
        <f t="shared" si="13"/>
        <v>46023</v>
      </c>
      <c r="U53" s="304" t="str">
        <f t="shared" si="14"/>
        <v/>
      </c>
      <c r="V53" s="300" t="s">
        <v>761</v>
      </c>
    </row>
    <row r="54" spans="2:22" s="300" customFormat="1" x14ac:dyDescent="0.25">
      <c r="B54" s="301" t="s">
        <v>25</v>
      </c>
      <c r="C54" s="302"/>
      <c r="D54" s="86" t="str">
        <f>INDEX(Cad_Natureza!$B$3:$C$52,MATCH('2026'!F54,Cad_Natureza!$C$3:$C$52,0),MATCH('2026'!D$2,Cad_Natureza!$B$3:$C$3,0))</f>
        <v>GAST1</v>
      </c>
      <c r="E54" s="84" t="s">
        <v>1243</v>
      </c>
      <c r="F54" s="85" t="s">
        <v>742</v>
      </c>
      <c r="G54" s="86" t="s">
        <v>25</v>
      </c>
      <c r="H54" s="87">
        <v>46036</v>
      </c>
      <c r="I54" s="87"/>
      <c r="J54" s="79" t="s">
        <v>1345</v>
      </c>
      <c r="K54" s="62">
        <v>-31</v>
      </c>
      <c r="L54" s="62">
        <f t="shared" si="7"/>
        <v>1513.1400000000003</v>
      </c>
      <c r="M54" s="302"/>
      <c r="N54" s="44" t="str">
        <f t="shared" si="8"/>
        <v>MCSGAST1CPF - Desp. Lazer e Entretenimento - Bares</v>
      </c>
      <c r="O54" s="44" t="str">
        <f t="shared" si="9"/>
        <v>GAST1CPF - Desp. Lazer e Entretenimento - Bares</v>
      </c>
      <c r="P54" s="44" t="str">
        <f t="shared" si="10"/>
        <v>MCSGAST1CPF - Desp. Lazer e Entretenimento - Bares</v>
      </c>
      <c r="Q54" s="44" t="str">
        <f t="shared" si="11"/>
        <v>MCSGAST1</v>
      </c>
      <c r="R54" s="44" t="str">
        <f t="shared" si="12"/>
        <v>MCSGAST1</v>
      </c>
      <c r="S54" s="38"/>
      <c r="T54" s="304">
        <f t="shared" si="13"/>
        <v>46023</v>
      </c>
      <c r="U54" s="304" t="str">
        <f t="shared" si="14"/>
        <v/>
      </c>
      <c r="V54" s="300" t="s">
        <v>761</v>
      </c>
    </row>
    <row r="55" spans="2:22" s="300" customFormat="1" x14ac:dyDescent="0.25">
      <c r="B55" s="301" t="s">
        <v>25</v>
      </c>
      <c r="C55" s="302"/>
      <c r="D55" s="86" t="str">
        <f>INDEX(Cad_Natureza!$B$3:$C$52,MATCH('2026'!F55,Cad_Natureza!$C$3:$C$52,0),MATCH('2026'!D$2,Cad_Natureza!$B$3:$C$3,0))</f>
        <v>OPF2</v>
      </c>
      <c r="E55" s="84" t="s">
        <v>1244</v>
      </c>
      <c r="F55" s="85" t="s">
        <v>741</v>
      </c>
      <c r="G55" s="86" t="s">
        <v>25</v>
      </c>
      <c r="H55" s="87">
        <v>46037</v>
      </c>
      <c r="I55" s="87"/>
      <c r="J55" s="79" t="s">
        <v>184</v>
      </c>
      <c r="K55" s="62">
        <v>-50</v>
      </c>
      <c r="L55" s="62">
        <f t="shared" si="7"/>
        <v>1463.1400000000003</v>
      </c>
      <c r="M55" s="302"/>
      <c r="N55" s="44" t="str">
        <f t="shared" si="8"/>
        <v>MCSOPF2CPF - Desp. Transporte / Combustível</v>
      </c>
      <c r="O55" s="44" t="str">
        <f t="shared" si="9"/>
        <v>OPF2CPF - Desp. Transporte / Combustível</v>
      </c>
      <c r="P55" s="44" t="str">
        <f t="shared" si="10"/>
        <v>MCSOPF2CPF - Desp. Transporte / Combustível</v>
      </c>
      <c r="Q55" s="44" t="str">
        <f t="shared" si="11"/>
        <v>MCSOPF2</v>
      </c>
      <c r="R55" s="44" t="str">
        <f t="shared" si="12"/>
        <v>MCSOPF2</v>
      </c>
      <c r="S55" s="38"/>
      <c r="T55" s="304">
        <f t="shared" si="13"/>
        <v>46023</v>
      </c>
      <c r="U55" s="304" t="str">
        <f t="shared" si="14"/>
        <v/>
      </c>
      <c r="V55" s="300" t="s">
        <v>761</v>
      </c>
    </row>
    <row r="56" spans="2:22" s="300" customFormat="1" x14ac:dyDescent="0.25">
      <c r="B56" s="301" t="s">
        <v>25</v>
      </c>
      <c r="C56" s="302"/>
      <c r="D56" s="86" t="str">
        <f>INDEX(Cad_Natureza!$B$3:$C$52,MATCH('2026'!F56,Cad_Natureza!$C$3:$C$52,0),MATCH('2026'!D$2,Cad_Natureza!$B$3:$C$3,0))</f>
        <v>OPF1</v>
      </c>
      <c r="E56" s="84" t="s">
        <v>1245</v>
      </c>
      <c r="F56" s="85" t="s">
        <v>744</v>
      </c>
      <c r="G56" s="86" t="s">
        <v>25</v>
      </c>
      <c r="H56" s="87">
        <v>46037</v>
      </c>
      <c r="I56" s="87"/>
      <c r="J56" s="79" t="s">
        <v>182</v>
      </c>
      <c r="K56" s="62">
        <v>-23</v>
      </c>
      <c r="L56" s="62">
        <f t="shared" si="7"/>
        <v>1440.1400000000003</v>
      </c>
      <c r="M56" s="302"/>
      <c r="N56" s="44" t="str">
        <f t="shared" si="8"/>
        <v>MCSOPF1CPF - Desp. Alimentação / Refeição</v>
      </c>
      <c r="O56" s="44" t="str">
        <f t="shared" si="9"/>
        <v>OPF1CPF - Desp. Alimentação / Refeição</v>
      </c>
      <c r="P56" s="44" t="str">
        <f t="shared" si="10"/>
        <v>MCSOPF1CPF - Desp. Alimentação / Refeição</v>
      </c>
      <c r="Q56" s="44" t="str">
        <f t="shared" si="11"/>
        <v>MCSOPF1</v>
      </c>
      <c r="R56" s="44" t="str">
        <f t="shared" si="12"/>
        <v>MCSOPF1</v>
      </c>
      <c r="S56" s="38"/>
      <c r="T56" s="304">
        <f t="shared" si="13"/>
        <v>46023</v>
      </c>
      <c r="U56" s="304" t="str">
        <f t="shared" si="14"/>
        <v/>
      </c>
      <c r="V56" s="300" t="s">
        <v>761</v>
      </c>
    </row>
    <row r="57" spans="2:22" s="300" customFormat="1" x14ac:dyDescent="0.25">
      <c r="B57" s="301" t="s">
        <v>25</v>
      </c>
      <c r="C57" s="302"/>
      <c r="D57" s="86" t="str">
        <f>INDEX(Cad_Natureza!$B$3:$C$52,MATCH('2026'!F57,Cad_Natureza!$C$3:$C$52,0),MATCH('2026'!D$2,Cad_Natureza!$B$3:$C$3,0))</f>
        <v>OPF1</v>
      </c>
      <c r="E57" s="84" t="s">
        <v>1246</v>
      </c>
      <c r="F57" s="85" t="s">
        <v>744</v>
      </c>
      <c r="G57" s="86" t="s">
        <v>25</v>
      </c>
      <c r="H57" s="87">
        <v>46038</v>
      </c>
      <c r="I57" s="87"/>
      <c r="J57" s="79" t="s">
        <v>182</v>
      </c>
      <c r="K57" s="62">
        <v>-24</v>
      </c>
      <c r="L57" s="62">
        <f t="shared" si="7"/>
        <v>1416.1400000000003</v>
      </c>
      <c r="M57" s="302"/>
      <c r="N57" s="44" t="str">
        <f t="shared" si="8"/>
        <v>MCSOPF1CPF - Desp. Alimentação / Refeição</v>
      </c>
      <c r="O57" s="44" t="str">
        <f t="shared" si="9"/>
        <v>OPF1CPF - Desp. Alimentação / Refeição</v>
      </c>
      <c r="P57" s="44" t="str">
        <f t="shared" si="10"/>
        <v>MCSOPF1CPF - Desp. Alimentação / Refeição</v>
      </c>
      <c r="Q57" s="44" t="str">
        <f t="shared" si="11"/>
        <v>MCSOPF1</v>
      </c>
      <c r="R57" s="44" t="str">
        <f t="shared" si="12"/>
        <v>MCSOPF1</v>
      </c>
      <c r="S57" s="38"/>
      <c r="T57" s="304">
        <f t="shared" si="13"/>
        <v>46023</v>
      </c>
      <c r="U57" s="304" t="str">
        <f t="shared" si="14"/>
        <v/>
      </c>
      <c r="V57" s="300" t="s">
        <v>731</v>
      </c>
    </row>
    <row r="58" spans="2:22" s="300" customFormat="1" x14ac:dyDescent="0.25">
      <c r="B58" s="301" t="s">
        <v>25</v>
      </c>
      <c r="C58" s="302"/>
      <c r="D58" s="86" t="str">
        <f>INDEX(Cad_Natureza!$B$3:$C$52,MATCH('2026'!F58,Cad_Natureza!$C$3:$C$52,0),MATCH('2026'!D$2,Cad_Natureza!$B$3:$C$3,0))</f>
        <v>PENS6</v>
      </c>
      <c r="E58" s="84" t="s">
        <v>1247</v>
      </c>
      <c r="F58" s="85" t="s">
        <v>37</v>
      </c>
      <c r="G58" s="86" t="s">
        <v>25</v>
      </c>
      <c r="H58" s="87">
        <v>46038</v>
      </c>
      <c r="I58" s="87"/>
      <c r="J58" s="78" t="s">
        <v>1344</v>
      </c>
      <c r="K58" s="62">
        <v>-30</v>
      </c>
      <c r="L58" s="62">
        <f t="shared" si="7"/>
        <v>1386.1400000000003</v>
      </c>
      <c r="M58" s="302"/>
      <c r="N58" s="44" t="str">
        <f t="shared" si="8"/>
        <v>MCSPENS6CPF - Pensão - Farmácia e Saúde</v>
      </c>
      <c r="O58" s="44" t="str">
        <f t="shared" si="9"/>
        <v>PENS6CPF - Pensão - Farmácia e Saúde</v>
      </c>
      <c r="P58" s="44" t="str">
        <f t="shared" si="10"/>
        <v>MCSPENS6CPF - Pensão - Farmácia e Saúde</v>
      </c>
      <c r="Q58" s="44" t="str">
        <f t="shared" si="11"/>
        <v>MCSPENS6</v>
      </c>
      <c r="R58" s="44" t="str">
        <f t="shared" si="12"/>
        <v>MCSPENS6</v>
      </c>
      <c r="S58" s="38"/>
      <c r="T58" s="304">
        <f t="shared" si="13"/>
        <v>46023</v>
      </c>
      <c r="U58" s="304" t="str">
        <f t="shared" si="14"/>
        <v/>
      </c>
      <c r="V58" s="300" t="s">
        <v>731</v>
      </c>
    </row>
    <row r="59" spans="2:22" s="300" customFormat="1" x14ac:dyDescent="0.25">
      <c r="B59" s="301" t="s">
        <v>25</v>
      </c>
      <c r="C59" s="302"/>
      <c r="D59" s="86" t="str">
        <f>INDEX(Cad_Natureza!$B$3:$C$52,MATCH('2026'!F59,Cad_Natureza!$C$3:$C$52,0),MATCH('2026'!D$2,Cad_Natureza!$B$3:$C$3,0))</f>
        <v>GAST2</v>
      </c>
      <c r="E59" s="84" t="s">
        <v>1248</v>
      </c>
      <c r="F59" s="85" t="s">
        <v>743</v>
      </c>
      <c r="G59" s="86" t="s">
        <v>25</v>
      </c>
      <c r="H59" s="87">
        <v>46041</v>
      </c>
      <c r="I59" s="87"/>
      <c r="J59" s="79" t="s">
        <v>180</v>
      </c>
      <c r="K59" s="62">
        <v>-34</v>
      </c>
      <c r="L59" s="62">
        <f t="shared" si="7"/>
        <v>1352.1400000000003</v>
      </c>
      <c r="M59" s="302"/>
      <c r="N59" s="44" t="str">
        <f t="shared" si="8"/>
        <v>MCSGAST2CPF - Desp. Lazer e Entretenimento - Cigarro</v>
      </c>
      <c r="O59" s="44" t="str">
        <f t="shared" si="9"/>
        <v>GAST2CPF - Desp. Lazer e Entretenimento - Cigarro</v>
      </c>
      <c r="P59" s="44" t="str">
        <f t="shared" si="10"/>
        <v>MCSGAST2CPF - Desp. Lazer e Entretenimento - Cigarro</v>
      </c>
      <c r="Q59" s="44" t="str">
        <f t="shared" si="11"/>
        <v>MCSGAST2</v>
      </c>
      <c r="R59" s="44" t="str">
        <f t="shared" si="12"/>
        <v>MCSGAST2</v>
      </c>
      <c r="S59" s="38"/>
      <c r="T59" s="304">
        <f t="shared" si="13"/>
        <v>46023</v>
      </c>
      <c r="U59" s="304" t="str">
        <f t="shared" si="14"/>
        <v/>
      </c>
      <c r="V59" s="300" t="s">
        <v>761</v>
      </c>
    </row>
    <row r="60" spans="2:22" s="300" customFormat="1" x14ac:dyDescent="0.25">
      <c r="B60" s="301" t="s">
        <v>25</v>
      </c>
      <c r="C60" s="302"/>
      <c r="D60" s="86" t="str">
        <f>INDEX(Cad_Natureza!$B$3:$C$52,MATCH('2026'!F60,Cad_Natureza!$C$3:$C$52,0),MATCH('2026'!D$2,Cad_Natureza!$B$3:$C$3,0))</f>
        <v>GAST1</v>
      </c>
      <c r="E60" s="84" t="s">
        <v>1249</v>
      </c>
      <c r="F60" s="85" t="s">
        <v>742</v>
      </c>
      <c r="G60" s="86" t="s">
        <v>25</v>
      </c>
      <c r="H60" s="87">
        <v>46041</v>
      </c>
      <c r="I60" s="87"/>
      <c r="J60" s="79" t="s">
        <v>185</v>
      </c>
      <c r="K60" s="62">
        <v>-15</v>
      </c>
      <c r="L60" s="62">
        <f t="shared" si="7"/>
        <v>1337.1400000000003</v>
      </c>
      <c r="M60" s="302"/>
      <c r="N60" s="44" t="str">
        <f t="shared" si="8"/>
        <v>MCSGAST1CPF - Desp. Lazer e Entretenimento - Bares</v>
      </c>
      <c r="O60" s="44" t="str">
        <f t="shared" si="9"/>
        <v>GAST1CPF - Desp. Lazer e Entretenimento - Bares</v>
      </c>
      <c r="P60" s="44" t="str">
        <f t="shared" si="10"/>
        <v>MCSGAST1CPF - Desp. Lazer e Entretenimento - Bares</v>
      </c>
      <c r="Q60" s="44" t="str">
        <f t="shared" si="11"/>
        <v>MCSGAST1</v>
      </c>
      <c r="R60" s="44" t="str">
        <f t="shared" si="12"/>
        <v>MCSGAST1</v>
      </c>
      <c r="S60" s="38"/>
      <c r="T60" s="304">
        <f t="shared" si="13"/>
        <v>46023</v>
      </c>
      <c r="U60" s="304" t="str">
        <f t="shared" si="14"/>
        <v/>
      </c>
      <c r="V60" s="300" t="s">
        <v>761</v>
      </c>
    </row>
    <row r="61" spans="2:22" s="300" customFormat="1" x14ac:dyDescent="0.25">
      <c r="B61" s="301" t="s">
        <v>25</v>
      </c>
      <c r="C61" s="302"/>
      <c r="D61" s="86" t="str">
        <f>INDEX(Cad_Natureza!$B$3:$C$52,MATCH('2026'!F61,Cad_Natureza!$C$3:$C$52,0),MATCH('2026'!D$2,Cad_Natureza!$B$3:$C$3,0))</f>
        <v>GAST1</v>
      </c>
      <c r="E61" s="84" t="s">
        <v>1249</v>
      </c>
      <c r="F61" s="85" t="s">
        <v>742</v>
      </c>
      <c r="G61" s="86" t="s">
        <v>25</v>
      </c>
      <c r="H61" s="87">
        <v>46041</v>
      </c>
      <c r="I61" s="87"/>
      <c r="J61" s="79" t="s">
        <v>185</v>
      </c>
      <c r="K61" s="62">
        <v>-10</v>
      </c>
      <c r="L61" s="62">
        <f t="shared" si="7"/>
        <v>1327.1400000000003</v>
      </c>
      <c r="M61" s="302"/>
      <c r="N61" s="44" t="str">
        <f t="shared" si="8"/>
        <v>MCSGAST1CPF - Desp. Lazer e Entretenimento - Bares</v>
      </c>
      <c r="O61" s="44" t="str">
        <f t="shared" si="9"/>
        <v>GAST1CPF - Desp. Lazer e Entretenimento - Bares</v>
      </c>
      <c r="P61" s="44" t="str">
        <f t="shared" si="10"/>
        <v>MCSGAST1CPF - Desp. Lazer e Entretenimento - Bares</v>
      </c>
      <c r="Q61" s="44" t="str">
        <f t="shared" si="11"/>
        <v>MCSGAST1</v>
      </c>
      <c r="R61" s="44" t="str">
        <f t="shared" si="12"/>
        <v>MCSGAST1</v>
      </c>
      <c r="S61" s="38"/>
      <c r="T61" s="304">
        <f t="shared" si="13"/>
        <v>46023</v>
      </c>
      <c r="U61" s="304" t="str">
        <f t="shared" si="14"/>
        <v/>
      </c>
      <c r="V61" s="300" t="s">
        <v>761</v>
      </c>
    </row>
    <row r="62" spans="2:22" s="300" customFormat="1" x14ac:dyDescent="0.25">
      <c r="B62" s="301" t="s">
        <v>25</v>
      </c>
      <c r="C62" s="302"/>
      <c r="D62" s="86" t="str">
        <f>INDEX(Cad_Natureza!$B$3:$C$52,MATCH('2026'!F62,Cad_Natureza!$C$3:$C$52,0),MATCH('2026'!D$2,Cad_Natureza!$B$3:$C$3,0))</f>
        <v>GAST1</v>
      </c>
      <c r="E62" s="84" t="s">
        <v>1249</v>
      </c>
      <c r="F62" s="85" t="s">
        <v>742</v>
      </c>
      <c r="G62" s="86" t="s">
        <v>25</v>
      </c>
      <c r="H62" s="87">
        <v>46041</v>
      </c>
      <c r="I62" s="87"/>
      <c r="J62" s="79" t="s">
        <v>185</v>
      </c>
      <c r="K62" s="62">
        <v>-10</v>
      </c>
      <c r="L62" s="62">
        <f t="shared" si="7"/>
        <v>1317.1400000000003</v>
      </c>
      <c r="M62" s="302"/>
      <c r="N62" s="44" t="str">
        <f t="shared" si="8"/>
        <v>MCSGAST1CPF - Desp. Lazer e Entretenimento - Bares</v>
      </c>
      <c r="O62" s="44" t="str">
        <f t="shared" si="9"/>
        <v>GAST1CPF - Desp. Lazer e Entretenimento - Bares</v>
      </c>
      <c r="P62" s="44" t="str">
        <f t="shared" si="10"/>
        <v>MCSGAST1CPF - Desp. Lazer e Entretenimento - Bares</v>
      </c>
      <c r="Q62" s="44" t="str">
        <f t="shared" si="11"/>
        <v>MCSGAST1</v>
      </c>
      <c r="R62" s="44" t="str">
        <f t="shared" si="12"/>
        <v>MCSGAST1</v>
      </c>
      <c r="S62" s="38"/>
      <c r="T62" s="304">
        <f t="shared" si="13"/>
        <v>46023</v>
      </c>
      <c r="U62" s="304" t="str">
        <f t="shared" si="14"/>
        <v/>
      </c>
      <c r="V62" s="300" t="s">
        <v>761</v>
      </c>
    </row>
    <row r="63" spans="2:22" s="300" customFormat="1" x14ac:dyDescent="0.25">
      <c r="B63" s="301" t="s">
        <v>25</v>
      </c>
      <c r="C63" s="302"/>
      <c r="D63" s="86" t="str">
        <f>INDEX(Cad_Natureza!$B$3:$C$52,MATCH('2026'!F63,Cad_Natureza!$C$3:$C$52,0),MATCH('2026'!D$2,Cad_Natureza!$B$3:$C$3,0))</f>
        <v>GAST1</v>
      </c>
      <c r="E63" s="84" t="s">
        <v>1250</v>
      </c>
      <c r="F63" s="85" t="s">
        <v>742</v>
      </c>
      <c r="G63" s="86" t="s">
        <v>25</v>
      </c>
      <c r="H63" s="87">
        <v>46041</v>
      </c>
      <c r="I63" s="87"/>
      <c r="J63" s="79" t="s">
        <v>185</v>
      </c>
      <c r="K63" s="62">
        <v>-10</v>
      </c>
      <c r="L63" s="62">
        <f t="shared" si="7"/>
        <v>1307.1400000000003</v>
      </c>
      <c r="M63" s="302"/>
      <c r="N63" s="44" t="str">
        <f t="shared" si="8"/>
        <v>MCSGAST1CPF - Desp. Lazer e Entretenimento - Bares</v>
      </c>
      <c r="O63" s="44" t="str">
        <f t="shared" si="9"/>
        <v>GAST1CPF - Desp. Lazer e Entretenimento - Bares</v>
      </c>
      <c r="P63" s="44" t="str">
        <f t="shared" si="10"/>
        <v>MCSGAST1CPF - Desp. Lazer e Entretenimento - Bares</v>
      </c>
      <c r="Q63" s="44" t="str">
        <f t="shared" si="11"/>
        <v>MCSGAST1</v>
      </c>
      <c r="R63" s="44" t="str">
        <f t="shared" si="12"/>
        <v>MCSGAST1</v>
      </c>
      <c r="S63" s="38"/>
      <c r="T63" s="304">
        <f t="shared" si="13"/>
        <v>46023</v>
      </c>
      <c r="U63" s="304" t="str">
        <f t="shared" si="14"/>
        <v/>
      </c>
      <c r="V63" s="300" t="s">
        <v>761</v>
      </c>
    </row>
    <row r="64" spans="2:22" s="300" customFormat="1" x14ac:dyDescent="0.25">
      <c r="B64" s="301" t="s">
        <v>25</v>
      </c>
      <c r="C64" s="302"/>
      <c r="D64" s="86" t="str">
        <f>INDEX(Cad_Natureza!$B$3:$C$52,MATCH('2026'!F64,Cad_Natureza!$C$3:$C$52,0),MATCH('2026'!D$2,Cad_Natureza!$B$3:$C$3,0))</f>
        <v>GAST1</v>
      </c>
      <c r="E64" s="84" t="s">
        <v>1251</v>
      </c>
      <c r="F64" s="85" t="s">
        <v>742</v>
      </c>
      <c r="G64" s="86" t="s">
        <v>25</v>
      </c>
      <c r="H64" s="87">
        <v>46041</v>
      </c>
      <c r="I64" s="87"/>
      <c r="J64" s="79" t="s">
        <v>185</v>
      </c>
      <c r="K64" s="62">
        <v>-30</v>
      </c>
      <c r="L64" s="62">
        <f t="shared" si="7"/>
        <v>1277.1400000000003</v>
      </c>
      <c r="M64" s="302"/>
      <c r="N64" s="44" t="str">
        <f t="shared" si="8"/>
        <v>MCSGAST1CPF - Desp. Lazer e Entretenimento - Bares</v>
      </c>
      <c r="O64" s="44" t="str">
        <f t="shared" si="9"/>
        <v>GAST1CPF - Desp. Lazer e Entretenimento - Bares</v>
      </c>
      <c r="P64" s="44" t="str">
        <f t="shared" si="10"/>
        <v>MCSGAST1CPF - Desp. Lazer e Entretenimento - Bares</v>
      </c>
      <c r="Q64" s="44" t="str">
        <f t="shared" si="11"/>
        <v>MCSGAST1</v>
      </c>
      <c r="R64" s="44" t="str">
        <f t="shared" si="12"/>
        <v>MCSGAST1</v>
      </c>
      <c r="S64" s="38"/>
      <c r="T64" s="304">
        <f t="shared" si="13"/>
        <v>46023</v>
      </c>
      <c r="U64" s="304" t="str">
        <f t="shared" si="14"/>
        <v/>
      </c>
      <c r="V64" s="300" t="s">
        <v>761</v>
      </c>
    </row>
    <row r="65" spans="2:22" s="300" customFormat="1" x14ac:dyDescent="0.25">
      <c r="B65" s="301" t="s">
        <v>25</v>
      </c>
      <c r="C65" s="302"/>
      <c r="D65" s="86" t="str">
        <f>INDEX(Cad_Natureza!$B$3:$C$52,MATCH('2026'!F65,Cad_Natureza!$C$3:$C$52,0),MATCH('2026'!D$2,Cad_Natureza!$B$3:$C$3,0))</f>
        <v>OPF2</v>
      </c>
      <c r="E65" s="84" t="s">
        <v>1252</v>
      </c>
      <c r="F65" s="85" t="s">
        <v>741</v>
      </c>
      <c r="G65" s="86" t="s">
        <v>25</v>
      </c>
      <c r="H65" s="87">
        <v>46041</v>
      </c>
      <c r="I65" s="87"/>
      <c r="J65" s="79" t="s">
        <v>184</v>
      </c>
      <c r="K65" s="62">
        <v>-50</v>
      </c>
      <c r="L65" s="62">
        <f t="shared" si="7"/>
        <v>1227.1400000000003</v>
      </c>
      <c r="M65" s="302"/>
      <c r="N65" s="44" t="str">
        <f t="shared" si="8"/>
        <v>MCSOPF2CPF - Desp. Transporte / Combustível</v>
      </c>
      <c r="O65" s="44" t="str">
        <f t="shared" si="9"/>
        <v>OPF2CPF - Desp. Transporte / Combustível</v>
      </c>
      <c r="P65" s="44" t="str">
        <f t="shared" si="10"/>
        <v>MCSOPF2CPF - Desp. Transporte / Combustível</v>
      </c>
      <c r="Q65" s="44" t="str">
        <f t="shared" si="11"/>
        <v>MCSOPF2</v>
      </c>
      <c r="R65" s="44" t="str">
        <f t="shared" si="12"/>
        <v>MCSOPF2</v>
      </c>
      <c r="S65" s="38"/>
      <c r="T65" s="304">
        <f t="shared" si="13"/>
        <v>46023</v>
      </c>
      <c r="U65" s="304" t="str">
        <f t="shared" si="14"/>
        <v/>
      </c>
      <c r="V65" s="300" t="s">
        <v>731</v>
      </c>
    </row>
    <row r="66" spans="2:22" s="300" customFormat="1" x14ac:dyDescent="0.25">
      <c r="B66" s="301" t="s">
        <v>25</v>
      </c>
      <c r="C66" s="302"/>
      <c r="D66" s="86" t="str">
        <f>INDEX(Cad_Natureza!$B$3:$C$52,MATCH('2026'!F66,Cad_Natureza!$C$3:$C$52,0),MATCH('2026'!D$2,Cad_Natureza!$B$3:$C$3,0))</f>
        <v>PENS6</v>
      </c>
      <c r="E66" s="84" t="s">
        <v>1253</v>
      </c>
      <c r="F66" s="85" t="s">
        <v>37</v>
      </c>
      <c r="G66" s="86" t="s">
        <v>25</v>
      </c>
      <c r="H66" s="87">
        <v>46041</v>
      </c>
      <c r="I66" s="87"/>
      <c r="J66" s="78" t="s">
        <v>568</v>
      </c>
      <c r="K66" s="62">
        <v>-35.99</v>
      </c>
      <c r="L66" s="62">
        <f t="shared" si="7"/>
        <v>1191.1500000000003</v>
      </c>
      <c r="M66" s="302"/>
      <c r="N66" s="44" t="str">
        <f t="shared" si="8"/>
        <v>MCSPENS6CPF - Pensão - Farmácia e Saúde</v>
      </c>
      <c r="O66" s="44" t="str">
        <f t="shared" si="9"/>
        <v>PENS6CPF - Pensão - Farmácia e Saúde</v>
      </c>
      <c r="P66" s="44" t="str">
        <f t="shared" si="10"/>
        <v>MCSPENS6CPF - Pensão - Farmácia e Saúde</v>
      </c>
      <c r="Q66" s="44" t="str">
        <f t="shared" si="11"/>
        <v>MCSPENS6</v>
      </c>
      <c r="R66" s="44" t="str">
        <f t="shared" si="12"/>
        <v>MCSPENS6</v>
      </c>
      <c r="S66" s="38"/>
      <c r="T66" s="304">
        <f t="shared" si="13"/>
        <v>46023</v>
      </c>
      <c r="U66" s="304" t="str">
        <f t="shared" si="14"/>
        <v/>
      </c>
      <c r="V66" s="300" t="s">
        <v>731</v>
      </c>
    </row>
    <row r="67" spans="2:22" s="300" customFormat="1" x14ac:dyDescent="0.25">
      <c r="B67" s="301" t="s">
        <v>25</v>
      </c>
      <c r="C67" s="302"/>
      <c r="D67" s="86" t="str">
        <f>INDEX(Cad_Natureza!$B$3:$C$52,MATCH('2026'!F67,Cad_Natureza!$C$3:$C$52,0),MATCH('2026'!D$2,Cad_Natureza!$B$3:$C$3,0))</f>
        <v>GAST1</v>
      </c>
      <c r="E67" s="84" t="s">
        <v>1254</v>
      </c>
      <c r="F67" s="85" t="s">
        <v>742</v>
      </c>
      <c r="G67" s="86" t="s">
        <v>25</v>
      </c>
      <c r="H67" s="87">
        <v>46041</v>
      </c>
      <c r="I67" s="87"/>
      <c r="J67" s="79" t="s">
        <v>1340</v>
      </c>
      <c r="K67" s="62">
        <v>-2</v>
      </c>
      <c r="L67" s="62">
        <f t="shared" si="7"/>
        <v>1189.1500000000003</v>
      </c>
      <c r="M67" s="302"/>
      <c r="N67" s="44" t="str">
        <f t="shared" si="8"/>
        <v>MCSGAST1CPF - Desp. Lazer e Entretenimento - Bares</v>
      </c>
      <c r="O67" s="44" t="str">
        <f t="shared" si="9"/>
        <v>GAST1CPF - Desp. Lazer e Entretenimento - Bares</v>
      </c>
      <c r="P67" s="44" t="str">
        <f t="shared" si="10"/>
        <v>MCSGAST1CPF - Desp. Lazer e Entretenimento - Bares</v>
      </c>
      <c r="Q67" s="44" t="str">
        <f t="shared" si="11"/>
        <v>MCSGAST1</v>
      </c>
      <c r="R67" s="44" t="str">
        <f t="shared" si="12"/>
        <v>MCSGAST1</v>
      </c>
      <c r="S67" s="38"/>
      <c r="T67" s="304">
        <f t="shared" si="13"/>
        <v>46023</v>
      </c>
      <c r="U67" s="304" t="str">
        <f t="shared" si="14"/>
        <v/>
      </c>
      <c r="V67" s="300" t="s">
        <v>761</v>
      </c>
    </row>
    <row r="68" spans="2:22" s="300" customFormat="1" x14ac:dyDescent="0.25">
      <c r="B68" s="301" t="s">
        <v>25</v>
      </c>
      <c r="C68" s="302"/>
      <c r="D68" s="86" t="str">
        <f>INDEX(Cad_Natureza!$B$3:$C$52,MATCH('2026'!F68,Cad_Natureza!$C$3:$C$52,0),MATCH('2026'!D$2,Cad_Natureza!$B$3:$C$3,0))</f>
        <v>GAST1</v>
      </c>
      <c r="E68" s="84" t="s">
        <v>1255</v>
      </c>
      <c r="F68" s="85" t="s">
        <v>742</v>
      </c>
      <c r="G68" s="86" t="s">
        <v>25</v>
      </c>
      <c r="H68" s="87">
        <v>46041</v>
      </c>
      <c r="I68" s="87"/>
      <c r="J68" s="79" t="s">
        <v>185</v>
      </c>
      <c r="K68" s="62">
        <v>-7</v>
      </c>
      <c r="L68" s="62">
        <f t="shared" ref="L68:L131" si="15">L67+K68</f>
        <v>1182.1500000000003</v>
      </c>
      <c r="M68" s="302"/>
      <c r="N68" s="44" t="str">
        <f t="shared" si="8"/>
        <v>MCSGAST1CPF - Desp. Lazer e Entretenimento - Bares</v>
      </c>
      <c r="O68" s="44" t="str">
        <f t="shared" si="9"/>
        <v>GAST1CPF - Desp. Lazer e Entretenimento - Bares</v>
      </c>
      <c r="P68" s="44" t="str">
        <f t="shared" si="10"/>
        <v>MCSGAST1CPF - Desp. Lazer e Entretenimento - Bares</v>
      </c>
      <c r="Q68" s="44" t="str">
        <f t="shared" si="11"/>
        <v>MCSGAST1</v>
      </c>
      <c r="R68" s="44" t="str">
        <f t="shared" si="12"/>
        <v>MCSGAST1</v>
      </c>
      <c r="S68" s="38"/>
      <c r="T68" s="304">
        <f t="shared" si="13"/>
        <v>46023</v>
      </c>
      <c r="U68" s="304" t="str">
        <f t="shared" si="14"/>
        <v/>
      </c>
      <c r="V68" s="300" t="s">
        <v>761</v>
      </c>
    </row>
    <row r="69" spans="2:22" s="300" customFormat="1" x14ac:dyDescent="0.25">
      <c r="B69" s="301" t="s">
        <v>25</v>
      </c>
      <c r="C69" s="302"/>
      <c r="D69" s="86" t="str">
        <f>INDEX(Cad_Natureza!$B$3:$C$52,MATCH('2026'!F69,Cad_Natureza!$C$3:$C$52,0),MATCH('2026'!D$2,Cad_Natureza!$B$3:$C$3,0))</f>
        <v>OPF2</v>
      </c>
      <c r="E69" s="84" t="s">
        <v>1256</v>
      </c>
      <c r="F69" s="85" t="s">
        <v>741</v>
      </c>
      <c r="G69" s="86" t="s">
        <v>25</v>
      </c>
      <c r="H69" s="87">
        <v>46041</v>
      </c>
      <c r="I69" s="87"/>
      <c r="J69" s="79" t="s">
        <v>184</v>
      </c>
      <c r="K69" s="62">
        <v>-50</v>
      </c>
      <c r="L69" s="62">
        <f t="shared" si="15"/>
        <v>1132.1500000000003</v>
      </c>
      <c r="M69" s="302"/>
      <c r="N69" s="44" t="str">
        <f t="shared" si="8"/>
        <v>MCSOPF2CPF - Desp. Transporte / Combustível</v>
      </c>
      <c r="O69" s="44" t="str">
        <f t="shared" si="9"/>
        <v>OPF2CPF - Desp. Transporte / Combustível</v>
      </c>
      <c r="P69" s="44" t="str">
        <f t="shared" si="10"/>
        <v>MCSOPF2CPF - Desp. Transporte / Combustível</v>
      </c>
      <c r="Q69" s="44" t="str">
        <f t="shared" si="11"/>
        <v>MCSOPF2</v>
      </c>
      <c r="R69" s="44" t="str">
        <f t="shared" si="12"/>
        <v>MCSOPF2</v>
      </c>
      <c r="S69" s="38"/>
      <c r="T69" s="304">
        <f t="shared" si="13"/>
        <v>46023</v>
      </c>
      <c r="U69" s="304" t="str">
        <f t="shared" si="14"/>
        <v/>
      </c>
      <c r="V69" s="300" t="s">
        <v>761</v>
      </c>
    </row>
    <row r="70" spans="2:22" s="300" customFormat="1" x14ac:dyDescent="0.25">
      <c r="B70" s="301" t="s">
        <v>25</v>
      </c>
      <c r="C70" s="302"/>
      <c r="D70" s="86" t="str">
        <f>INDEX(Cad_Natureza!$B$3:$C$52,MATCH('2026'!F70,Cad_Natureza!$C$3:$C$52,0),MATCH('2026'!D$2,Cad_Natureza!$B$3:$C$3,0))</f>
        <v>OPF1</v>
      </c>
      <c r="E70" s="84" t="s">
        <v>1257</v>
      </c>
      <c r="F70" s="85" t="s">
        <v>744</v>
      </c>
      <c r="G70" s="86" t="s">
        <v>25</v>
      </c>
      <c r="H70" s="87">
        <v>46041</v>
      </c>
      <c r="I70" s="87"/>
      <c r="J70" s="79" t="s">
        <v>182</v>
      </c>
      <c r="K70" s="62">
        <v>-23.5</v>
      </c>
      <c r="L70" s="62">
        <f t="shared" si="15"/>
        <v>1108.6500000000003</v>
      </c>
      <c r="M70" s="302"/>
      <c r="N70" s="44" t="str">
        <f t="shared" si="8"/>
        <v>MCSOPF1CPF - Desp. Alimentação / Refeição</v>
      </c>
      <c r="O70" s="44" t="str">
        <f t="shared" si="9"/>
        <v>OPF1CPF - Desp. Alimentação / Refeição</v>
      </c>
      <c r="P70" s="44" t="str">
        <f t="shared" si="10"/>
        <v>MCSOPF1CPF - Desp. Alimentação / Refeição</v>
      </c>
      <c r="Q70" s="44" t="str">
        <f t="shared" si="11"/>
        <v>MCSOPF1</v>
      </c>
      <c r="R70" s="44" t="str">
        <f t="shared" si="12"/>
        <v>MCSOPF1</v>
      </c>
      <c r="S70" s="38"/>
      <c r="T70" s="304">
        <f t="shared" si="13"/>
        <v>46023</v>
      </c>
      <c r="U70" s="304" t="str">
        <f t="shared" si="14"/>
        <v/>
      </c>
      <c r="V70" s="300" t="s">
        <v>761</v>
      </c>
    </row>
    <row r="71" spans="2:22" s="300" customFormat="1" x14ac:dyDescent="0.25">
      <c r="B71" s="301" t="s">
        <v>25</v>
      </c>
      <c r="C71" s="302"/>
      <c r="D71" s="86" t="str">
        <f>INDEX(Cad_Natureza!$B$3:$C$52,MATCH('2026'!F71,Cad_Natureza!$C$3:$C$52,0),MATCH('2026'!D$2,Cad_Natureza!$B$3:$C$3,0))</f>
        <v>GAST1</v>
      </c>
      <c r="E71" s="84" t="s">
        <v>1258</v>
      </c>
      <c r="F71" s="85" t="s">
        <v>742</v>
      </c>
      <c r="G71" s="86" t="s">
        <v>25</v>
      </c>
      <c r="H71" s="87">
        <v>46041</v>
      </c>
      <c r="I71" s="87"/>
      <c r="J71" s="79" t="s">
        <v>1340</v>
      </c>
      <c r="K71" s="62">
        <v>-12</v>
      </c>
      <c r="L71" s="62">
        <f t="shared" si="15"/>
        <v>1096.6500000000003</v>
      </c>
      <c r="M71" s="302"/>
      <c r="N71" s="44" t="str">
        <f t="shared" si="8"/>
        <v>MCSGAST1CPF - Desp. Lazer e Entretenimento - Bares</v>
      </c>
      <c r="O71" s="44" t="str">
        <f t="shared" si="9"/>
        <v>GAST1CPF - Desp. Lazer e Entretenimento - Bares</v>
      </c>
      <c r="P71" s="44" t="str">
        <f t="shared" si="10"/>
        <v>MCSGAST1CPF - Desp. Lazer e Entretenimento - Bares</v>
      </c>
      <c r="Q71" s="44" t="str">
        <f t="shared" si="11"/>
        <v>MCSGAST1</v>
      </c>
      <c r="R71" s="44" t="str">
        <f t="shared" si="12"/>
        <v>MCSGAST1</v>
      </c>
      <c r="S71" s="38"/>
      <c r="T71" s="304">
        <f t="shared" si="13"/>
        <v>46023</v>
      </c>
      <c r="U71" s="304" t="str">
        <f t="shared" si="14"/>
        <v/>
      </c>
      <c r="V71" s="300" t="s">
        <v>761</v>
      </c>
    </row>
    <row r="72" spans="2:22" s="300" customFormat="1" x14ac:dyDescent="0.25">
      <c r="B72" s="301" t="s">
        <v>25</v>
      </c>
      <c r="C72" s="302"/>
      <c r="D72" s="86" t="str">
        <f>INDEX(Cad_Natureza!$B$3:$C$52,MATCH('2026'!F72,Cad_Natureza!$C$3:$C$52,0),MATCH('2026'!D$2,Cad_Natureza!$B$3:$C$3,0))</f>
        <v>OPF1</v>
      </c>
      <c r="E72" s="84" t="s">
        <v>1259</v>
      </c>
      <c r="F72" s="85" t="s">
        <v>744</v>
      </c>
      <c r="G72" s="86" t="s">
        <v>25</v>
      </c>
      <c r="H72" s="87">
        <v>46042</v>
      </c>
      <c r="I72" s="87"/>
      <c r="J72" s="79" t="s">
        <v>182</v>
      </c>
      <c r="K72" s="62">
        <v>-25</v>
      </c>
      <c r="L72" s="62">
        <f t="shared" si="15"/>
        <v>1071.6500000000003</v>
      </c>
      <c r="M72" s="302"/>
      <c r="N72" s="44" t="str">
        <f t="shared" si="8"/>
        <v>MCSOPF1CPF - Desp. Alimentação / Refeição</v>
      </c>
      <c r="O72" s="44" t="str">
        <f t="shared" si="9"/>
        <v>OPF1CPF - Desp. Alimentação / Refeição</v>
      </c>
      <c r="P72" s="44" t="str">
        <f t="shared" si="10"/>
        <v>MCSOPF1CPF - Desp. Alimentação / Refeição</v>
      </c>
      <c r="Q72" s="44" t="str">
        <f t="shared" si="11"/>
        <v>MCSOPF1</v>
      </c>
      <c r="R72" s="44" t="str">
        <f t="shared" si="12"/>
        <v>MCSOPF1</v>
      </c>
      <c r="S72" s="38"/>
      <c r="T72" s="304">
        <f t="shared" si="13"/>
        <v>46023</v>
      </c>
      <c r="U72" s="304" t="str">
        <f t="shared" si="14"/>
        <v/>
      </c>
      <c r="V72" s="300" t="s">
        <v>761</v>
      </c>
    </row>
    <row r="73" spans="2:22" s="300" customFormat="1" x14ac:dyDescent="0.25">
      <c r="B73" s="301" t="s">
        <v>25</v>
      </c>
      <c r="C73" s="302"/>
      <c r="D73" s="86" t="str">
        <f>INDEX(Cad_Natureza!$B$3:$C$52,MATCH('2026'!F73,Cad_Natureza!$C$3:$C$52,0),MATCH('2026'!D$2,Cad_Natureza!$B$3:$C$3,0))</f>
        <v>GAST1</v>
      </c>
      <c r="E73" s="84" t="s">
        <v>1260</v>
      </c>
      <c r="F73" s="85" t="s">
        <v>742</v>
      </c>
      <c r="G73" s="86" t="s">
        <v>25</v>
      </c>
      <c r="H73" s="87">
        <v>46042</v>
      </c>
      <c r="I73" s="87"/>
      <c r="J73" s="79" t="s">
        <v>1340</v>
      </c>
      <c r="K73" s="62">
        <v>-12</v>
      </c>
      <c r="L73" s="62">
        <f t="shared" si="15"/>
        <v>1059.6500000000003</v>
      </c>
      <c r="M73" s="302"/>
      <c r="N73" s="44" t="str">
        <f t="shared" si="8"/>
        <v>MCSGAST1CPF - Desp. Lazer e Entretenimento - Bares</v>
      </c>
      <c r="O73" s="44" t="str">
        <f t="shared" si="9"/>
        <v>GAST1CPF - Desp. Lazer e Entretenimento - Bares</v>
      </c>
      <c r="P73" s="44" t="str">
        <f t="shared" si="10"/>
        <v>MCSGAST1CPF - Desp. Lazer e Entretenimento - Bares</v>
      </c>
      <c r="Q73" s="44" t="str">
        <f t="shared" si="11"/>
        <v>MCSGAST1</v>
      </c>
      <c r="R73" s="44" t="str">
        <f t="shared" si="12"/>
        <v>MCSGAST1</v>
      </c>
      <c r="S73" s="38"/>
      <c r="T73" s="304">
        <f t="shared" si="13"/>
        <v>46023</v>
      </c>
      <c r="U73" s="304" t="str">
        <f t="shared" si="14"/>
        <v/>
      </c>
      <c r="V73" s="300" t="s">
        <v>731</v>
      </c>
    </row>
    <row r="74" spans="2:22" s="300" customFormat="1" x14ac:dyDescent="0.25">
      <c r="B74" s="301" t="s">
        <v>25</v>
      </c>
      <c r="C74" s="302"/>
      <c r="D74" s="86" t="str">
        <f>INDEX(Cad_Natureza!$B$3:$C$52,MATCH('2026'!F74,Cad_Natureza!$C$3:$C$52,0),MATCH('2026'!D$2,Cad_Natureza!$B$3:$C$3,0))</f>
        <v>GAST1</v>
      </c>
      <c r="E74" s="84" t="s">
        <v>1260</v>
      </c>
      <c r="F74" s="85" t="s">
        <v>742</v>
      </c>
      <c r="G74" s="86" t="s">
        <v>25</v>
      </c>
      <c r="H74" s="87">
        <v>46042</v>
      </c>
      <c r="I74" s="87"/>
      <c r="J74" s="79" t="s">
        <v>1340</v>
      </c>
      <c r="K74" s="62">
        <v>-4</v>
      </c>
      <c r="L74" s="62">
        <f t="shared" si="15"/>
        <v>1055.6500000000003</v>
      </c>
      <c r="M74" s="302"/>
      <c r="N74" s="44" t="str">
        <f t="shared" si="8"/>
        <v>MCSGAST1CPF - Desp. Lazer e Entretenimento - Bares</v>
      </c>
      <c r="O74" s="44" t="str">
        <f t="shared" si="9"/>
        <v>GAST1CPF - Desp. Lazer e Entretenimento - Bares</v>
      </c>
      <c r="P74" s="44" t="str">
        <f t="shared" si="10"/>
        <v>MCSGAST1CPF - Desp. Lazer e Entretenimento - Bares</v>
      </c>
      <c r="Q74" s="44" t="str">
        <f t="shared" si="11"/>
        <v>MCSGAST1</v>
      </c>
      <c r="R74" s="44" t="str">
        <f t="shared" si="12"/>
        <v>MCSGAST1</v>
      </c>
      <c r="S74" s="38"/>
      <c r="T74" s="304">
        <f t="shared" si="13"/>
        <v>46023</v>
      </c>
      <c r="U74" s="304" t="str">
        <f t="shared" si="14"/>
        <v/>
      </c>
      <c r="V74" s="300" t="s">
        <v>731</v>
      </c>
    </row>
    <row r="75" spans="2:22" s="300" customFormat="1" x14ac:dyDescent="0.25">
      <c r="B75" s="301" t="s">
        <v>25</v>
      </c>
      <c r="C75" s="302"/>
      <c r="D75" s="86" t="str">
        <f>INDEX(Cad_Natureza!$B$3:$C$52,MATCH('2026'!F75,Cad_Natureza!$C$3:$C$52,0),MATCH('2026'!D$2,Cad_Natureza!$B$3:$C$3,0))</f>
        <v>OPF2</v>
      </c>
      <c r="E75" s="84" t="s">
        <v>1261</v>
      </c>
      <c r="F75" s="85" t="s">
        <v>741</v>
      </c>
      <c r="G75" s="86" t="s">
        <v>25</v>
      </c>
      <c r="H75" s="87">
        <v>46043</v>
      </c>
      <c r="I75" s="87"/>
      <c r="J75" s="79" t="s">
        <v>184</v>
      </c>
      <c r="K75" s="62">
        <v>-50</v>
      </c>
      <c r="L75" s="62">
        <f t="shared" si="15"/>
        <v>1005.6500000000003</v>
      </c>
      <c r="M75" s="302"/>
      <c r="N75" s="44" t="str">
        <f t="shared" si="8"/>
        <v>MCSOPF2CPF - Desp. Transporte / Combustível</v>
      </c>
      <c r="O75" s="44" t="str">
        <f t="shared" si="9"/>
        <v>OPF2CPF - Desp. Transporte / Combustível</v>
      </c>
      <c r="P75" s="44" t="str">
        <f t="shared" si="10"/>
        <v>MCSOPF2CPF - Desp. Transporte / Combustível</v>
      </c>
      <c r="Q75" s="44" t="str">
        <f t="shared" si="11"/>
        <v>MCSOPF2</v>
      </c>
      <c r="R75" s="44" t="str">
        <f t="shared" si="12"/>
        <v>MCSOPF2</v>
      </c>
      <c r="S75" s="38"/>
      <c r="T75" s="304">
        <f t="shared" si="13"/>
        <v>46023</v>
      </c>
      <c r="U75" s="304" t="str">
        <f t="shared" si="14"/>
        <v/>
      </c>
      <c r="V75" s="300" t="s">
        <v>761</v>
      </c>
    </row>
    <row r="76" spans="2:22" s="300" customFormat="1" x14ac:dyDescent="0.25">
      <c r="B76" s="301" t="s">
        <v>25</v>
      </c>
      <c r="C76" s="302"/>
      <c r="D76" s="86" t="str">
        <f>INDEX(Cad_Natureza!$B$3:$C$52,MATCH('2026'!F76,Cad_Natureza!$C$3:$C$52,0),MATCH('2026'!D$2,Cad_Natureza!$B$3:$C$3,0))</f>
        <v>OPF1</v>
      </c>
      <c r="E76" s="84" t="s">
        <v>1262</v>
      </c>
      <c r="F76" s="85" t="s">
        <v>744</v>
      </c>
      <c r="G76" s="86" t="s">
        <v>25</v>
      </c>
      <c r="H76" s="87">
        <v>46043</v>
      </c>
      <c r="I76" s="87"/>
      <c r="J76" s="79" t="s">
        <v>182</v>
      </c>
      <c r="K76" s="62">
        <v>-24</v>
      </c>
      <c r="L76" s="62">
        <f t="shared" si="15"/>
        <v>981.65000000000032</v>
      </c>
      <c r="M76" s="302"/>
      <c r="N76" s="44" t="str">
        <f t="shared" si="8"/>
        <v>MCSOPF1CPF - Desp. Alimentação / Refeição</v>
      </c>
      <c r="O76" s="44" t="str">
        <f t="shared" si="9"/>
        <v>OPF1CPF - Desp. Alimentação / Refeição</v>
      </c>
      <c r="P76" s="44" t="str">
        <f t="shared" si="10"/>
        <v>MCSOPF1CPF - Desp. Alimentação / Refeição</v>
      </c>
      <c r="Q76" s="44" t="str">
        <f t="shared" si="11"/>
        <v>MCSOPF1</v>
      </c>
      <c r="R76" s="44" t="str">
        <f t="shared" si="12"/>
        <v>MCSOPF1</v>
      </c>
      <c r="S76" s="38"/>
      <c r="T76" s="304">
        <f t="shared" si="13"/>
        <v>46023</v>
      </c>
      <c r="U76" s="304" t="str">
        <f t="shared" si="14"/>
        <v/>
      </c>
      <c r="V76" s="300" t="s">
        <v>761</v>
      </c>
    </row>
    <row r="77" spans="2:22" s="300" customFormat="1" x14ac:dyDescent="0.25">
      <c r="B77" s="301" t="s">
        <v>25</v>
      </c>
      <c r="C77" s="302"/>
      <c r="D77" s="86" t="str">
        <f>INDEX(Cad_Natureza!$B$3:$C$52,MATCH('2026'!F77,Cad_Natureza!$C$3:$C$52,0),MATCH('2026'!D$2,Cad_Natureza!$B$3:$C$3,0))</f>
        <v>GAST1</v>
      </c>
      <c r="E77" s="84" t="s">
        <v>1263</v>
      </c>
      <c r="F77" s="85" t="s">
        <v>742</v>
      </c>
      <c r="G77" s="86" t="s">
        <v>25</v>
      </c>
      <c r="H77" s="87">
        <v>46043</v>
      </c>
      <c r="I77" s="87"/>
      <c r="J77" s="79" t="s">
        <v>1340</v>
      </c>
      <c r="K77" s="62">
        <v>-45.5</v>
      </c>
      <c r="L77" s="62">
        <f t="shared" si="15"/>
        <v>936.15000000000032</v>
      </c>
      <c r="M77" s="302"/>
      <c r="N77" s="44" t="str">
        <f t="shared" si="8"/>
        <v>MCSGAST1CPF - Desp. Lazer e Entretenimento - Bares</v>
      </c>
      <c r="O77" s="44" t="str">
        <f t="shared" si="9"/>
        <v>GAST1CPF - Desp. Lazer e Entretenimento - Bares</v>
      </c>
      <c r="P77" s="44" t="str">
        <f t="shared" si="10"/>
        <v>MCSGAST1CPF - Desp. Lazer e Entretenimento - Bares</v>
      </c>
      <c r="Q77" s="44" t="str">
        <f t="shared" si="11"/>
        <v>MCSGAST1</v>
      </c>
      <c r="R77" s="44" t="str">
        <f t="shared" si="12"/>
        <v>MCSGAST1</v>
      </c>
      <c r="S77" s="38"/>
      <c r="T77" s="304">
        <f t="shared" si="13"/>
        <v>46023</v>
      </c>
      <c r="U77" s="304" t="str">
        <f t="shared" si="14"/>
        <v/>
      </c>
      <c r="V77" s="300" t="s">
        <v>761</v>
      </c>
    </row>
    <row r="78" spans="2:22" s="300" customFormat="1" x14ac:dyDescent="0.25">
      <c r="B78" s="301" t="s">
        <v>25</v>
      </c>
      <c r="C78" s="302"/>
      <c r="D78" s="86" t="str">
        <f>INDEX(Cad_Natureza!$B$3:$C$52,MATCH('2026'!F78,Cad_Natureza!$C$3:$C$52,0),MATCH('2026'!D$2,Cad_Natureza!$B$3:$C$3,0))</f>
        <v>OPF1</v>
      </c>
      <c r="E78" s="84" t="s">
        <v>1264</v>
      </c>
      <c r="F78" s="85" t="s">
        <v>744</v>
      </c>
      <c r="G78" s="86" t="s">
        <v>25</v>
      </c>
      <c r="H78" s="87">
        <v>46044</v>
      </c>
      <c r="I78" s="87"/>
      <c r="J78" s="79" t="s">
        <v>182</v>
      </c>
      <c r="K78" s="62">
        <v>-24</v>
      </c>
      <c r="L78" s="62">
        <f t="shared" si="15"/>
        <v>912.15000000000032</v>
      </c>
      <c r="M78" s="302"/>
      <c r="N78" s="44" t="str">
        <f t="shared" si="8"/>
        <v>MCSOPF1CPF - Desp. Alimentação / Refeição</v>
      </c>
      <c r="O78" s="44" t="str">
        <f t="shared" si="9"/>
        <v>OPF1CPF - Desp. Alimentação / Refeição</v>
      </c>
      <c r="P78" s="44" t="str">
        <f t="shared" si="10"/>
        <v>MCSOPF1CPF - Desp. Alimentação / Refeição</v>
      </c>
      <c r="Q78" s="44" t="str">
        <f t="shared" si="11"/>
        <v>MCSOPF1</v>
      </c>
      <c r="R78" s="44" t="str">
        <f t="shared" si="12"/>
        <v>MCSOPF1</v>
      </c>
      <c r="S78" s="38"/>
      <c r="T78" s="304">
        <f t="shared" si="13"/>
        <v>46023</v>
      </c>
      <c r="U78" s="304" t="str">
        <f t="shared" si="14"/>
        <v/>
      </c>
      <c r="V78" s="300" t="s">
        <v>761</v>
      </c>
    </row>
    <row r="79" spans="2:22" s="300" customFormat="1" x14ac:dyDescent="0.25">
      <c r="B79" s="301" t="s">
        <v>25</v>
      </c>
      <c r="C79" s="302"/>
      <c r="D79" s="86" t="str">
        <f>INDEX(Cad_Natureza!$B$3:$C$52,MATCH('2026'!F79,Cad_Natureza!$C$3:$C$52,0),MATCH('2026'!D$2,Cad_Natureza!$B$3:$C$3,0))</f>
        <v>GAST1</v>
      </c>
      <c r="E79" s="84" t="s">
        <v>1265</v>
      </c>
      <c r="F79" s="85" t="s">
        <v>742</v>
      </c>
      <c r="G79" s="86" t="s">
        <v>25</v>
      </c>
      <c r="H79" s="87">
        <v>46044</v>
      </c>
      <c r="I79" s="87"/>
      <c r="J79" s="79" t="s">
        <v>1340</v>
      </c>
      <c r="K79" s="62">
        <v>-15</v>
      </c>
      <c r="L79" s="62">
        <f t="shared" si="15"/>
        <v>897.15000000000032</v>
      </c>
      <c r="M79" s="302"/>
      <c r="N79" s="44" t="str">
        <f t="shared" si="8"/>
        <v>MCSGAST1CPF - Desp. Lazer e Entretenimento - Bares</v>
      </c>
      <c r="O79" s="44" t="str">
        <f t="shared" si="9"/>
        <v>GAST1CPF - Desp. Lazer e Entretenimento - Bares</v>
      </c>
      <c r="P79" s="44" t="str">
        <f t="shared" si="10"/>
        <v>MCSGAST1CPF - Desp. Lazer e Entretenimento - Bares</v>
      </c>
      <c r="Q79" s="44" t="str">
        <f t="shared" si="11"/>
        <v>MCSGAST1</v>
      </c>
      <c r="R79" s="44" t="str">
        <f t="shared" si="12"/>
        <v>MCSGAST1</v>
      </c>
      <c r="S79" s="38"/>
      <c r="T79" s="304">
        <f t="shared" si="13"/>
        <v>46023</v>
      </c>
      <c r="U79" s="304" t="str">
        <f t="shared" si="14"/>
        <v/>
      </c>
      <c r="V79" s="300" t="s">
        <v>761</v>
      </c>
    </row>
    <row r="80" spans="2:22" s="300" customFormat="1" x14ac:dyDescent="0.25">
      <c r="B80" s="301" t="s">
        <v>25</v>
      </c>
      <c r="C80" s="302"/>
      <c r="D80" s="86" t="str">
        <f>INDEX(Cad_Natureza!$B$3:$C$52,MATCH('2026'!F80,Cad_Natureza!$C$3:$C$52,0),MATCH('2026'!D$2,Cad_Natureza!$B$3:$C$3,0))</f>
        <v>OPF2</v>
      </c>
      <c r="E80" s="84" t="s">
        <v>1266</v>
      </c>
      <c r="F80" s="85" t="s">
        <v>741</v>
      </c>
      <c r="G80" s="86" t="s">
        <v>25</v>
      </c>
      <c r="H80" s="87">
        <v>46045</v>
      </c>
      <c r="I80" s="87"/>
      <c r="J80" s="79" t="s">
        <v>184</v>
      </c>
      <c r="K80" s="62">
        <v>-50</v>
      </c>
      <c r="L80" s="62">
        <f t="shared" si="15"/>
        <v>847.15000000000032</v>
      </c>
      <c r="M80" s="302"/>
      <c r="N80" s="44" t="str">
        <f t="shared" si="8"/>
        <v>MCSOPF2CPF - Desp. Transporte / Combustível</v>
      </c>
      <c r="O80" s="44" t="str">
        <f t="shared" si="9"/>
        <v>OPF2CPF - Desp. Transporte / Combustível</v>
      </c>
      <c r="P80" s="44" t="str">
        <f t="shared" si="10"/>
        <v>MCSOPF2CPF - Desp. Transporte / Combustível</v>
      </c>
      <c r="Q80" s="44" t="str">
        <f t="shared" si="11"/>
        <v>MCSOPF2</v>
      </c>
      <c r="R80" s="44" t="str">
        <f t="shared" si="12"/>
        <v>MCSOPF2</v>
      </c>
      <c r="S80" s="38"/>
      <c r="T80" s="304">
        <f t="shared" si="13"/>
        <v>46023</v>
      </c>
      <c r="U80" s="304" t="str">
        <f t="shared" si="14"/>
        <v/>
      </c>
      <c r="V80" s="300" t="s">
        <v>761</v>
      </c>
    </row>
    <row r="81" spans="2:22" s="300" customFormat="1" x14ac:dyDescent="0.25">
      <c r="B81" s="301" t="s">
        <v>25</v>
      </c>
      <c r="C81" s="302"/>
      <c r="D81" s="86" t="str">
        <f>INDEX(Cad_Natureza!$B$3:$C$52,MATCH('2026'!F81,Cad_Natureza!$C$3:$C$52,0),MATCH('2026'!D$2,Cad_Natureza!$B$3:$C$3,0))</f>
        <v>OPF1</v>
      </c>
      <c r="E81" s="84" t="s">
        <v>1267</v>
      </c>
      <c r="F81" s="85" t="s">
        <v>744</v>
      </c>
      <c r="G81" s="86" t="s">
        <v>25</v>
      </c>
      <c r="H81" s="87">
        <v>46045</v>
      </c>
      <c r="I81" s="87"/>
      <c r="J81" s="79" t="s">
        <v>1343</v>
      </c>
      <c r="K81" s="62">
        <v>-22.5</v>
      </c>
      <c r="L81" s="62">
        <f t="shared" si="15"/>
        <v>824.65000000000032</v>
      </c>
      <c r="M81" s="302"/>
      <c r="N81" s="44" t="str">
        <f t="shared" si="8"/>
        <v>MCSOPF1CPF - Desp. Alimentação / Refeição</v>
      </c>
      <c r="O81" s="44" t="str">
        <f t="shared" si="9"/>
        <v>OPF1CPF - Desp. Alimentação / Refeição</v>
      </c>
      <c r="P81" s="44" t="str">
        <f t="shared" si="10"/>
        <v>MCSOPF1CPF - Desp. Alimentação / Refeição</v>
      </c>
      <c r="Q81" s="44" t="str">
        <f t="shared" si="11"/>
        <v>MCSOPF1</v>
      </c>
      <c r="R81" s="44" t="str">
        <f t="shared" si="12"/>
        <v>MCSOPF1</v>
      </c>
      <c r="S81" s="38"/>
      <c r="T81" s="304">
        <f t="shared" si="13"/>
        <v>46023</v>
      </c>
      <c r="U81" s="304" t="str">
        <f t="shared" si="14"/>
        <v/>
      </c>
      <c r="V81" s="300" t="s">
        <v>731</v>
      </c>
    </row>
    <row r="82" spans="2:22" s="300" customFormat="1" x14ac:dyDescent="0.25">
      <c r="B82" s="301" t="s">
        <v>25</v>
      </c>
      <c r="C82" s="302"/>
      <c r="D82" s="86" t="str">
        <f>INDEX(Cad_Natureza!$B$3:$C$52,MATCH('2026'!F82,Cad_Natureza!$C$3:$C$52,0),MATCH('2026'!D$2,Cad_Natureza!$B$3:$C$3,0))</f>
        <v>OPF1</v>
      </c>
      <c r="E82" s="84" t="s">
        <v>1268</v>
      </c>
      <c r="F82" s="85" t="s">
        <v>744</v>
      </c>
      <c r="G82" s="86" t="s">
        <v>25</v>
      </c>
      <c r="H82" s="87">
        <v>46045</v>
      </c>
      <c r="I82" s="87"/>
      <c r="J82" s="79" t="s">
        <v>457</v>
      </c>
      <c r="K82" s="62">
        <v>-10</v>
      </c>
      <c r="L82" s="62">
        <f t="shared" si="15"/>
        <v>814.65000000000032</v>
      </c>
      <c r="M82" s="302"/>
      <c r="N82" s="44" t="str">
        <f t="shared" si="8"/>
        <v>MCSOPF1CPF - Desp. Alimentação / Refeição</v>
      </c>
      <c r="O82" s="44" t="str">
        <f t="shared" si="9"/>
        <v>OPF1CPF - Desp. Alimentação / Refeição</v>
      </c>
      <c r="P82" s="44" t="str">
        <f t="shared" si="10"/>
        <v>MCSOPF1CPF - Desp. Alimentação / Refeição</v>
      </c>
      <c r="Q82" s="44" t="str">
        <f t="shared" si="11"/>
        <v>MCSOPF1</v>
      </c>
      <c r="R82" s="44" t="str">
        <f t="shared" si="12"/>
        <v>MCSOPF1</v>
      </c>
      <c r="S82" s="38"/>
      <c r="T82" s="304">
        <f t="shared" si="13"/>
        <v>46023</v>
      </c>
      <c r="U82" s="304" t="str">
        <f t="shared" si="14"/>
        <v/>
      </c>
      <c r="V82" s="300" t="s">
        <v>731</v>
      </c>
    </row>
    <row r="83" spans="2:22" s="300" customFormat="1" x14ac:dyDescent="0.25">
      <c r="B83" s="301" t="s">
        <v>25</v>
      </c>
      <c r="C83" s="302"/>
      <c r="D83" s="86" t="str">
        <f>INDEX(Cad_Natureza!$B$3:$C$52,MATCH('2026'!F83,Cad_Natureza!$C$3:$C$52,0),MATCH('2026'!D$2,Cad_Natureza!$B$3:$C$3,0))</f>
        <v>GAST1</v>
      </c>
      <c r="E83" s="84" t="s">
        <v>1269</v>
      </c>
      <c r="F83" s="85" t="s">
        <v>742</v>
      </c>
      <c r="G83" s="86" t="s">
        <v>25</v>
      </c>
      <c r="H83" s="87">
        <v>46045</v>
      </c>
      <c r="I83" s="87"/>
      <c r="J83" s="79" t="s">
        <v>185</v>
      </c>
      <c r="K83" s="62">
        <v>-15</v>
      </c>
      <c r="L83" s="62">
        <f t="shared" si="15"/>
        <v>799.65000000000032</v>
      </c>
      <c r="M83" s="302"/>
      <c r="N83" s="44" t="str">
        <f t="shared" si="8"/>
        <v>MCSGAST1CPF - Desp. Lazer e Entretenimento - Bares</v>
      </c>
      <c r="O83" s="44" t="str">
        <f t="shared" si="9"/>
        <v>GAST1CPF - Desp. Lazer e Entretenimento - Bares</v>
      </c>
      <c r="P83" s="44" t="str">
        <f t="shared" si="10"/>
        <v>MCSGAST1CPF - Desp. Lazer e Entretenimento - Bares</v>
      </c>
      <c r="Q83" s="44" t="str">
        <f t="shared" si="11"/>
        <v>MCSGAST1</v>
      </c>
      <c r="R83" s="44" t="str">
        <f t="shared" si="12"/>
        <v>MCSGAST1</v>
      </c>
      <c r="S83" s="38"/>
      <c r="T83" s="304">
        <f t="shared" si="13"/>
        <v>46023</v>
      </c>
      <c r="U83" s="304" t="str">
        <f t="shared" si="14"/>
        <v/>
      </c>
      <c r="V83" s="300" t="s">
        <v>761</v>
      </c>
    </row>
    <row r="84" spans="2:22" s="300" customFormat="1" x14ac:dyDescent="0.25">
      <c r="B84" s="301" t="s">
        <v>25</v>
      </c>
      <c r="C84" s="302"/>
      <c r="D84" s="86" t="str">
        <f>INDEX(Cad_Natureza!$B$3:$C$52,MATCH('2026'!F84,Cad_Natureza!$C$3:$C$52,0),MATCH('2026'!D$2,Cad_Natureza!$B$3:$C$3,0))</f>
        <v>GAST1</v>
      </c>
      <c r="E84" s="84" t="s">
        <v>1269</v>
      </c>
      <c r="F84" s="85" t="s">
        <v>742</v>
      </c>
      <c r="G84" s="86" t="s">
        <v>25</v>
      </c>
      <c r="H84" s="87">
        <v>46045</v>
      </c>
      <c r="I84" s="87"/>
      <c r="J84" s="79" t="s">
        <v>185</v>
      </c>
      <c r="K84" s="62">
        <v>-10</v>
      </c>
      <c r="L84" s="62">
        <f t="shared" si="15"/>
        <v>789.65000000000032</v>
      </c>
      <c r="M84" s="302"/>
      <c r="N84" s="44" t="str">
        <f t="shared" si="8"/>
        <v>MCSGAST1CPF - Desp. Lazer e Entretenimento - Bares</v>
      </c>
      <c r="O84" s="44" t="str">
        <f t="shared" si="9"/>
        <v>GAST1CPF - Desp. Lazer e Entretenimento - Bares</v>
      </c>
      <c r="P84" s="44" t="str">
        <f t="shared" si="10"/>
        <v>MCSGAST1CPF - Desp. Lazer e Entretenimento - Bares</v>
      </c>
      <c r="Q84" s="44" t="str">
        <f t="shared" si="11"/>
        <v>MCSGAST1</v>
      </c>
      <c r="R84" s="44" t="str">
        <f t="shared" si="12"/>
        <v>MCSGAST1</v>
      </c>
      <c r="S84" s="38"/>
      <c r="T84" s="304">
        <f t="shared" si="13"/>
        <v>46023</v>
      </c>
      <c r="U84" s="304" t="str">
        <f t="shared" si="14"/>
        <v/>
      </c>
      <c r="V84" s="300" t="s">
        <v>761</v>
      </c>
    </row>
    <row r="85" spans="2:22" s="300" customFormat="1" x14ac:dyDescent="0.25">
      <c r="B85" s="301" t="s">
        <v>25</v>
      </c>
      <c r="C85" s="302"/>
      <c r="D85" s="86" t="str">
        <f>INDEX(Cad_Natureza!$B$3:$C$52,MATCH('2026'!F85,Cad_Natureza!$C$3:$C$52,0),MATCH('2026'!D$2,Cad_Natureza!$B$3:$C$3,0))</f>
        <v>GAST1</v>
      </c>
      <c r="E85" s="84" t="s">
        <v>1270</v>
      </c>
      <c r="F85" s="85" t="s">
        <v>742</v>
      </c>
      <c r="G85" s="86" t="s">
        <v>25</v>
      </c>
      <c r="H85" s="87">
        <v>46048</v>
      </c>
      <c r="I85" s="87"/>
      <c r="J85" s="79" t="s">
        <v>185</v>
      </c>
      <c r="K85" s="62">
        <v>-10</v>
      </c>
      <c r="L85" s="62">
        <f t="shared" si="15"/>
        <v>779.65000000000032</v>
      </c>
      <c r="M85" s="302"/>
      <c r="N85" s="44" t="str">
        <f t="shared" si="8"/>
        <v>MCSGAST1CPF - Desp. Lazer e Entretenimento - Bares</v>
      </c>
      <c r="O85" s="44" t="str">
        <f t="shared" si="9"/>
        <v>GAST1CPF - Desp. Lazer e Entretenimento - Bares</v>
      </c>
      <c r="P85" s="44" t="str">
        <f t="shared" si="10"/>
        <v>MCSGAST1CPF - Desp. Lazer e Entretenimento - Bares</v>
      </c>
      <c r="Q85" s="44" t="str">
        <f t="shared" si="11"/>
        <v>MCSGAST1</v>
      </c>
      <c r="R85" s="44" t="str">
        <f t="shared" si="12"/>
        <v>MCSGAST1</v>
      </c>
      <c r="S85" s="38"/>
      <c r="T85" s="304">
        <f t="shared" si="13"/>
        <v>46023</v>
      </c>
      <c r="U85" s="304" t="str">
        <f t="shared" si="14"/>
        <v/>
      </c>
      <c r="V85" s="300" t="s">
        <v>761</v>
      </c>
    </row>
    <row r="86" spans="2:22" s="300" customFormat="1" x14ac:dyDescent="0.25">
      <c r="B86" s="301" t="s">
        <v>25</v>
      </c>
      <c r="C86" s="302"/>
      <c r="D86" s="86" t="str">
        <f>INDEX(Cad_Natureza!$B$3:$C$52,MATCH('2026'!F86,Cad_Natureza!$C$3:$C$52,0),MATCH('2026'!D$2,Cad_Natureza!$B$3:$C$3,0))</f>
        <v>GAST1</v>
      </c>
      <c r="E86" s="84" t="s">
        <v>1271</v>
      </c>
      <c r="F86" s="85" t="s">
        <v>742</v>
      </c>
      <c r="G86" s="86" t="s">
        <v>25</v>
      </c>
      <c r="H86" s="87">
        <v>46048</v>
      </c>
      <c r="I86" s="87"/>
      <c r="J86" s="79" t="s">
        <v>185</v>
      </c>
      <c r="K86" s="62">
        <v>-15</v>
      </c>
      <c r="L86" s="62">
        <f t="shared" si="15"/>
        <v>764.65000000000032</v>
      </c>
      <c r="M86" s="302"/>
      <c r="N86" s="44" t="str">
        <f t="shared" si="0"/>
        <v>MCSGAST1CPF - Desp. Lazer e Entretenimento - Bares</v>
      </c>
      <c r="O86" s="44" t="str">
        <f t="shared" si="1"/>
        <v>GAST1CPF - Desp. Lazer e Entretenimento - Bares</v>
      </c>
      <c r="P86" s="44" t="str">
        <f t="shared" si="2"/>
        <v>MCSGAST1CPF - Desp. Lazer e Entretenimento - Bares</v>
      </c>
      <c r="Q86" s="44" t="str">
        <f t="shared" si="3"/>
        <v>MCSGAST1</v>
      </c>
      <c r="R86" s="44" t="str">
        <f t="shared" si="4"/>
        <v>MCSGAST1</v>
      </c>
      <c r="S86" s="38"/>
      <c r="T86" s="304">
        <f t="shared" si="5"/>
        <v>46023</v>
      </c>
      <c r="U86" s="304" t="str">
        <f t="shared" si="6"/>
        <v/>
      </c>
      <c r="V86" s="300" t="s">
        <v>761</v>
      </c>
    </row>
    <row r="87" spans="2:22" s="300" customFormat="1" x14ac:dyDescent="0.25">
      <c r="B87" s="301" t="s">
        <v>25</v>
      </c>
      <c r="C87" s="302"/>
      <c r="D87" s="86" t="str">
        <f>INDEX(Cad_Natureza!$B$3:$C$52,MATCH('2026'!F87,Cad_Natureza!$C$3:$C$52,0),MATCH('2026'!D$2,Cad_Natureza!$B$3:$C$3,0))</f>
        <v>GAST1</v>
      </c>
      <c r="E87" s="84" t="s">
        <v>1271</v>
      </c>
      <c r="F87" s="85" t="s">
        <v>742</v>
      </c>
      <c r="G87" s="86" t="s">
        <v>25</v>
      </c>
      <c r="H87" s="87">
        <v>46048</v>
      </c>
      <c r="I87" s="87"/>
      <c r="J87" s="79" t="s">
        <v>185</v>
      </c>
      <c r="K87" s="62">
        <v>-5.5</v>
      </c>
      <c r="L87" s="62">
        <f t="shared" si="15"/>
        <v>759.15000000000032</v>
      </c>
      <c r="M87" s="302"/>
      <c r="N87" s="44" t="str">
        <f t="shared" si="0"/>
        <v>MCSGAST1CPF - Desp. Lazer e Entretenimento - Bares</v>
      </c>
      <c r="O87" s="44" t="str">
        <f t="shared" si="1"/>
        <v>GAST1CPF - Desp. Lazer e Entretenimento - Bares</v>
      </c>
      <c r="P87" s="44" t="str">
        <f t="shared" si="2"/>
        <v>MCSGAST1CPF - Desp. Lazer e Entretenimento - Bares</v>
      </c>
      <c r="Q87" s="44" t="str">
        <f t="shared" si="3"/>
        <v>MCSGAST1</v>
      </c>
      <c r="R87" s="44" t="str">
        <f t="shared" si="4"/>
        <v>MCSGAST1</v>
      </c>
      <c r="S87" s="38"/>
      <c r="T87" s="304">
        <f t="shared" si="5"/>
        <v>46023</v>
      </c>
      <c r="U87" s="304" t="str">
        <f t="shared" si="6"/>
        <v/>
      </c>
      <c r="V87" s="300" t="s">
        <v>761</v>
      </c>
    </row>
    <row r="88" spans="2:22" s="300" customFormat="1" x14ac:dyDescent="0.25">
      <c r="B88" s="301" t="s">
        <v>25</v>
      </c>
      <c r="C88" s="302"/>
      <c r="D88" s="86" t="str">
        <f>INDEX(Cad_Natureza!$B$3:$C$52,MATCH('2026'!F88,Cad_Natureza!$C$3:$C$52,0),MATCH('2026'!D$2,Cad_Natureza!$B$3:$C$3,0))</f>
        <v>OPF2</v>
      </c>
      <c r="E88" s="84" t="s">
        <v>1272</v>
      </c>
      <c r="F88" s="85" t="s">
        <v>741</v>
      </c>
      <c r="G88" s="86" t="s">
        <v>25</v>
      </c>
      <c r="H88" s="87">
        <v>46048</v>
      </c>
      <c r="I88" s="87"/>
      <c r="J88" s="79" t="s">
        <v>184</v>
      </c>
      <c r="K88" s="62">
        <v>-50</v>
      </c>
      <c r="L88" s="62">
        <f t="shared" si="15"/>
        <v>709.15000000000032</v>
      </c>
      <c r="M88" s="302"/>
      <c r="N88" s="44" t="str">
        <f t="shared" si="0"/>
        <v>MCSOPF2CPF - Desp. Transporte / Combustível</v>
      </c>
      <c r="O88" s="44" t="str">
        <f t="shared" si="1"/>
        <v>OPF2CPF - Desp. Transporte / Combustível</v>
      </c>
      <c r="P88" s="44" t="str">
        <f t="shared" si="2"/>
        <v>MCSOPF2CPF - Desp. Transporte / Combustível</v>
      </c>
      <c r="Q88" s="44" t="str">
        <f t="shared" si="3"/>
        <v>MCSOPF2</v>
      </c>
      <c r="R88" s="44" t="str">
        <f t="shared" si="4"/>
        <v>MCSOPF2</v>
      </c>
      <c r="S88" s="38"/>
      <c r="T88" s="304">
        <f t="shared" si="5"/>
        <v>46023</v>
      </c>
      <c r="U88" s="304" t="str">
        <f t="shared" si="6"/>
        <v/>
      </c>
      <c r="V88" s="300" t="s">
        <v>761</v>
      </c>
    </row>
    <row r="89" spans="2:22" s="300" customFormat="1" x14ac:dyDescent="0.25">
      <c r="B89" s="301" t="s">
        <v>25</v>
      </c>
      <c r="C89" s="302"/>
      <c r="D89" s="86" t="str">
        <f>INDEX(Cad_Natureza!$B$3:$C$52,MATCH('2026'!F89,Cad_Natureza!$C$3:$C$52,0),MATCH('2026'!D$2,Cad_Natureza!$B$3:$C$3,0))</f>
        <v>GAST2</v>
      </c>
      <c r="E89" s="84" t="s">
        <v>1273</v>
      </c>
      <c r="F89" s="85" t="s">
        <v>743</v>
      </c>
      <c r="G89" s="86" t="s">
        <v>25</v>
      </c>
      <c r="H89" s="87">
        <v>46048</v>
      </c>
      <c r="I89" s="87"/>
      <c r="J89" s="79" t="s">
        <v>180</v>
      </c>
      <c r="K89" s="62">
        <v>-36</v>
      </c>
      <c r="L89" s="62">
        <f t="shared" si="15"/>
        <v>673.15000000000032</v>
      </c>
      <c r="M89" s="302"/>
      <c r="N89" s="44" t="str">
        <f t="shared" si="0"/>
        <v>MCSGAST2CPF - Desp. Lazer e Entretenimento - Cigarro</v>
      </c>
      <c r="O89" s="44" t="str">
        <f t="shared" si="1"/>
        <v>GAST2CPF - Desp. Lazer e Entretenimento - Cigarro</v>
      </c>
      <c r="P89" s="44" t="str">
        <f t="shared" si="2"/>
        <v>MCSGAST2CPF - Desp. Lazer e Entretenimento - Cigarro</v>
      </c>
      <c r="Q89" s="44" t="str">
        <f t="shared" si="3"/>
        <v>MCSGAST2</v>
      </c>
      <c r="R89" s="44" t="str">
        <f t="shared" si="4"/>
        <v>MCSGAST2</v>
      </c>
      <c r="S89" s="38"/>
      <c r="T89" s="304">
        <f t="shared" si="5"/>
        <v>46023</v>
      </c>
      <c r="U89" s="304" t="str">
        <f t="shared" si="6"/>
        <v/>
      </c>
      <c r="V89" s="300" t="s">
        <v>731</v>
      </c>
    </row>
    <row r="90" spans="2:22" s="300" customFormat="1" x14ac:dyDescent="0.25">
      <c r="B90" s="301" t="s">
        <v>25</v>
      </c>
      <c r="C90" s="302"/>
      <c r="D90" s="86" t="str">
        <f>INDEX(Cad_Natureza!$B$3:$C$52,MATCH('2026'!F90,Cad_Natureza!$C$3:$C$52,0),MATCH('2026'!D$2,Cad_Natureza!$B$3:$C$3,0))</f>
        <v>GAST1</v>
      </c>
      <c r="E90" s="84" t="s">
        <v>1274</v>
      </c>
      <c r="F90" s="85" t="s">
        <v>742</v>
      </c>
      <c r="G90" s="86" t="s">
        <v>25</v>
      </c>
      <c r="H90" s="87">
        <v>46048</v>
      </c>
      <c r="I90" s="87"/>
      <c r="J90" s="79" t="s">
        <v>1342</v>
      </c>
      <c r="K90" s="62">
        <v>-30</v>
      </c>
      <c r="L90" s="62">
        <f t="shared" si="15"/>
        <v>643.15000000000032</v>
      </c>
      <c r="M90" s="302"/>
      <c r="N90" s="44" t="str">
        <f t="shared" si="0"/>
        <v>MCSGAST1CPF - Desp. Lazer e Entretenimento - Bares</v>
      </c>
      <c r="O90" s="44" t="str">
        <f t="shared" si="1"/>
        <v>GAST1CPF - Desp. Lazer e Entretenimento - Bares</v>
      </c>
      <c r="P90" s="44" t="str">
        <f t="shared" si="2"/>
        <v>MCSGAST1CPF - Desp. Lazer e Entretenimento - Bares</v>
      </c>
      <c r="Q90" s="44" t="str">
        <f t="shared" si="3"/>
        <v>MCSGAST1</v>
      </c>
      <c r="R90" s="44" t="str">
        <f t="shared" si="4"/>
        <v>MCSGAST1</v>
      </c>
      <c r="S90" s="38"/>
      <c r="T90" s="304">
        <f t="shared" si="5"/>
        <v>46023</v>
      </c>
      <c r="U90" s="304" t="str">
        <f t="shared" si="6"/>
        <v/>
      </c>
      <c r="V90" s="300" t="s">
        <v>731</v>
      </c>
    </row>
    <row r="91" spans="2:22" s="300" customFormat="1" x14ac:dyDescent="0.25">
      <c r="B91" s="301" t="s">
        <v>25</v>
      </c>
      <c r="C91" s="302"/>
      <c r="D91" s="86" t="str">
        <f>INDEX(Cad_Natureza!$B$3:$C$52,MATCH('2026'!F91,Cad_Natureza!$C$3:$C$52,0),MATCH('2026'!D$2,Cad_Natureza!$B$3:$C$3,0))</f>
        <v>GAST1</v>
      </c>
      <c r="E91" s="84" t="s">
        <v>1275</v>
      </c>
      <c r="F91" s="85" t="s">
        <v>742</v>
      </c>
      <c r="G91" s="86" t="s">
        <v>25</v>
      </c>
      <c r="H91" s="87">
        <v>46048</v>
      </c>
      <c r="I91" s="87"/>
      <c r="J91" s="79" t="s">
        <v>185</v>
      </c>
      <c r="K91" s="62">
        <v>-30</v>
      </c>
      <c r="L91" s="62">
        <f t="shared" si="15"/>
        <v>613.15000000000032</v>
      </c>
      <c r="M91" s="302"/>
      <c r="N91" s="44" t="str">
        <f t="shared" si="0"/>
        <v>MCSGAST1CPF - Desp. Lazer e Entretenimento - Bares</v>
      </c>
      <c r="O91" s="44" t="str">
        <f t="shared" si="1"/>
        <v>GAST1CPF - Desp. Lazer e Entretenimento - Bares</v>
      </c>
      <c r="P91" s="44" t="str">
        <f t="shared" si="2"/>
        <v>MCSGAST1CPF - Desp. Lazer e Entretenimento - Bares</v>
      </c>
      <c r="Q91" s="44" t="str">
        <f t="shared" si="3"/>
        <v>MCSGAST1</v>
      </c>
      <c r="R91" s="44" t="str">
        <f t="shared" si="4"/>
        <v>MCSGAST1</v>
      </c>
      <c r="S91" s="38"/>
      <c r="T91" s="304">
        <f t="shared" si="5"/>
        <v>46023</v>
      </c>
      <c r="U91" s="304" t="str">
        <f t="shared" si="6"/>
        <v/>
      </c>
      <c r="V91" s="300" t="s">
        <v>761</v>
      </c>
    </row>
    <row r="92" spans="2:22" s="300" customFormat="1" x14ac:dyDescent="0.25">
      <c r="B92" s="301" t="s">
        <v>25</v>
      </c>
      <c r="C92" s="302"/>
      <c r="D92" s="86" t="str">
        <f>INDEX(Cad_Natureza!$B$3:$C$52,MATCH('2026'!F92,Cad_Natureza!$C$3:$C$52,0),MATCH('2026'!D$2,Cad_Natureza!$B$3:$C$3,0))</f>
        <v>GAST1</v>
      </c>
      <c r="E92" s="84" t="s">
        <v>1276</v>
      </c>
      <c r="F92" s="85" t="s">
        <v>742</v>
      </c>
      <c r="G92" s="86" t="s">
        <v>25</v>
      </c>
      <c r="H92" s="87">
        <v>46048</v>
      </c>
      <c r="I92" s="87"/>
      <c r="J92" s="79" t="s">
        <v>185</v>
      </c>
      <c r="K92" s="62">
        <v>-16.98</v>
      </c>
      <c r="L92" s="62">
        <f t="shared" si="15"/>
        <v>596.1700000000003</v>
      </c>
      <c r="M92" s="302"/>
      <c r="N92" s="44" t="str">
        <f t="shared" si="0"/>
        <v>MCSGAST1CPF - Desp. Lazer e Entretenimento - Bares</v>
      </c>
      <c r="O92" s="44" t="str">
        <f t="shared" si="1"/>
        <v>GAST1CPF - Desp. Lazer e Entretenimento - Bares</v>
      </c>
      <c r="P92" s="44" t="str">
        <f t="shared" si="2"/>
        <v>MCSGAST1CPF - Desp. Lazer e Entretenimento - Bares</v>
      </c>
      <c r="Q92" s="44" t="str">
        <f t="shared" si="3"/>
        <v>MCSGAST1</v>
      </c>
      <c r="R92" s="44" t="str">
        <f t="shared" si="4"/>
        <v>MCSGAST1</v>
      </c>
      <c r="S92" s="38"/>
      <c r="T92" s="304">
        <f t="shared" si="5"/>
        <v>46023</v>
      </c>
      <c r="U92" s="304" t="str">
        <f t="shared" si="6"/>
        <v/>
      </c>
      <c r="V92" s="300" t="s">
        <v>761</v>
      </c>
    </row>
    <row r="93" spans="2:22" s="300" customFormat="1" x14ac:dyDescent="0.25">
      <c r="B93" s="301" t="s">
        <v>25</v>
      </c>
      <c r="C93" s="302"/>
      <c r="D93" s="86" t="str">
        <f>INDEX(Cad_Natureza!$B$3:$C$52,MATCH('2026'!F93,Cad_Natureza!$C$3:$C$52,0),MATCH('2026'!D$2,Cad_Natureza!$B$3:$C$3,0))</f>
        <v>GAST1</v>
      </c>
      <c r="E93" s="84" t="s">
        <v>1276</v>
      </c>
      <c r="F93" s="85" t="s">
        <v>742</v>
      </c>
      <c r="G93" s="86" t="s">
        <v>25</v>
      </c>
      <c r="H93" s="87">
        <v>46048</v>
      </c>
      <c r="I93" s="87"/>
      <c r="J93" s="79" t="s">
        <v>185</v>
      </c>
      <c r="K93" s="62">
        <v>-8.5</v>
      </c>
      <c r="L93" s="62">
        <f t="shared" si="15"/>
        <v>587.6700000000003</v>
      </c>
      <c r="M93" s="302"/>
      <c r="N93" s="44" t="str">
        <f t="shared" si="0"/>
        <v>MCSGAST1CPF - Desp. Lazer e Entretenimento - Bares</v>
      </c>
      <c r="O93" s="44" t="str">
        <f t="shared" si="1"/>
        <v>GAST1CPF - Desp. Lazer e Entretenimento - Bares</v>
      </c>
      <c r="P93" s="44" t="str">
        <f t="shared" si="2"/>
        <v>MCSGAST1CPF - Desp. Lazer e Entretenimento - Bares</v>
      </c>
      <c r="Q93" s="44" t="str">
        <f t="shared" si="3"/>
        <v>MCSGAST1</v>
      </c>
      <c r="R93" s="44" t="str">
        <f t="shared" si="4"/>
        <v>MCSGAST1</v>
      </c>
      <c r="S93" s="38"/>
      <c r="T93" s="304">
        <f t="shared" si="5"/>
        <v>46023</v>
      </c>
      <c r="U93" s="304" t="str">
        <f t="shared" si="6"/>
        <v/>
      </c>
      <c r="V93" s="300" t="s">
        <v>761</v>
      </c>
    </row>
    <row r="94" spans="2:22" s="300" customFormat="1" x14ac:dyDescent="0.25">
      <c r="B94" s="301" t="s">
        <v>25</v>
      </c>
      <c r="C94" s="302"/>
      <c r="D94" s="86" t="str">
        <f>INDEX(Cad_Natureza!$B$3:$C$52,MATCH('2026'!F94,Cad_Natureza!$C$3:$C$52,0),MATCH('2026'!D$2,Cad_Natureza!$B$3:$C$3,0))</f>
        <v>GAST1</v>
      </c>
      <c r="E94" s="84" t="s">
        <v>1277</v>
      </c>
      <c r="F94" s="85" t="s">
        <v>742</v>
      </c>
      <c r="G94" s="86" t="s">
        <v>25</v>
      </c>
      <c r="H94" s="87">
        <v>46048</v>
      </c>
      <c r="I94" s="87"/>
      <c r="J94" s="79" t="s">
        <v>185</v>
      </c>
      <c r="K94" s="62">
        <v>-10</v>
      </c>
      <c r="L94" s="62">
        <f t="shared" si="15"/>
        <v>577.6700000000003</v>
      </c>
      <c r="M94" s="302"/>
      <c r="N94" s="44" t="str">
        <f t="shared" ref="N94:N125" si="16">B94&amp;D94&amp;F94</f>
        <v>MCSGAST1CPF - Desp. Lazer e Entretenimento - Bares</v>
      </c>
      <c r="O94" s="44" t="str">
        <f t="shared" ref="O94:O125" si="17">D94&amp;F94</f>
        <v>GAST1CPF - Desp. Lazer e Entretenimento - Bares</v>
      </c>
      <c r="P94" s="44" t="str">
        <f t="shared" ref="P94:P125" si="18">"MCS"&amp;D94&amp;F94</f>
        <v>MCSGAST1CPF - Desp. Lazer e Entretenimento - Bares</v>
      </c>
      <c r="Q94" s="44" t="str">
        <f t="shared" ref="Q94:Q125" si="19">"MCS"&amp;D94</f>
        <v>MCSGAST1</v>
      </c>
      <c r="R94" s="44" t="str">
        <f t="shared" ref="R94:R125" si="20">B94&amp;D94</f>
        <v>MCSGAST1</v>
      </c>
      <c r="S94" s="38"/>
      <c r="T94" s="304">
        <f t="shared" ref="T94:T125" si="21">(1&amp;"/"&amp;MONTH(H94)&amp;"/"&amp;YEAR(H94))*1</f>
        <v>46023</v>
      </c>
      <c r="U94" s="304" t="str">
        <f t="shared" ref="U94:U125" si="22">IF(I94="","",(1&amp;"/"&amp;MONTH(I94)&amp;"/"&amp;YEAR(I94))*1)</f>
        <v/>
      </c>
      <c r="V94" s="300" t="s">
        <v>761</v>
      </c>
    </row>
    <row r="95" spans="2:22" s="300" customFormat="1" x14ac:dyDescent="0.25">
      <c r="B95" s="301" t="s">
        <v>25</v>
      </c>
      <c r="C95" s="302"/>
      <c r="D95" s="86" t="str">
        <f>INDEX(Cad_Natureza!$B$3:$C$52,MATCH('2026'!F95,Cad_Natureza!$C$3:$C$52,0),MATCH('2026'!D$2,Cad_Natureza!$B$3:$C$3,0))</f>
        <v>GAST1</v>
      </c>
      <c r="E95" s="84" t="s">
        <v>1277</v>
      </c>
      <c r="F95" s="85" t="s">
        <v>742</v>
      </c>
      <c r="G95" s="86" t="s">
        <v>25</v>
      </c>
      <c r="H95" s="87">
        <v>46048</v>
      </c>
      <c r="I95" s="87"/>
      <c r="J95" s="79" t="s">
        <v>185</v>
      </c>
      <c r="K95" s="62">
        <v>-9.99</v>
      </c>
      <c r="L95" s="62">
        <f t="shared" si="15"/>
        <v>567.68000000000029</v>
      </c>
      <c r="M95" s="302"/>
      <c r="N95" s="44" t="str">
        <f t="shared" si="16"/>
        <v>MCSGAST1CPF - Desp. Lazer e Entretenimento - Bares</v>
      </c>
      <c r="O95" s="44" t="str">
        <f t="shared" si="17"/>
        <v>GAST1CPF - Desp. Lazer e Entretenimento - Bares</v>
      </c>
      <c r="P95" s="44" t="str">
        <f t="shared" si="18"/>
        <v>MCSGAST1CPF - Desp. Lazer e Entretenimento - Bares</v>
      </c>
      <c r="Q95" s="44" t="str">
        <f t="shared" si="19"/>
        <v>MCSGAST1</v>
      </c>
      <c r="R95" s="44" t="str">
        <f t="shared" si="20"/>
        <v>MCSGAST1</v>
      </c>
      <c r="S95" s="38"/>
      <c r="T95" s="304">
        <f t="shared" si="21"/>
        <v>46023</v>
      </c>
      <c r="U95" s="304" t="str">
        <f t="shared" si="22"/>
        <v/>
      </c>
      <c r="V95" s="300" t="s">
        <v>761</v>
      </c>
    </row>
    <row r="96" spans="2:22" s="300" customFormat="1" x14ac:dyDescent="0.25">
      <c r="B96" s="301" t="s">
        <v>25</v>
      </c>
      <c r="C96" s="302"/>
      <c r="D96" s="86" t="str">
        <f>INDEX(Cad_Natureza!$B$3:$C$52,MATCH('2026'!F96,Cad_Natureza!$C$3:$C$52,0),MATCH('2026'!D$2,Cad_Natureza!$B$3:$C$3,0))</f>
        <v>GAST1</v>
      </c>
      <c r="E96" s="84" t="s">
        <v>1278</v>
      </c>
      <c r="F96" s="85" t="s">
        <v>742</v>
      </c>
      <c r="G96" s="86" t="s">
        <v>25</v>
      </c>
      <c r="H96" s="87">
        <v>46048</v>
      </c>
      <c r="I96" s="87"/>
      <c r="J96" s="79" t="s">
        <v>1341</v>
      </c>
      <c r="K96" s="62">
        <v>-11</v>
      </c>
      <c r="L96" s="62">
        <f t="shared" si="15"/>
        <v>556.68000000000029</v>
      </c>
      <c r="M96" s="302"/>
      <c r="N96" s="44" t="str">
        <f t="shared" si="16"/>
        <v>MCSGAST1CPF - Desp. Lazer e Entretenimento - Bares</v>
      </c>
      <c r="O96" s="44" t="str">
        <f t="shared" si="17"/>
        <v>GAST1CPF - Desp. Lazer e Entretenimento - Bares</v>
      </c>
      <c r="P96" s="44" t="str">
        <f t="shared" si="18"/>
        <v>MCSGAST1CPF - Desp. Lazer e Entretenimento - Bares</v>
      </c>
      <c r="Q96" s="44" t="str">
        <f t="shared" si="19"/>
        <v>MCSGAST1</v>
      </c>
      <c r="R96" s="44" t="str">
        <f t="shared" si="20"/>
        <v>MCSGAST1</v>
      </c>
      <c r="S96" s="38"/>
      <c r="T96" s="304">
        <f t="shared" si="21"/>
        <v>46023</v>
      </c>
      <c r="U96" s="304" t="str">
        <f t="shared" si="22"/>
        <v/>
      </c>
      <c r="V96" s="300" t="s">
        <v>761</v>
      </c>
    </row>
    <row r="97" spans="2:22" s="300" customFormat="1" x14ac:dyDescent="0.25">
      <c r="B97" s="301" t="s">
        <v>25</v>
      </c>
      <c r="C97" s="302"/>
      <c r="D97" s="86" t="str">
        <f>INDEX(Cad_Natureza!$B$3:$C$52,MATCH('2026'!F97,Cad_Natureza!$C$3:$C$52,0),MATCH('2026'!D$2,Cad_Natureza!$B$3:$C$3,0))</f>
        <v>OPF1</v>
      </c>
      <c r="E97" s="84" t="s">
        <v>1279</v>
      </c>
      <c r="F97" s="85" t="s">
        <v>744</v>
      </c>
      <c r="G97" s="86" t="s">
        <v>25</v>
      </c>
      <c r="H97" s="87">
        <v>46048</v>
      </c>
      <c r="I97" s="87"/>
      <c r="J97" s="79" t="s">
        <v>182</v>
      </c>
      <c r="K97" s="62">
        <v>-20</v>
      </c>
      <c r="L97" s="62">
        <f t="shared" si="15"/>
        <v>536.68000000000029</v>
      </c>
      <c r="M97" s="302"/>
      <c r="N97" s="44" t="str">
        <f t="shared" si="16"/>
        <v>MCSOPF1CPF - Desp. Alimentação / Refeição</v>
      </c>
      <c r="O97" s="44" t="str">
        <f t="shared" si="17"/>
        <v>OPF1CPF - Desp. Alimentação / Refeição</v>
      </c>
      <c r="P97" s="44" t="str">
        <f t="shared" si="18"/>
        <v>MCSOPF1CPF - Desp. Alimentação / Refeição</v>
      </c>
      <c r="Q97" s="44" t="str">
        <f t="shared" si="19"/>
        <v>MCSOPF1</v>
      </c>
      <c r="R97" s="44" t="str">
        <f t="shared" si="20"/>
        <v>MCSOPF1</v>
      </c>
      <c r="S97" s="38"/>
      <c r="T97" s="304">
        <f t="shared" si="21"/>
        <v>46023</v>
      </c>
      <c r="U97" s="304" t="str">
        <f t="shared" si="22"/>
        <v/>
      </c>
      <c r="V97" s="300" t="s">
        <v>731</v>
      </c>
    </row>
    <row r="98" spans="2:22" s="300" customFormat="1" x14ac:dyDescent="0.25">
      <c r="B98" s="301" t="s">
        <v>25</v>
      </c>
      <c r="C98" s="302"/>
      <c r="D98" s="86" t="str">
        <f>INDEX(Cad_Natureza!$B$3:$C$52,MATCH('2026'!F98,Cad_Natureza!$C$3:$C$52,0),MATCH('2026'!D$2,Cad_Natureza!$B$3:$C$3,0))</f>
        <v>GAST1</v>
      </c>
      <c r="E98" s="84" t="s">
        <v>1280</v>
      </c>
      <c r="F98" s="85" t="s">
        <v>742</v>
      </c>
      <c r="G98" s="86" t="s">
        <v>25</v>
      </c>
      <c r="H98" s="87">
        <v>46048</v>
      </c>
      <c r="I98" s="87"/>
      <c r="J98" s="79" t="s">
        <v>1340</v>
      </c>
      <c r="K98" s="62">
        <v>-9</v>
      </c>
      <c r="L98" s="62">
        <f t="shared" si="15"/>
        <v>527.68000000000029</v>
      </c>
      <c r="M98" s="302"/>
      <c r="N98" s="44" t="str">
        <f t="shared" si="16"/>
        <v>MCSGAST1CPF - Desp. Lazer e Entretenimento - Bares</v>
      </c>
      <c r="O98" s="44" t="str">
        <f t="shared" si="17"/>
        <v>GAST1CPF - Desp. Lazer e Entretenimento - Bares</v>
      </c>
      <c r="P98" s="44" t="str">
        <f t="shared" si="18"/>
        <v>MCSGAST1CPF - Desp. Lazer e Entretenimento - Bares</v>
      </c>
      <c r="Q98" s="44" t="str">
        <f t="shared" si="19"/>
        <v>MCSGAST1</v>
      </c>
      <c r="R98" s="44" t="str">
        <f t="shared" si="20"/>
        <v>MCSGAST1</v>
      </c>
      <c r="S98" s="38"/>
      <c r="T98" s="304">
        <f t="shared" si="21"/>
        <v>46023</v>
      </c>
      <c r="U98" s="304" t="str">
        <f t="shared" si="22"/>
        <v/>
      </c>
      <c r="V98" s="300" t="s">
        <v>731</v>
      </c>
    </row>
    <row r="99" spans="2:22" s="300" customFormat="1" x14ac:dyDescent="0.25">
      <c r="B99" s="301" t="s">
        <v>25</v>
      </c>
      <c r="C99" s="302"/>
      <c r="D99" s="86" t="str">
        <f>INDEX(Cad_Natureza!$B$3:$C$52,MATCH('2026'!F99,Cad_Natureza!$C$3:$C$52,0),MATCH('2026'!D$2,Cad_Natureza!$B$3:$C$3,0))</f>
        <v>OPF1</v>
      </c>
      <c r="E99" s="84" t="s">
        <v>1281</v>
      </c>
      <c r="F99" s="85" t="s">
        <v>744</v>
      </c>
      <c r="G99" s="86" t="s">
        <v>25</v>
      </c>
      <c r="H99" s="87">
        <v>46049</v>
      </c>
      <c r="I99" s="87"/>
      <c r="J99" s="79" t="s">
        <v>182</v>
      </c>
      <c r="K99" s="62">
        <v>-20</v>
      </c>
      <c r="L99" s="62">
        <f t="shared" si="15"/>
        <v>507.68000000000029</v>
      </c>
      <c r="M99" s="302"/>
      <c r="N99" s="44" t="str">
        <f t="shared" si="16"/>
        <v>MCSOPF1CPF - Desp. Alimentação / Refeição</v>
      </c>
      <c r="O99" s="44" t="str">
        <f t="shared" si="17"/>
        <v>OPF1CPF - Desp. Alimentação / Refeição</v>
      </c>
      <c r="P99" s="44" t="str">
        <f t="shared" si="18"/>
        <v>MCSOPF1CPF - Desp. Alimentação / Refeição</v>
      </c>
      <c r="Q99" s="44" t="str">
        <f t="shared" si="19"/>
        <v>MCSOPF1</v>
      </c>
      <c r="R99" s="44" t="str">
        <f t="shared" si="20"/>
        <v>MCSOPF1</v>
      </c>
      <c r="S99" s="38"/>
      <c r="T99" s="304">
        <f t="shared" si="21"/>
        <v>46023</v>
      </c>
      <c r="U99" s="304" t="str">
        <f t="shared" si="22"/>
        <v/>
      </c>
      <c r="V99" s="300" t="s">
        <v>761</v>
      </c>
    </row>
    <row r="100" spans="2:22" s="300" customFormat="1" x14ac:dyDescent="0.25">
      <c r="B100" s="301" t="s">
        <v>25</v>
      </c>
      <c r="C100" s="302"/>
      <c r="D100" s="86" t="str">
        <f>INDEX(Cad_Natureza!$B$3:$C$52,MATCH('2026'!F100,Cad_Natureza!$C$3:$C$52,0),MATCH('2026'!D$2,Cad_Natureza!$B$3:$C$3,0))</f>
        <v>GAST1</v>
      </c>
      <c r="E100" s="84" t="s">
        <v>1282</v>
      </c>
      <c r="F100" s="85" t="s">
        <v>742</v>
      </c>
      <c r="G100" s="86" t="s">
        <v>25</v>
      </c>
      <c r="H100" s="87">
        <v>46049</v>
      </c>
      <c r="I100" s="87"/>
      <c r="J100" s="79" t="s">
        <v>1340</v>
      </c>
      <c r="K100" s="62">
        <v>-16</v>
      </c>
      <c r="L100" s="62">
        <f t="shared" si="15"/>
        <v>491.68000000000029</v>
      </c>
      <c r="M100" s="302"/>
      <c r="N100" s="44" t="str">
        <f t="shared" si="16"/>
        <v>MCSGAST1CPF - Desp. Lazer e Entretenimento - Bares</v>
      </c>
      <c r="O100" s="44" t="str">
        <f t="shared" si="17"/>
        <v>GAST1CPF - Desp. Lazer e Entretenimento - Bares</v>
      </c>
      <c r="P100" s="44" t="str">
        <f t="shared" si="18"/>
        <v>MCSGAST1CPF - Desp. Lazer e Entretenimento - Bares</v>
      </c>
      <c r="Q100" s="44" t="str">
        <f t="shared" si="19"/>
        <v>MCSGAST1</v>
      </c>
      <c r="R100" s="44" t="str">
        <f t="shared" si="20"/>
        <v>MCSGAST1</v>
      </c>
      <c r="S100" s="38"/>
      <c r="T100" s="304">
        <f t="shared" si="21"/>
        <v>46023</v>
      </c>
      <c r="U100" s="304" t="str">
        <f t="shared" si="22"/>
        <v/>
      </c>
      <c r="V100" s="300" t="s">
        <v>761</v>
      </c>
    </row>
    <row r="101" spans="2:22" s="300" customFormat="1" x14ac:dyDescent="0.25">
      <c r="B101" s="301" t="s">
        <v>25</v>
      </c>
      <c r="C101" s="302"/>
      <c r="D101" s="86" t="str">
        <f>INDEX(Cad_Natureza!$B$3:$C$52,MATCH('2026'!F101,Cad_Natureza!$C$3:$C$52,0),MATCH('2026'!D$2,Cad_Natureza!$B$3:$C$3,0))</f>
        <v>OPF2</v>
      </c>
      <c r="E101" s="84" t="s">
        <v>1283</v>
      </c>
      <c r="F101" s="85" t="s">
        <v>741</v>
      </c>
      <c r="G101" s="86" t="s">
        <v>25</v>
      </c>
      <c r="H101" s="87">
        <v>46050</v>
      </c>
      <c r="I101" s="87"/>
      <c r="J101" s="79" t="s">
        <v>184</v>
      </c>
      <c r="K101" s="62">
        <v>-50</v>
      </c>
      <c r="L101" s="62">
        <f t="shared" si="15"/>
        <v>441.68000000000029</v>
      </c>
      <c r="M101" s="302"/>
      <c r="N101" s="44" t="str">
        <f t="shared" si="16"/>
        <v>MCSOPF2CPF - Desp. Transporte / Combustível</v>
      </c>
      <c r="O101" s="44" t="str">
        <f t="shared" si="17"/>
        <v>OPF2CPF - Desp. Transporte / Combustível</v>
      </c>
      <c r="P101" s="44" t="str">
        <f t="shared" si="18"/>
        <v>MCSOPF2CPF - Desp. Transporte / Combustível</v>
      </c>
      <c r="Q101" s="44" t="str">
        <f t="shared" si="19"/>
        <v>MCSOPF2</v>
      </c>
      <c r="R101" s="44" t="str">
        <f t="shared" si="20"/>
        <v>MCSOPF2</v>
      </c>
      <c r="S101" s="38"/>
      <c r="T101" s="304">
        <f t="shared" si="21"/>
        <v>46023</v>
      </c>
      <c r="U101" s="304" t="str">
        <f t="shared" si="22"/>
        <v/>
      </c>
      <c r="V101" s="300" t="s">
        <v>761</v>
      </c>
    </row>
    <row r="102" spans="2:22" s="300" customFormat="1" x14ac:dyDescent="0.25">
      <c r="B102" s="301" t="s">
        <v>25</v>
      </c>
      <c r="C102" s="302"/>
      <c r="D102" s="86" t="str">
        <f>INDEX(Cad_Natureza!$B$3:$C$52,MATCH('2026'!F102,Cad_Natureza!$C$3:$C$52,0),MATCH('2026'!D$2,Cad_Natureza!$B$3:$C$3,0))</f>
        <v>OPF1</v>
      </c>
      <c r="E102" s="84" t="s">
        <v>1284</v>
      </c>
      <c r="F102" s="85" t="s">
        <v>744</v>
      </c>
      <c r="G102" s="86" t="s">
        <v>25</v>
      </c>
      <c r="H102" s="87">
        <v>46050</v>
      </c>
      <c r="I102" s="87"/>
      <c r="J102" s="79" t="s">
        <v>182</v>
      </c>
      <c r="K102" s="62">
        <v>-19</v>
      </c>
      <c r="L102" s="62">
        <f t="shared" si="15"/>
        <v>422.68000000000029</v>
      </c>
      <c r="M102" s="302"/>
      <c r="N102" s="44" t="str">
        <f t="shared" si="16"/>
        <v>MCSOPF1CPF - Desp. Alimentação / Refeição</v>
      </c>
      <c r="O102" s="44" t="str">
        <f t="shared" si="17"/>
        <v>OPF1CPF - Desp. Alimentação / Refeição</v>
      </c>
      <c r="P102" s="44" t="str">
        <f t="shared" si="18"/>
        <v>MCSOPF1CPF - Desp. Alimentação / Refeição</v>
      </c>
      <c r="Q102" s="44" t="str">
        <f t="shared" si="19"/>
        <v>MCSOPF1</v>
      </c>
      <c r="R102" s="44" t="str">
        <f t="shared" si="20"/>
        <v>MCSOPF1</v>
      </c>
      <c r="S102" s="38"/>
      <c r="T102" s="304">
        <f t="shared" si="21"/>
        <v>46023</v>
      </c>
      <c r="U102" s="304" t="str">
        <f t="shared" si="22"/>
        <v/>
      </c>
      <c r="V102" s="300" t="s">
        <v>761</v>
      </c>
    </row>
    <row r="103" spans="2:22" s="300" customFormat="1" x14ac:dyDescent="0.25">
      <c r="B103" s="301" t="s">
        <v>25</v>
      </c>
      <c r="C103" s="302"/>
      <c r="D103" s="86" t="str">
        <f>INDEX(Cad_Natureza!$B$3:$C$52,MATCH('2026'!F103,Cad_Natureza!$C$3:$C$52,0),MATCH('2026'!D$2,Cad_Natureza!$B$3:$C$3,0))</f>
        <v>GAST1</v>
      </c>
      <c r="E103" s="84" t="s">
        <v>1285</v>
      </c>
      <c r="F103" s="85" t="s">
        <v>742</v>
      </c>
      <c r="G103" s="86" t="s">
        <v>25</v>
      </c>
      <c r="H103" s="87">
        <v>46050</v>
      </c>
      <c r="I103" s="87"/>
      <c r="J103" s="79" t="s">
        <v>1340</v>
      </c>
      <c r="K103" s="62">
        <v>-49</v>
      </c>
      <c r="L103" s="62">
        <f t="shared" si="15"/>
        <v>373.68000000000029</v>
      </c>
      <c r="M103" s="302"/>
      <c r="N103" s="44" t="str">
        <f t="shared" si="16"/>
        <v>MCSGAST1CPF - Desp. Lazer e Entretenimento - Bares</v>
      </c>
      <c r="O103" s="44" t="str">
        <f t="shared" si="17"/>
        <v>GAST1CPF - Desp. Lazer e Entretenimento - Bares</v>
      </c>
      <c r="P103" s="44" t="str">
        <f t="shared" si="18"/>
        <v>MCSGAST1CPF - Desp. Lazer e Entretenimento - Bares</v>
      </c>
      <c r="Q103" s="44" t="str">
        <f t="shared" si="19"/>
        <v>MCSGAST1</v>
      </c>
      <c r="R103" s="44" t="str">
        <f t="shared" si="20"/>
        <v>MCSGAST1</v>
      </c>
      <c r="S103" s="38"/>
      <c r="T103" s="304">
        <f t="shared" si="21"/>
        <v>46023</v>
      </c>
      <c r="U103" s="304" t="str">
        <f t="shared" si="22"/>
        <v/>
      </c>
      <c r="V103" s="300" t="s">
        <v>761</v>
      </c>
    </row>
    <row r="104" spans="2:22" s="300" customFormat="1" x14ac:dyDescent="0.25">
      <c r="B104" s="301" t="s">
        <v>25</v>
      </c>
      <c r="C104" s="302"/>
      <c r="D104" s="86" t="str">
        <f>INDEX(Cad_Natureza!$B$3:$C$52,MATCH('2026'!F104,Cad_Natureza!$C$3:$C$52,0),MATCH('2026'!D$2,Cad_Natureza!$B$3:$C$3,0))</f>
        <v>OPF1</v>
      </c>
      <c r="E104" s="84" t="s">
        <v>1286</v>
      </c>
      <c r="F104" s="85" t="s">
        <v>744</v>
      </c>
      <c r="G104" s="86" t="s">
        <v>25</v>
      </c>
      <c r="H104" s="87">
        <v>46051</v>
      </c>
      <c r="I104" s="87"/>
      <c r="J104" s="79" t="s">
        <v>182</v>
      </c>
      <c r="K104" s="62">
        <v>-19</v>
      </c>
      <c r="L104" s="62">
        <f t="shared" si="15"/>
        <v>354.68000000000029</v>
      </c>
      <c r="M104" s="302"/>
      <c r="N104" s="44" t="str">
        <f t="shared" si="16"/>
        <v>MCSOPF1CPF - Desp. Alimentação / Refeição</v>
      </c>
      <c r="O104" s="44" t="str">
        <f t="shared" si="17"/>
        <v>OPF1CPF - Desp. Alimentação / Refeição</v>
      </c>
      <c r="P104" s="44" t="str">
        <f t="shared" si="18"/>
        <v>MCSOPF1CPF - Desp. Alimentação / Refeição</v>
      </c>
      <c r="Q104" s="44" t="str">
        <f t="shared" si="19"/>
        <v>MCSOPF1</v>
      </c>
      <c r="R104" s="44" t="str">
        <f t="shared" si="20"/>
        <v>MCSOPF1</v>
      </c>
      <c r="S104" s="38"/>
      <c r="T104" s="304">
        <f t="shared" si="21"/>
        <v>46023</v>
      </c>
      <c r="U104" s="304" t="str">
        <f t="shared" si="22"/>
        <v/>
      </c>
      <c r="V104" s="300" t="s">
        <v>761</v>
      </c>
    </row>
    <row r="105" spans="2:22" s="300" customFormat="1" x14ac:dyDescent="0.25">
      <c r="B105" s="301" t="s">
        <v>25</v>
      </c>
      <c r="C105" s="302"/>
      <c r="D105" s="86" t="str">
        <f>INDEX(Cad_Natureza!$B$3:$C$52,MATCH('2026'!F105,Cad_Natureza!$C$3:$C$52,0),MATCH('2026'!D$2,Cad_Natureza!$B$3:$C$3,0))</f>
        <v>GAST2</v>
      </c>
      <c r="E105" s="84" t="s">
        <v>1287</v>
      </c>
      <c r="F105" s="85" t="s">
        <v>743</v>
      </c>
      <c r="G105" s="86" t="s">
        <v>25</v>
      </c>
      <c r="H105" s="87">
        <v>46051</v>
      </c>
      <c r="I105" s="87"/>
      <c r="J105" s="79" t="s">
        <v>180</v>
      </c>
      <c r="K105" s="62">
        <v>-5</v>
      </c>
      <c r="L105" s="62">
        <f t="shared" si="15"/>
        <v>349.68000000000029</v>
      </c>
      <c r="M105" s="302"/>
      <c r="N105" s="44" t="str">
        <f t="shared" si="16"/>
        <v>MCSGAST2CPF - Desp. Lazer e Entretenimento - Cigarro</v>
      </c>
      <c r="O105" s="44" t="str">
        <f t="shared" si="17"/>
        <v>GAST2CPF - Desp. Lazer e Entretenimento - Cigarro</v>
      </c>
      <c r="P105" s="44" t="str">
        <f t="shared" si="18"/>
        <v>MCSGAST2CPF - Desp. Lazer e Entretenimento - Cigarro</v>
      </c>
      <c r="Q105" s="44" t="str">
        <f t="shared" si="19"/>
        <v>MCSGAST2</v>
      </c>
      <c r="R105" s="44" t="str">
        <f t="shared" si="20"/>
        <v>MCSGAST2</v>
      </c>
      <c r="S105" s="38"/>
      <c r="T105" s="304">
        <f t="shared" si="21"/>
        <v>46023</v>
      </c>
      <c r="U105" s="304" t="str">
        <f t="shared" si="22"/>
        <v/>
      </c>
      <c r="V105" s="300" t="s">
        <v>731</v>
      </c>
    </row>
    <row r="106" spans="2:22" s="300" customFormat="1" x14ac:dyDescent="0.25">
      <c r="B106" s="301" t="s">
        <v>25</v>
      </c>
      <c r="C106" s="302"/>
      <c r="D106" s="86" t="str">
        <f>INDEX(Cad_Natureza!$B$3:$C$52,MATCH('2026'!F106,Cad_Natureza!$C$3:$C$52,0),MATCH('2026'!D$2,Cad_Natureza!$B$3:$C$3,0))</f>
        <v>OPF2</v>
      </c>
      <c r="E106" s="84" t="s">
        <v>1288</v>
      </c>
      <c r="F106" s="85" t="s">
        <v>741</v>
      </c>
      <c r="G106" s="86" t="s">
        <v>25</v>
      </c>
      <c r="H106" s="87">
        <v>46051</v>
      </c>
      <c r="I106" s="87"/>
      <c r="J106" s="79" t="s">
        <v>184</v>
      </c>
      <c r="K106" s="62">
        <v>-50</v>
      </c>
      <c r="L106" s="62">
        <f t="shared" si="15"/>
        <v>299.68000000000029</v>
      </c>
      <c r="M106" s="302"/>
      <c r="N106" s="44" t="str">
        <f t="shared" si="16"/>
        <v>MCSOPF2CPF - Desp. Transporte / Combustível</v>
      </c>
      <c r="O106" s="44" t="str">
        <f t="shared" si="17"/>
        <v>OPF2CPF - Desp. Transporte / Combustível</v>
      </c>
      <c r="P106" s="44" t="str">
        <f t="shared" si="18"/>
        <v>MCSOPF2CPF - Desp. Transporte / Combustível</v>
      </c>
      <c r="Q106" s="44" t="str">
        <f t="shared" si="19"/>
        <v>MCSOPF2</v>
      </c>
      <c r="R106" s="44" t="str">
        <f t="shared" si="20"/>
        <v>MCSOPF2</v>
      </c>
      <c r="S106" s="38"/>
      <c r="T106" s="304">
        <f t="shared" si="21"/>
        <v>46023</v>
      </c>
      <c r="U106" s="304" t="str">
        <f t="shared" si="22"/>
        <v/>
      </c>
      <c r="V106" s="300" t="s">
        <v>731</v>
      </c>
    </row>
    <row r="107" spans="2:22" s="300" customFormat="1" x14ac:dyDescent="0.25">
      <c r="B107" s="301" t="s">
        <v>25</v>
      </c>
      <c r="C107" s="302"/>
      <c r="D107" s="86" t="str">
        <f>INDEX(Cad_Natureza!$B$3:$C$52,MATCH('2026'!F107,Cad_Natureza!$C$3:$C$52,0),MATCH('2026'!D$2,Cad_Natureza!$B$3:$C$3,0))</f>
        <v>GAST1</v>
      </c>
      <c r="E107" s="84" t="s">
        <v>1289</v>
      </c>
      <c r="F107" s="85" t="s">
        <v>742</v>
      </c>
      <c r="G107" s="86" t="s">
        <v>25</v>
      </c>
      <c r="H107" s="87">
        <v>46051</v>
      </c>
      <c r="I107" s="87"/>
      <c r="J107" s="79" t="s">
        <v>1340</v>
      </c>
      <c r="K107" s="62">
        <v>-25</v>
      </c>
      <c r="L107" s="62">
        <f t="shared" si="15"/>
        <v>274.68000000000029</v>
      </c>
      <c r="M107" s="302"/>
      <c r="N107" s="44" t="str">
        <f t="shared" si="16"/>
        <v>MCSGAST1CPF - Desp. Lazer e Entretenimento - Bares</v>
      </c>
      <c r="O107" s="44" t="str">
        <f t="shared" si="17"/>
        <v>GAST1CPF - Desp. Lazer e Entretenimento - Bares</v>
      </c>
      <c r="P107" s="44" t="str">
        <f t="shared" si="18"/>
        <v>MCSGAST1CPF - Desp. Lazer e Entretenimento - Bares</v>
      </c>
      <c r="Q107" s="44" t="str">
        <f t="shared" si="19"/>
        <v>MCSGAST1</v>
      </c>
      <c r="R107" s="44" t="str">
        <f t="shared" si="20"/>
        <v>MCSGAST1</v>
      </c>
      <c r="S107" s="38"/>
      <c r="T107" s="304">
        <f t="shared" si="21"/>
        <v>46023</v>
      </c>
      <c r="U107" s="304" t="str">
        <f t="shared" si="22"/>
        <v/>
      </c>
      <c r="V107" s="300" t="s">
        <v>761</v>
      </c>
    </row>
    <row r="108" spans="2:22" s="300" customFormat="1" x14ac:dyDescent="0.25">
      <c r="B108" s="301" t="s">
        <v>25</v>
      </c>
      <c r="C108" s="302"/>
      <c r="D108" s="86" t="str">
        <f>INDEX(Cad_Natureza!$B$3:$C$52,MATCH('2026'!F108,Cad_Natureza!$C$3:$C$52,0),MATCH('2026'!D$2,Cad_Natureza!$B$3:$C$3,0))</f>
        <v>OPF2</v>
      </c>
      <c r="E108" s="84" t="s">
        <v>1290</v>
      </c>
      <c r="F108" s="85" t="s">
        <v>741</v>
      </c>
      <c r="G108" s="86" t="s">
        <v>25</v>
      </c>
      <c r="H108" s="87">
        <v>46052</v>
      </c>
      <c r="I108" s="87"/>
      <c r="J108" s="79" t="s">
        <v>184</v>
      </c>
      <c r="K108" s="62">
        <v>-50</v>
      </c>
      <c r="L108" s="62">
        <f t="shared" si="15"/>
        <v>224.68000000000029</v>
      </c>
      <c r="M108" s="302"/>
      <c r="N108" s="44" t="str">
        <f t="shared" si="16"/>
        <v>MCSOPF2CPF - Desp. Transporte / Combustível</v>
      </c>
      <c r="O108" s="44" t="str">
        <f t="shared" si="17"/>
        <v>OPF2CPF - Desp. Transporte / Combustível</v>
      </c>
      <c r="P108" s="44" t="str">
        <f t="shared" si="18"/>
        <v>MCSOPF2CPF - Desp. Transporte / Combustível</v>
      </c>
      <c r="Q108" s="44" t="str">
        <f t="shared" si="19"/>
        <v>MCSOPF2</v>
      </c>
      <c r="R108" s="44" t="str">
        <f t="shared" si="20"/>
        <v>MCSOPF2</v>
      </c>
      <c r="S108" s="38"/>
      <c r="T108" s="304">
        <f t="shared" si="21"/>
        <v>46023</v>
      </c>
      <c r="U108" s="304" t="str">
        <f t="shared" si="22"/>
        <v/>
      </c>
      <c r="V108" s="300" t="s">
        <v>761</v>
      </c>
    </row>
    <row r="109" spans="2:22" s="300" customFormat="1" x14ac:dyDescent="0.25">
      <c r="B109" s="301" t="s">
        <v>25</v>
      </c>
      <c r="C109" s="302"/>
      <c r="D109" s="86" t="str">
        <f>INDEX(Cad_Natureza!$B$3:$C$52,MATCH('2026'!F109,Cad_Natureza!$C$3:$C$52,0),MATCH('2026'!D$2,Cad_Natureza!$B$3:$C$3,0))</f>
        <v>GAST1</v>
      </c>
      <c r="E109" s="84" t="s">
        <v>1291</v>
      </c>
      <c r="F109" s="85" t="s">
        <v>742</v>
      </c>
      <c r="G109" s="86" t="s">
        <v>25</v>
      </c>
      <c r="H109" s="87">
        <v>46052</v>
      </c>
      <c r="I109" s="87"/>
      <c r="J109" s="79" t="s">
        <v>185</v>
      </c>
      <c r="K109" s="62">
        <v>-60</v>
      </c>
      <c r="L109" s="62">
        <f t="shared" si="15"/>
        <v>164.68000000000029</v>
      </c>
      <c r="M109" s="302"/>
      <c r="N109" s="44" t="str">
        <f t="shared" si="16"/>
        <v>MCSGAST1CPF - Desp. Lazer e Entretenimento - Bares</v>
      </c>
      <c r="O109" s="44" t="str">
        <f t="shared" si="17"/>
        <v>GAST1CPF - Desp. Lazer e Entretenimento - Bares</v>
      </c>
      <c r="P109" s="44" t="str">
        <f t="shared" si="18"/>
        <v>MCSGAST1CPF - Desp. Lazer e Entretenimento - Bares</v>
      </c>
      <c r="Q109" s="44" t="str">
        <f t="shared" si="19"/>
        <v>MCSGAST1</v>
      </c>
      <c r="R109" s="44" t="str">
        <f t="shared" si="20"/>
        <v>MCSGAST1</v>
      </c>
      <c r="S109" s="38"/>
      <c r="T109" s="304">
        <f t="shared" si="21"/>
        <v>46023</v>
      </c>
      <c r="U109" s="304" t="str">
        <f t="shared" si="22"/>
        <v/>
      </c>
      <c r="V109" s="300" t="s">
        <v>761</v>
      </c>
    </row>
    <row r="110" spans="2:22" s="300" customFormat="1" x14ac:dyDescent="0.25">
      <c r="B110" s="301" t="s">
        <v>25</v>
      </c>
      <c r="C110" s="302"/>
      <c r="D110" s="86" t="str">
        <f>INDEX(Cad_Natureza!$B$3:$C$52,MATCH('2026'!F110,Cad_Natureza!$C$3:$C$52,0),MATCH('2026'!D$2,Cad_Natureza!$B$3:$C$3,0))</f>
        <v>GAST1</v>
      </c>
      <c r="E110" s="84" t="s">
        <v>1292</v>
      </c>
      <c r="F110" s="85" t="s">
        <v>742</v>
      </c>
      <c r="G110" s="86" t="s">
        <v>25</v>
      </c>
      <c r="H110" s="87">
        <v>46052</v>
      </c>
      <c r="I110" s="87"/>
      <c r="J110" s="79" t="s">
        <v>1339</v>
      </c>
      <c r="K110" s="62">
        <v>-12</v>
      </c>
      <c r="L110" s="62">
        <f t="shared" si="15"/>
        <v>152.68000000000029</v>
      </c>
      <c r="M110" s="302"/>
      <c r="N110" s="44" t="str">
        <f t="shared" si="16"/>
        <v>MCSGAST1CPF - Desp. Lazer e Entretenimento - Bares</v>
      </c>
      <c r="O110" s="44" t="str">
        <f t="shared" si="17"/>
        <v>GAST1CPF - Desp. Lazer e Entretenimento - Bares</v>
      </c>
      <c r="P110" s="44" t="str">
        <f t="shared" si="18"/>
        <v>MCSGAST1CPF - Desp. Lazer e Entretenimento - Bares</v>
      </c>
      <c r="Q110" s="44" t="str">
        <f t="shared" si="19"/>
        <v>MCSGAST1</v>
      </c>
      <c r="R110" s="44" t="str">
        <f t="shared" si="20"/>
        <v>MCSGAST1</v>
      </c>
      <c r="S110" s="38"/>
      <c r="T110" s="304">
        <f t="shared" si="21"/>
        <v>46023</v>
      </c>
      <c r="U110" s="304" t="str">
        <f t="shared" si="22"/>
        <v/>
      </c>
      <c r="V110" s="300" t="s">
        <v>761</v>
      </c>
    </row>
    <row r="111" spans="2:22" s="300" customFormat="1" x14ac:dyDescent="0.25">
      <c r="B111" s="301" t="s">
        <v>25</v>
      </c>
      <c r="C111" s="302"/>
      <c r="D111" s="86" t="str">
        <f>INDEX(Cad_Natureza!$B$3:$C$52,MATCH('2026'!F111,Cad_Natureza!$C$3:$C$52,0),MATCH('2026'!D$2,Cad_Natureza!$B$3:$C$3,0))</f>
        <v>GAST1</v>
      </c>
      <c r="E111" s="84" t="s">
        <v>1293</v>
      </c>
      <c r="F111" s="85" t="s">
        <v>742</v>
      </c>
      <c r="G111" s="86" t="s">
        <v>25</v>
      </c>
      <c r="H111" s="87">
        <v>46055</v>
      </c>
      <c r="I111" s="87"/>
      <c r="J111" s="79" t="s">
        <v>1339</v>
      </c>
      <c r="K111" s="62">
        <v>-15</v>
      </c>
      <c r="L111" s="62">
        <f t="shared" si="15"/>
        <v>137.68000000000029</v>
      </c>
      <c r="M111" s="302"/>
      <c r="N111" s="44" t="str">
        <f t="shared" si="16"/>
        <v>MCSGAST1CPF - Desp. Lazer e Entretenimento - Bares</v>
      </c>
      <c r="O111" s="44" t="str">
        <f t="shared" si="17"/>
        <v>GAST1CPF - Desp. Lazer e Entretenimento - Bares</v>
      </c>
      <c r="P111" s="44" t="str">
        <f t="shared" si="18"/>
        <v>MCSGAST1CPF - Desp. Lazer e Entretenimento - Bares</v>
      </c>
      <c r="Q111" s="44" t="str">
        <f t="shared" si="19"/>
        <v>MCSGAST1</v>
      </c>
      <c r="R111" s="44" t="str">
        <f t="shared" si="20"/>
        <v>MCSGAST1</v>
      </c>
      <c r="S111" s="38"/>
      <c r="T111" s="304">
        <f t="shared" si="21"/>
        <v>46054</v>
      </c>
      <c r="U111" s="304" t="str">
        <f t="shared" si="22"/>
        <v/>
      </c>
      <c r="V111" s="300" t="s">
        <v>761</v>
      </c>
    </row>
    <row r="112" spans="2:22" s="300" customFormat="1" x14ac:dyDescent="0.25">
      <c r="B112" s="301" t="s">
        <v>25</v>
      </c>
      <c r="C112" s="302"/>
      <c r="D112" s="86" t="str">
        <f>INDEX(Cad_Natureza!$B$3:$C$52,MATCH('2026'!F112,Cad_Natureza!$C$3:$C$52,0),MATCH('2026'!D$2,Cad_Natureza!$B$3:$C$3,0))</f>
        <v>GAST1</v>
      </c>
      <c r="E112" s="84" t="s">
        <v>1294</v>
      </c>
      <c r="F112" s="85" t="s">
        <v>742</v>
      </c>
      <c r="G112" s="86" t="s">
        <v>25</v>
      </c>
      <c r="H112" s="87">
        <v>46055</v>
      </c>
      <c r="I112" s="87"/>
      <c r="J112" s="79" t="s">
        <v>1339</v>
      </c>
      <c r="K112" s="62">
        <v>-6</v>
      </c>
      <c r="L112" s="62">
        <f t="shared" si="15"/>
        <v>131.68000000000029</v>
      </c>
      <c r="M112" s="302"/>
      <c r="N112" s="44" t="str">
        <f t="shared" si="16"/>
        <v>MCSGAST1CPF - Desp. Lazer e Entretenimento - Bares</v>
      </c>
      <c r="O112" s="44" t="str">
        <f t="shared" si="17"/>
        <v>GAST1CPF - Desp. Lazer e Entretenimento - Bares</v>
      </c>
      <c r="P112" s="44" t="str">
        <f t="shared" si="18"/>
        <v>MCSGAST1CPF - Desp. Lazer e Entretenimento - Bares</v>
      </c>
      <c r="Q112" s="44" t="str">
        <f t="shared" si="19"/>
        <v>MCSGAST1</v>
      </c>
      <c r="R112" s="44" t="str">
        <f t="shared" si="20"/>
        <v>MCSGAST1</v>
      </c>
      <c r="S112" s="38"/>
      <c r="T112" s="304">
        <f t="shared" si="21"/>
        <v>46054</v>
      </c>
      <c r="U112" s="304" t="str">
        <f t="shared" si="22"/>
        <v/>
      </c>
      <c r="V112" s="300" t="s">
        <v>761</v>
      </c>
    </row>
    <row r="113" spans="2:22" s="300" customFormat="1" x14ac:dyDescent="0.25">
      <c r="B113" s="301" t="s">
        <v>25</v>
      </c>
      <c r="C113" s="302"/>
      <c r="D113" s="86" t="str">
        <f>INDEX(Cad_Natureza!$B$3:$C$52,MATCH('2026'!F113,Cad_Natureza!$C$3:$C$52,0),MATCH('2026'!D$2,Cad_Natureza!$B$3:$C$3,0))</f>
        <v>GAST1</v>
      </c>
      <c r="E113" s="84" t="s">
        <v>1293</v>
      </c>
      <c r="F113" s="85" t="s">
        <v>742</v>
      </c>
      <c r="G113" s="86" t="s">
        <v>25</v>
      </c>
      <c r="H113" s="87">
        <v>46055</v>
      </c>
      <c r="I113" s="87"/>
      <c r="J113" s="79" t="s">
        <v>1339</v>
      </c>
      <c r="K113" s="62">
        <v>-6</v>
      </c>
      <c r="L113" s="62">
        <f t="shared" si="15"/>
        <v>125.68000000000029</v>
      </c>
      <c r="M113" s="302"/>
      <c r="N113" s="44" t="str">
        <f t="shared" si="16"/>
        <v>MCSGAST1CPF - Desp. Lazer e Entretenimento - Bares</v>
      </c>
      <c r="O113" s="44" t="str">
        <f t="shared" si="17"/>
        <v>GAST1CPF - Desp. Lazer e Entretenimento - Bares</v>
      </c>
      <c r="P113" s="44" t="str">
        <f t="shared" si="18"/>
        <v>MCSGAST1CPF - Desp. Lazer e Entretenimento - Bares</v>
      </c>
      <c r="Q113" s="44" t="str">
        <f t="shared" si="19"/>
        <v>MCSGAST1</v>
      </c>
      <c r="R113" s="44" t="str">
        <f t="shared" si="20"/>
        <v>MCSGAST1</v>
      </c>
      <c r="S113" s="38"/>
      <c r="T113" s="304">
        <f t="shared" si="21"/>
        <v>46054</v>
      </c>
      <c r="U113" s="304" t="str">
        <f t="shared" si="22"/>
        <v/>
      </c>
      <c r="V113" s="300" t="s">
        <v>731</v>
      </c>
    </row>
    <row r="114" spans="2:22" s="300" customFormat="1" x14ac:dyDescent="0.25">
      <c r="B114" s="301" t="s">
        <v>25</v>
      </c>
      <c r="C114" s="302"/>
      <c r="D114" s="86" t="str">
        <f>INDEX(Cad_Natureza!$B$3:$C$52,MATCH('2026'!F114,Cad_Natureza!$C$3:$C$52,0),MATCH('2026'!D$2,Cad_Natureza!$B$3:$C$3,0))</f>
        <v>GAST2</v>
      </c>
      <c r="E114" s="84" t="s">
        <v>1295</v>
      </c>
      <c r="F114" s="85" t="s">
        <v>743</v>
      </c>
      <c r="G114" s="86" t="s">
        <v>25</v>
      </c>
      <c r="H114" s="87">
        <v>46055</v>
      </c>
      <c r="I114" s="87"/>
      <c r="J114" s="79" t="s">
        <v>1338</v>
      </c>
      <c r="K114" s="62">
        <v>-5</v>
      </c>
      <c r="L114" s="62">
        <f t="shared" si="15"/>
        <v>120.68000000000029</v>
      </c>
      <c r="M114" s="302"/>
      <c r="N114" s="44" t="str">
        <f t="shared" si="16"/>
        <v>MCSGAST2CPF - Desp. Lazer e Entretenimento - Cigarro</v>
      </c>
      <c r="O114" s="44" t="str">
        <f t="shared" si="17"/>
        <v>GAST2CPF - Desp. Lazer e Entretenimento - Cigarro</v>
      </c>
      <c r="P114" s="44" t="str">
        <f t="shared" si="18"/>
        <v>MCSGAST2CPF - Desp. Lazer e Entretenimento - Cigarro</v>
      </c>
      <c r="Q114" s="44" t="str">
        <f t="shared" si="19"/>
        <v>MCSGAST2</v>
      </c>
      <c r="R114" s="44" t="str">
        <f t="shared" si="20"/>
        <v>MCSGAST2</v>
      </c>
      <c r="S114" s="38"/>
      <c r="T114" s="304">
        <f t="shared" si="21"/>
        <v>46054</v>
      </c>
      <c r="U114" s="304" t="str">
        <f t="shared" si="22"/>
        <v/>
      </c>
      <c r="V114" s="300" t="s">
        <v>731</v>
      </c>
    </row>
    <row r="115" spans="2:22" s="300" customFormat="1" x14ac:dyDescent="0.25">
      <c r="B115" s="301" t="s">
        <v>25</v>
      </c>
      <c r="C115" s="302"/>
      <c r="D115" s="86" t="str">
        <f>INDEX(Cad_Natureza!$B$3:$C$52,MATCH('2026'!F115,Cad_Natureza!$C$3:$C$52,0),MATCH('2026'!D$2,Cad_Natureza!$B$3:$C$3,0))</f>
        <v>OPF1</v>
      </c>
      <c r="E115" s="84" t="s">
        <v>1296</v>
      </c>
      <c r="F115" s="85" t="s">
        <v>744</v>
      </c>
      <c r="G115" s="86" t="s">
        <v>25</v>
      </c>
      <c r="H115" s="87">
        <v>46055</v>
      </c>
      <c r="I115" s="87"/>
      <c r="J115" s="79" t="s">
        <v>182</v>
      </c>
      <c r="K115" s="62">
        <v>-20</v>
      </c>
      <c r="L115" s="62">
        <f t="shared" si="15"/>
        <v>100.68000000000029</v>
      </c>
      <c r="M115" s="302"/>
      <c r="N115" s="44" t="str">
        <f t="shared" si="16"/>
        <v>MCSOPF1CPF - Desp. Alimentação / Refeição</v>
      </c>
      <c r="O115" s="44" t="str">
        <f t="shared" si="17"/>
        <v>OPF1CPF - Desp. Alimentação / Refeição</v>
      </c>
      <c r="P115" s="44" t="str">
        <f t="shared" si="18"/>
        <v>MCSOPF1CPF - Desp. Alimentação / Refeição</v>
      </c>
      <c r="Q115" s="44" t="str">
        <f t="shared" si="19"/>
        <v>MCSOPF1</v>
      </c>
      <c r="R115" s="44" t="str">
        <f t="shared" si="20"/>
        <v>MCSOPF1</v>
      </c>
      <c r="S115" s="38"/>
      <c r="T115" s="304">
        <f t="shared" si="21"/>
        <v>46054</v>
      </c>
      <c r="U115" s="304" t="str">
        <f t="shared" si="22"/>
        <v/>
      </c>
      <c r="V115" s="300" t="s">
        <v>761</v>
      </c>
    </row>
    <row r="116" spans="2:22" s="300" customFormat="1" x14ac:dyDescent="0.25">
      <c r="B116" s="301" t="s">
        <v>25</v>
      </c>
      <c r="C116" s="302"/>
      <c r="D116" s="86" t="str">
        <f>INDEX(Cad_Natureza!$B$3:$C$52,MATCH('2026'!F116,Cad_Natureza!$C$3:$C$52,0),MATCH('2026'!D$2,Cad_Natureza!$B$3:$C$3,0))</f>
        <v>OPF1</v>
      </c>
      <c r="E116" s="84" t="s">
        <v>1297</v>
      </c>
      <c r="F116" s="85" t="s">
        <v>744</v>
      </c>
      <c r="G116" s="86" t="s">
        <v>25</v>
      </c>
      <c r="H116" s="87">
        <v>46055</v>
      </c>
      <c r="I116" s="87"/>
      <c r="J116" s="79" t="s">
        <v>1337</v>
      </c>
      <c r="K116" s="62">
        <v>-3</v>
      </c>
      <c r="L116" s="62">
        <f t="shared" si="15"/>
        <v>97.680000000000291</v>
      </c>
      <c r="M116" s="302"/>
      <c r="N116" s="44" t="str">
        <f t="shared" si="16"/>
        <v>MCSOPF1CPF - Desp. Alimentação / Refeição</v>
      </c>
      <c r="O116" s="44" t="str">
        <f t="shared" si="17"/>
        <v>OPF1CPF - Desp. Alimentação / Refeição</v>
      </c>
      <c r="P116" s="44" t="str">
        <f t="shared" si="18"/>
        <v>MCSOPF1CPF - Desp. Alimentação / Refeição</v>
      </c>
      <c r="Q116" s="44" t="str">
        <f t="shared" si="19"/>
        <v>MCSOPF1</v>
      </c>
      <c r="R116" s="44" t="str">
        <f t="shared" si="20"/>
        <v>MCSOPF1</v>
      </c>
      <c r="S116" s="38"/>
      <c r="T116" s="304">
        <f t="shared" si="21"/>
        <v>46054</v>
      </c>
      <c r="U116" s="304" t="str">
        <f t="shared" si="22"/>
        <v/>
      </c>
      <c r="V116" s="300" t="s">
        <v>761</v>
      </c>
    </row>
    <row r="117" spans="2:22" s="300" customFormat="1" x14ac:dyDescent="0.25">
      <c r="B117" s="301" t="s">
        <v>25</v>
      </c>
      <c r="C117" s="302"/>
      <c r="D117" s="86" t="str">
        <f>INDEX(Cad_Natureza!$B$3:$C$52,MATCH('2026'!F117,Cad_Natureza!$C$3:$C$52,0),MATCH('2026'!D$2,Cad_Natureza!$B$3:$C$3,0))</f>
        <v>OPF1</v>
      </c>
      <c r="E117" s="84" t="s">
        <v>1298</v>
      </c>
      <c r="F117" s="85" t="s">
        <v>744</v>
      </c>
      <c r="G117" s="86" t="s">
        <v>25</v>
      </c>
      <c r="H117" s="87">
        <v>46056</v>
      </c>
      <c r="I117" s="87"/>
      <c r="J117" s="79" t="s">
        <v>182</v>
      </c>
      <c r="K117" s="62">
        <v>-20</v>
      </c>
      <c r="L117" s="62">
        <f t="shared" si="15"/>
        <v>77.680000000000291</v>
      </c>
      <c r="M117" s="302"/>
      <c r="N117" s="44" t="str">
        <f t="shared" si="16"/>
        <v>MCSOPF1CPF - Desp. Alimentação / Refeição</v>
      </c>
      <c r="O117" s="44" t="str">
        <f t="shared" si="17"/>
        <v>OPF1CPF - Desp. Alimentação / Refeição</v>
      </c>
      <c r="P117" s="44" t="str">
        <f t="shared" si="18"/>
        <v>MCSOPF1CPF - Desp. Alimentação / Refeição</v>
      </c>
      <c r="Q117" s="44" t="str">
        <f t="shared" si="19"/>
        <v>MCSOPF1</v>
      </c>
      <c r="R117" s="44" t="str">
        <f t="shared" si="20"/>
        <v>MCSOPF1</v>
      </c>
      <c r="S117" s="38"/>
      <c r="T117" s="304">
        <f t="shared" si="21"/>
        <v>46054</v>
      </c>
      <c r="U117" s="304" t="str">
        <f t="shared" si="22"/>
        <v/>
      </c>
      <c r="V117" s="300" t="s">
        <v>761</v>
      </c>
    </row>
    <row r="118" spans="2:22" s="300" customFormat="1" x14ac:dyDescent="0.25">
      <c r="B118" s="301" t="s">
        <v>25</v>
      </c>
      <c r="C118" s="302"/>
      <c r="D118" s="86" t="str">
        <f>INDEX(Cad_Natureza!$B$3:$C$52,MATCH('2026'!F118,Cad_Natureza!$C$3:$C$52,0),MATCH('2026'!D$2,Cad_Natureza!$B$3:$C$3,0))</f>
        <v>GAST2</v>
      </c>
      <c r="E118" s="84" t="s">
        <v>1299</v>
      </c>
      <c r="F118" s="85" t="s">
        <v>743</v>
      </c>
      <c r="G118" s="86" t="s">
        <v>25</v>
      </c>
      <c r="H118" s="87">
        <v>46056</v>
      </c>
      <c r="I118" s="87"/>
      <c r="J118" s="79" t="s">
        <v>180</v>
      </c>
      <c r="K118" s="62">
        <v>-3</v>
      </c>
      <c r="L118" s="62">
        <f t="shared" si="15"/>
        <v>74.680000000000291</v>
      </c>
      <c r="M118" s="302"/>
      <c r="N118" s="44" t="str">
        <f t="shared" si="16"/>
        <v>MCSGAST2CPF - Desp. Lazer e Entretenimento - Cigarro</v>
      </c>
      <c r="O118" s="44" t="str">
        <f t="shared" si="17"/>
        <v>GAST2CPF - Desp. Lazer e Entretenimento - Cigarro</v>
      </c>
      <c r="P118" s="44" t="str">
        <f t="shared" si="18"/>
        <v>MCSGAST2CPF - Desp. Lazer e Entretenimento - Cigarro</v>
      </c>
      <c r="Q118" s="44" t="str">
        <f t="shared" si="19"/>
        <v>MCSGAST2</v>
      </c>
      <c r="R118" s="44" t="str">
        <f t="shared" si="20"/>
        <v>MCSGAST2</v>
      </c>
      <c r="S118" s="38"/>
      <c r="T118" s="304">
        <f t="shared" si="21"/>
        <v>46054</v>
      </c>
      <c r="U118" s="304" t="str">
        <f t="shared" si="22"/>
        <v/>
      </c>
      <c r="V118" s="300" t="s">
        <v>761</v>
      </c>
    </row>
    <row r="119" spans="2:22" s="300" customFormat="1" x14ac:dyDescent="0.25">
      <c r="B119" s="301" t="s">
        <v>25</v>
      </c>
      <c r="C119" s="302"/>
      <c r="D119" s="86" t="str">
        <f>INDEX(Cad_Natureza!$B$3:$C$52,MATCH('2026'!F119,Cad_Natureza!$C$3:$C$52,0),MATCH('2026'!D$2,Cad_Natureza!$B$3:$C$3,0))</f>
        <v>OPF2</v>
      </c>
      <c r="E119" s="84" t="s">
        <v>1300</v>
      </c>
      <c r="F119" s="85" t="s">
        <v>741</v>
      </c>
      <c r="G119" s="86" t="s">
        <v>25</v>
      </c>
      <c r="H119" s="87">
        <v>46056</v>
      </c>
      <c r="I119" s="87"/>
      <c r="J119" s="79" t="s">
        <v>184</v>
      </c>
      <c r="K119" s="62">
        <v>-50</v>
      </c>
      <c r="L119" s="62">
        <f t="shared" si="15"/>
        <v>24.680000000000291</v>
      </c>
      <c r="M119" s="302"/>
      <c r="N119" s="44" t="str">
        <f t="shared" si="16"/>
        <v>MCSOPF2CPF - Desp. Transporte / Combustível</v>
      </c>
      <c r="O119" s="44" t="str">
        <f t="shared" si="17"/>
        <v>OPF2CPF - Desp. Transporte / Combustível</v>
      </c>
      <c r="P119" s="44" t="str">
        <f t="shared" si="18"/>
        <v>MCSOPF2CPF - Desp. Transporte / Combustível</v>
      </c>
      <c r="Q119" s="44" t="str">
        <f t="shared" si="19"/>
        <v>MCSOPF2</v>
      </c>
      <c r="R119" s="44" t="str">
        <f t="shared" si="20"/>
        <v>MCSOPF2</v>
      </c>
      <c r="S119" s="38"/>
      <c r="T119" s="304">
        <f t="shared" si="21"/>
        <v>46054</v>
      </c>
      <c r="U119" s="304" t="str">
        <f t="shared" si="22"/>
        <v/>
      </c>
      <c r="V119" s="300" t="s">
        <v>761</v>
      </c>
    </row>
    <row r="120" spans="2:22" s="300" customFormat="1" x14ac:dyDescent="0.25">
      <c r="B120" s="301" t="s">
        <v>25</v>
      </c>
      <c r="C120" s="302"/>
      <c r="D120" s="86" t="str">
        <f>INDEX(Cad_Natureza!$B$3:$C$52,MATCH('2026'!F120,Cad_Natureza!$C$3:$C$52,0),MATCH('2026'!D$2,Cad_Natureza!$B$3:$C$3,0))</f>
        <v>GAST2</v>
      </c>
      <c r="E120" s="84" t="s">
        <v>1301</v>
      </c>
      <c r="F120" s="85" t="s">
        <v>743</v>
      </c>
      <c r="G120" s="86" t="s">
        <v>25</v>
      </c>
      <c r="H120" s="87">
        <v>46056</v>
      </c>
      <c r="I120" s="87"/>
      <c r="J120" s="79" t="s">
        <v>180</v>
      </c>
      <c r="K120" s="62">
        <v>-5</v>
      </c>
      <c r="L120" s="62">
        <f t="shared" si="15"/>
        <v>19.680000000000291</v>
      </c>
      <c r="M120" s="302"/>
      <c r="N120" s="44" t="str">
        <f t="shared" si="16"/>
        <v>MCSGAST2CPF - Desp. Lazer e Entretenimento - Cigarro</v>
      </c>
      <c r="O120" s="44" t="str">
        <f t="shared" si="17"/>
        <v>GAST2CPF - Desp. Lazer e Entretenimento - Cigarro</v>
      </c>
      <c r="P120" s="44" t="str">
        <f t="shared" si="18"/>
        <v>MCSGAST2CPF - Desp. Lazer e Entretenimento - Cigarro</v>
      </c>
      <c r="Q120" s="44" t="str">
        <f t="shared" si="19"/>
        <v>MCSGAST2</v>
      </c>
      <c r="R120" s="44" t="str">
        <f t="shared" si="20"/>
        <v>MCSGAST2</v>
      </c>
      <c r="S120" s="38"/>
      <c r="T120" s="304">
        <f t="shared" si="21"/>
        <v>46054</v>
      </c>
      <c r="U120" s="304" t="str">
        <f t="shared" si="22"/>
        <v/>
      </c>
      <c r="V120" s="300" t="s">
        <v>761</v>
      </c>
    </row>
    <row r="121" spans="2:22" s="300" customFormat="1" x14ac:dyDescent="0.25">
      <c r="B121" s="301" t="s">
        <v>25</v>
      </c>
      <c r="C121" s="302"/>
      <c r="D121" s="86" t="str">
        <f>INDEX(Cad_Natureza!$B$3:$C$52,MATCH('2026'!F121,Cad_Natureza!$C$3:$C$52,0),MATCH('2026'!D$2,Cad_Natureza!$B$3:$C$3,0))</f>
        <v>OUG1</v>
      </c>
      <c r="E121" s="84" t="s">
        <v>1302</v>
      </c>
      <c r="F121" s="85" t="s">
        <v>748</v>
      </c>
      <c r="G121" s="86" t="s">
        <v>25</v>
      </c>
      <c r="H121" s="87">
        <v>46057</v>
      </c>
      <c r="I121" s="87"/>
      <c r="J121" s="79" t="s">
        <v>354</v>
      </c>
      <c r="K121" s="62">
        <v>-18</v>
      </c>
      <c r="L121" s="62">
        <f t="shared" si="15"/>
        <v>1.680000000000291</v>
      </c>
      <c r="M121" s="302"/>
      <c r="N121" s="44" t="str">
        <f t="shared" si="16"/>
        <v>MCSOUG1CPF - Outros gastos</v>
      </c>
      <c r="O121" s="44" t="str">
        <f t="shared" si="17"/>
        <v>OUG1CPF - Outros gastos</v>
      </c>
      <c r="P121" s="44" t="str">
        <f t="shared" si="18"/>
        <v>MCSOUG1CPF - Outros gastos</v>
      </c>
      <c r="Q121" s="44" t="str">
        <f t="shared" si="19"/>
        <v>MCSOUG1</v>
      </c>
      <c r="R121" s="44" t="str">
        <f t="shared" si="20"/>
        <v>MCSOUG1</v>
      </c>
      <c r="S121" s="38"/>
      <c r="T121" s="304">
        <f t="shared" si="21"/>
        <v>46054</v>
      </c>
      <c r="U121" s="304" t="str">
        <f t="shared" si="22"/>
        <v/>
      </c>
      <c r="V121" s="300" t="s">
        <v>731</v>
      </c>
    </row>
    <row r="122" spans="2:22" s="291" customFormat="1" x14ac:dyDescent="0.25">
      <c r="B122" s="288" t="s">
        <v>25</v>
      </c>
      <c r="C122" s="83"/>
      <c r="D122" s="63" t="str">
        <f>INDEX(Cad_Natureza!$B$3:$C$52,MATCH('2026'!F122,Cad_Natureza!$C$3:$C$52,0),MATCH('2026'!D$2,Cad_Natureza!$B$3:$C$3,0))</f>
        <v>REC5</v>
      </c>
      <c r="E122" s="64" t="s">
        <v>428</v>
      </c>
      <c r="F122" s="65" t="s">
        <v>740</v>
      </c>
      <c r="G122" s="63" t="s">
        <v>25</v>
      </c>
      <c r="H122" s="66">
        <v>46058</v>
      </c>
      <c r="I122" s="66"/>
      <c r="J122" s="67" t="s">
        <v>1336</v>
      </c>
      <c r="K122" s="68">
        <v>17.62</v>
      </c>
      <c r="L122" s="68">
        <f t="shared" si="15"/>
        <v>19.300000000000292</v>
      </c>
      <c r="M122" s="83"/>
      <c r="N122" s="44" t="str">
        <f t="shared" si="16"/>
        <v>MCSREC5CPF - Outras receitas</v>
      </c>
      <c r="O122" s="44" t="str">
        <f t="shared" si="17"/>
        <v>REC5CPF - Outras receitas</v>
      </c>
      <c r="P122" s="44" t="str">
        <f t="shared" si="18"/>
        <v>MCSREC5CPF - Outras receitas</v>
      </c>
      <c r="Q122" s="44" t="str">
        <f t="shared" si="19"/>
        <v>MCSREC5</v>
      </c>
      <c r="R122" s="44" t="str">
        <f t="shared" si="20"/>
        <v>MCSREC5</v>
      </c>
      <c r="S122" s="38"/>
      <c r="T122" s="290">
        <f t="shared" si="21"/>
        <v>46054</v>
      </c>
      <c r="U122" s="290" t="str">
        <f t="shared" si="22"/>
        <v/>
      </c>
      <c r="V122" s="291" t="s">
        <v>731</v>
      </c>
    </row>
    <row r="123" spans="2:22" s="291" customFormat="1" x14ac:dyDescent="0.25">
      <c r="B123" s="288" t="s">
        <v>25</v>
      </c>
      <c r="C123" s="83"/>
      <c r="D123" s="63" t="str">
        <f>INDEX(Cad_Natureza!$B$3:$C$52,MATCH('2026'!F123,Cad_Natureza!$C$3:$C$52,0),MATCH('2026'!D$2,Cad_Natureza!$B$3:$C$3,0))</f>
        <v>REC4</v>
      </c>
      <c r="E123" s="64" t="s">
        <v>1303</v>
      </c>
      <c r="F123" s="65" t="s">
        <v>734</v>
      </c>
      <c r="G123" s="63" t="s">
        <v>25</v>
      </c>
      <c r="H123" s="66">
        <v>46059</v>
      </c>
      <c r="I123" s="66"/>
      <c r="J123" s="67" t="s">
        <v>183</v>
      </c>
      <c r="K123" s="68">
        <v>100</v>
      </c>
      <c r="L123" s="68">
        <f t="shared" si="15"/>
        <v>119.3000000000003</v>
      </c>
      <c r="M123" s="83"/>
      <c r="N123" s="289" t="str">
        <f t="shared" si="16"/>
        <v>MCSREC4CPF - Transf. Da conta PJ para a conta PF</v>
      </c>
      <c r="O123" s="289" t="str">
        <f t="shared" si="17"/>
        <v>REC4CPF - Transf. Da conta PJ para a conta PF</v>
      </c>
      <c r="P123" s="289" t="str">
        <f t="shared" si="18"/>
        <v>MCSREC4CPF - Transf. Da conta PJ para a conta PF</v>
      </c>
      <c r="Q123" s="289" t="str">
        <f t="shared" si="19"/>
        <v>MCSREC4</v>
      </c>
      <c r="R123" s="289" t="str">
        <f t="shared" si="20"/>
        <v>MCSREC4</v>
      </c>
      <c r="S123" s="83"/>
      <c r="T123" s="290">
        <f t="shared" si="21"/>
        <v>46054</v>
      </c>
      <c r="U123" s="290" t="str">
        <f t="shared" si="22"/>
        <v/>
      </c>
      <c r="V123" s="291" t="s">
        <v>761</v>
      </c>
    </row>
    <row r="124" spans="2:22" s="291" customFormat="1" x14ac:dyDescent="0.25">
      <c r="B124" s="288" t="s">
        <v>25</v>
      </c>
      <c r="C124" s="83"/>
      <c r="D124" s="63" t="str">
        <f>INDEX(Cad_Natureza!$B$3:$C$52,MATCH('2026'!F124,Cad_Natureza!$C$3:$C$52,0),MATCH('2026'!D$2,Cad_Natureza!$B$3:$C$3,0))</f>
        <v>REC4</v>
      </c>
      <c r="E124" s="64" t="s">
        <v>1303</v>
      </c>
      <c r="F124" s="65" t="s">
        <v>734</v>
      </c>
      <c r="G124" s="63" t="s">
        <v>25</v>
      </c>
      <c r="H124" s="66">
        <v>46059</v>
      </c>
      <c r="I124" s="66"/>
      <c r="J124" s="67" t="s">
        <v>183</v>
      </c>
      <c r="K124" s="68">
        <v>4000</v>
      </c>
      <c r="L124" s="68">
        <f t="shared" si="15"/>
        <v>4119.3</v>
      </c>
      <c r="M124" s="83"/>
      <c r="N124" s="289" t="str">
        <f t="shared" si="16"/>
        <v>MCSREC4CPF - Transf. Da conta PJ para a conta PF</v>
      </c>
      <c r="O124" s="289" t="str">
        <f t="shared" si="17"/>
        <v>REC4CPF - Transf. Da conta PJ para a conta PF</v>
      </c>
      <c r="P124" s="289" t="str">
        <f t="shared" si="18"/>
        <v>MCSREC4CPF - Transf. Da conta PJ para a conta PF</v>
      </c>
      <c r="Q124" s="289" t="str">
        <f t="shared" si="19"/>
        <v>MCSREC4</v>
      </c>
      <c r="R124" s="289" t="str">
        <f t="shared" si="20"/>
        <v>MCSREC4</v>
      </c>
      <c r="S124" s="83"/>
      <c r="T124" s="290">
        <f t="shared" si="21"/>
        <v>46054</v>
      </c>
      <c r="U124" s="290" t="str">
        <f t="shared" si="22"/>
        <v/>
      </c>
      <c r="V124" s="291" t="s">
        <v>761</v>
      </c>
    </row>
    <row r="125" spans="2:22" s="300" customFormat="1" x14ac:dyDescent="0.25">
      <c r="B125" s="301" t="s">
        <v>25</v>
      </c>
      <c r="C125" s="302"/>
      <c r="D125" s="86" t="str">
        <f>INDEX(Cad_Natureza!$B$3:$C$52,MATCH('2026'!F125,Cad_Natureza!$C$3:$C$52,0),MATCH('2026'!D$2,Cad_Natureza!$B$3:$C$3,0))</f>
        <v>OPF2</v>
      </c>
      <c r="E125" s="84" t="s">
        <v>1304</v>
      </c>
      <c r="F125" s="85" t="s">
        <v>741</v>
      </c>
      <c r="G125" s="86" t="s">
        <v>25</v>
      </c>
      <c r="H125" s="87">
        <v>46059</v>
      </c>
      <c r="I125" s="87"/>
      <c r="J125" s="79" t="s">
        <v>184</v>
      </c>
      <c r="K125" s="62">
        <v>-50</v>
      </c>
      <c r="L125" s="62">
        <f t="shared" si="15"/>
        <v>4069.3</v>
      </c>
      <c r="M125" s="302"/>
      <c r="N125" s="44" t="str">
        <f t="shared" si="16"/>
        <v>MCSOPF2CPF - Desp. Transporte / Combustível</v>
      </c>
      <c r="O125" s="44" t="str">
        <f t="shared" si="17"/>
        <v>OPF2CPF - Desp. Transporte / Combustível</v>
      </c>
      <c r="P125" s="44" t="str">
        <f t="shared" si="18"/>
        <v>MCSOPF2CPF - Desp. Transporte / Combustível</v>
      </c>
      <c r="Q125" s="44" t="str">
        <f t="shared" si="19"/>
        <v>MCSOPF2</v>
      </c>
      <c r="R125" s="44" t="str">
        <f t="shared" si="20"/>
        <v>MCSOPF2</v>
      </c>
      <c r="S125" s="38"/>
      <c r="T125" s="304">
        <f t="shared" si="21"/>
        <v>46054</v>
      </c>
      <c r="U125" s="304" t="str">
        <f t="shared" si="22"/>
        <v/>
      </c>
      <c r="V125" s="300" t="s">
        <v>761</v>
      </c>
    </row>
    <row r="126" spans="2:22" s="300" customFormat="1" x14ac:dyDescent="0.25">
      <c r="B126" s="301" t="s">
        <v>25</v>
      </c>
      <c r="C126" s="302"/>
      <c r="D126" s="86" t="str">
        <f>INDEX(Cad_Natureza!$B$3:$C$52,MATCH('2026'!F126,Cad_Natureza!$C$3:$C$52,0),MATCH('2026'!D$2,Cad_Natureza!$B$3:$C$3,0))</f>
        <v>GAST1</v>
      </c>
      <c r="E126" s="84" t="s">
        <v>1305</v>
      </c>
      <c r="F126" s="85" t="s">
        <v>742</v>
      </c>
      <c r="G126" s="86" t="s">
        <v>25</v>
      </c>
      <c r="H126" s="87">
        <v>46059</v>
      </c>
      <c r="I126" s="87"/>
      <c r="J126" s="79" t="s">
        <v>1335</v>
      </c>
      <c r="K126" s="62">
        <v>-60.5</v>
      </c>
      <c r="L126" s="62">
        <f t="shared" si="15"/>
        <v>4008.8</v>
      </c>
      <c r="M126" s="302"/>
      <c r="N126" s="44" t="str">
        <f t="shared" ref="N126:N133" si="23">B126&amp;D126&amp;F126</f>
        <v>MCSGAST1CPF - Desp. Lazer e Entretenimento - Bares</v>
      </c>
      <c r="O126" s="44" t="str">
        <f t="shared" ref="O126:O133" si="24">D126&amp;F126</f>
        <v>GAST1CPF - Desp. Lazer e Entretenimento - Bares</v>
      </c>
      <c r="P126" s="44" t="str">
        <f t="shared" ref="P126:P133" si="25">"MCS"&amp;D126&amp;F126</f>
        <v>MCSGAST1CPF - Desp. Lazer e Entretenimento - Bares</v>
      </c>
      <c r="Q126" s="44" t="str">
        <f t="shared" ref="Q126:Q133" si="26">"MCS"&amp;D126</f>
        <v>MCSGAST1</v>
      </c>
      <c r="R126" s="44" t="str">
        <f t="shared" ref="R126:R133" si="27">B126&amp;D126</f>
        <v>MCSGAST1</v>
      </c>
      <c r="S126" s="38"/>
      <c r="T126" s="304">
        <f t="shared" ref="T126:T133" si="28">(1&amp;"/"&amp;MONTH(H126)&amp;"/"&amp;YEAR(H126))*1</f>
        <v>46054</v>
      </c>
      <c r="U126" s="304" t="str">
        <f t="shared" ref="U126:U133" si="29">IF(I126="","",(1&amp;"/"&amp;MONTH(I126)&amp;"/"&amp;YEAR(I126))*1)</f>
        <v/>
      </c>
      <c r="V126" s="300" t="s">
        <v>761</v>
      </c>
    </row>
    <row r="127" spans="2:22" s="300" customFormat="1" x14ac:dyDescent="0.25">
      <c r="B127" s="301" t="s">
        <v>25</v>
      </c>
      <c r="C127" s="302"/>
      <c r="D127" s="86" t="str">
        <f>INDEX(Cad_Natureza!$B$3:$C$52,MATCH('2026'!F127,Cad_Natureza!$C$3:$C$52,0),MATCH('2026'!D$2,Cad_Natureza!$B$3:$C$3,0))</f>
        <v>DESP1</v>
      </c>
      <c r="E127" s="84" t="s">
        <v>926</v>
      </c>
      <c r="F127" s="85" t="s">
        <v>733</v>
      </c>
      <c r="G127" s="86" t="s">
        <v>25</v>
      </c>
      <c r="H127" s="87">
        <v>46059</v>
      </c>
      <c r="I127" s="87"/>
      <c r="J127" s="79" t="s">
        <v>361</v>
      </c>
      <c r="K127" s="62">
        <v>-5.9</v>
      </c>
      <c r="L127" s="62">
        <f t="shared" si="15"/>
        <v>4002.9</v>
      </c>
      <c r="M127" s="302"/>
      <c r="N127" s="44" t="str">
        <f t="shared" si="23"/>
        <v>MCSDESP1CPF - Desp. Cartão de crédito</v>
      </c>
      <c r="O127" s="44" t="str">
        <f t="shared" si="24"/>
        <v>DESP1CPF - Desp. Cartão de crédito</v>
      </c>
      <c r="P127" s="44" t="str">
        <f t="shared" si="25"/>
        <v>MCSDESP1CPF - Desp. Cartão de crédito</v>
      </c>
      <c r="Q127" s="44" t="str">
        <f t="shared" si="26"/>
        <v>MCSDESP1</v>
      </c>
      <c r="R127" s="44" t="str">
        <f t="shared" si="27"/>
        <v>MCSDESP1</v>
      </c>
      <c r="S127" s="38"/>
      <c r="T127" s="304">
        <f t="shared" si="28"/>
        <v>46054</v>
      </c>
      <c r="U127" s="304" t="str">
        <f t="shared" si="29"/>
        <v/>
      </c>
      <c r="V127" s="300" t="s">
        <v>761</v>
      </c>
    </row>
    <row r="128" spans="2:22" s="300" customFormat="1" x14ac:dyDescent="0.25">
      <c r="B128" s="301" t="s">
        <v>25</v>
      </c>
      <c r="C128" s="302"/>
      <c r="D128" s="86" t="str">
        <f>INDEX(Cad_Natureza!$B$3:$C$52,MATCH('2026'!F128,Cad_Natureza!$C$3:$C$52,0),MATCH('2026'!D$2,Cad_Natureza!$B$3:$C$3,0))</f>
        <v>PENS3</v>
      </c>
      <c r="E128" s="84" t="s">
        <v>558</v>
      </c>
      <c r="F128" s="85" t="s">
        <v>746</v>
      </c>
      <c r="G128" s="86" t="s">
        <v>25</v>
      </c>
      <c r="H128" s="87">
        <v>46059</v>
      </c>
      <c r="I128" s="87"/>
      <c r="J128" s="78" t="s">
        <v>1334</v>
      </c>
      <c r="K128" s="62">
        <v>-505.98</v>
      </c>
      <c r="L128" s="62">
        <f t="shared" si="15"/>
        <v>3496.92</v>
      </c>
      <c r="M128" s="302"/>
      <c r="N128" s="44" t="str">
        <f t="shared" si="23"/>
        <v>MCSPENS3CPF - Pensão - Plano de saúde</v>
      </c>
      <c r="O128" s="44" t="str">
        <f t="shared" si="24"/>
        <v>PENS3CPF - Pensão - Plano de saúde</v>
      </c>
      <c r="P128" s="44" t="str">
        <f t="shared" si="25"/>
        <v>MCSPENS3CPF - Pensão - Plano de saúde</v>
      </c>
      <c r="Q128" s="44" t="str">
        <f t="shared" si="26"/>
        <v>MCSPENS3</v>
      </c>
      <c r="R128" s="44" t="str">
        <f t="shared" si="27"/>
        <v>MCSPENS3</v>
      </c>
      <c r="S128" s="38"/>
      <c r="T128" s="304">
        <f t="shared" si="28"/>
        <v>46054</v>
      </c>
      <c r="U128" s="304" t="str">
        <f t="shared" si="29"/>
        <v/>
      </c>
      <c r="V128" s="300" t="s">
        <v>761</v>
      </c>
    </row>
    <row r="129" spans="2:22" s="300" customFormat="1" x14ac:dyDescent="0.25">
      <c r="B129" s="301" t="s">
        <v>25</v>
      </c>
      <c r="C129" s="302"/>
      <c r="D129" s="86" t="str">
        <f>INDEX(Cad_Natureza!$B$3:$C$52,MATCH('2026'!F129,Cad_Natureza!$C$3:$C$52,0),MATCH('2026'!D$2,Cad_Natureza!$B$3:$C$3,0))</f>
        <v>GAST1</v>
      </c>
      <c r="E129" s="84" t="s">
        <v>1306</v>
      </c>
      <c r="F129" s="85" t="s">
        <v>742</v>
      </c>
      <c r="G129" s="86" t="s">
        <v>25</v>
      </c>
      <c r="H129" s="87">
        <v>46059</v>
      </c>
      <c r="I129" s="87"/>
      <c r="J129" s="79" t="s">
        <v>185</v>
      </c>
      <c r="K129" s="62">
        <v>-15</v>
      </c>
      <c r="L129" s="62">
        <f t="shared" si="15"/>
        <v>3481.92</v>
      </c>
      <c r="M129" s="302"/>
      <c r="N129" s="44" t="str">
        <f t="shared" si="23"/>
        <v>MCSGAST1CPF - Desp. Lazer e Entretenimento - Bares</v>
      </c>
      <c r="O129" s="44" t="str">
        <f t="shared" si="24"/>
        <v>GAST1CPF - Desp. Lazer e Entretenimento - Bares</v>
      </c>
      <c r="P129" s="44" t="str">
        <f t="shared" si="25"/>
        <v>MCSGAST1CPF - Desp. Lazer e Entretenimento - Bares</v>
      </c>
      <c r="Q129" s="44" t="str">
        <f t="shared" si="26"/>
        <v>MCSGAST1</v>
      </c>
      <c r="R129" s="44" t="str">
        <f t="shared" si="27"/>
        <v>MCSGAST1</v>
      </c>
      <c r="S129" s="38"/>
      <c r="T129" s="304">
        <f t="shared" si="28"/>
        <v>46054</v>
      </c>
      <c r="U129" s="304" t="str">
        <f t="shared" si="29"/>
        <v/>
      </c>
      <c r="V129" s="300" t="s">
        <v>731</v>
      </c>
    </row>
    <row r="130" spans="2:22" s="300" customFormat="1" x14ac:dyDescent="0.25">
      <c r="B130" s="301" t="s">
        <v>25</v>
      </c>
      <c r="C130" s="302"/>
      <c r="D130" s="86" t="str">
        <f>INDEX(Cad_Natureza!$B$3:$C$52,MATCH('2026'!F130,Cad_Natureza!$C$3:$C$52,0),MATCH('2026'!D$2,Cad_Natureza!$B$3:$C$3,0))</f>
        <v>GAST1</v>
      </c>
      <c r="E130" s="84" t="s">
        <v>1306</v>
      </c>
      <c r="F130" s="85" t="s">
        <v>742</v>
      </c>
      <c r="G130" s="86" t="s">
        <v>25</v>
      </c>
      <c r="H130" s="87">
        <v>46059</v>
      </c>
      <c r="I130" s="87"/>
      <c r="J130" s="79" t="s">
        <v>185</v>
      </c>
      <c r="K130" s="62">
        <v>-10</v>
      </c>
      <c r="L130" s="62">
        <f t="shared" si="15"/>
        <v>3471.92</v>
      </c>
      <c r="M130" s="302"/>
      <c r="N130" s="44" t="str">
        <f t="shared" si="23"/>
        <v>MCSGAST1CPF - Desp. Lazer e Entretenimento - Bares</v>
      </c>
      <c r="O130" s="44" t="str">
        <f t="shared" si="24"/>
        <v>GAST1CPF - Desp. Lazer e Entretenimento - Bares</v>
      </c>
      <c r="P130" s="44" t="str">
        <f t="shared" si="25"/>
        <v>MCSGAST1CPF - Desp. Lazer e Entretenimento - Bares</v>
      </c>
      <c r="Q130" s="44" t="str">
        <f t="shared" si="26"/>
        <v>MCSGAST1</v>
      </c>
      <c r="R130" s="44" t="str">
        <f t="shared" si="27"/>
        <v>MCSGAST1</v>
      </c>
      <c r="S130" s="38"/>
      <c r="T130" s="304">
        <f t="shared" si="28"/>
        <v>46054</v>
      </c>
      <c r="U130" s="304" t="str">
        <f t="shared" si="29"/>
        <v/>
      </c>
      <c r="V130" s="300" t="s">
        <v>731</v>
      </c>
    </row>
    <row r="131" spans="2:22" s="300" customFormat="1" x14ac:dyDescent="0.25">
      <c r="B131" s="301" t="s">
        <v>25</v>
      </c>
      <c r="C131" s="302"/>
      <c r="D131" s="86" t="str">
        <f>INDEX(Cad_Natureza!$B$3:$C$52,MATCH('2026'!F131,Cad_Natureza!$C$3:$C$52,0),MATCH('2026'!D$2,Cad_Natureza!$B$3:$C$3,0))</f>
        <v>FIN2</v>
      </c>
      <c r="E131" s="84" t="s">
        <v>1307</v>
      </c>
      <c r="F131" s="85" t="s">
        <v>751</v>
      </c>
      <c r="G131" s="86" t="s">
        <v>25</v>
      </c>
      <c r="H131" s="87">
        <v>46059</v>
      </c>
      <c r="I131" s="87"/>
      <c r="J131" s="79" t="s">
        <v>188</v>
      </c>
      <c r="K131" s="62">
        <v>-28</v>
      </c>
      <c r="L131" s="62">
        <f t="shared" si="15"/>
        <v>3443.92</v>
      </c>
      <c r="M131" s="302"/>
      <c r="N131" s="44" t="str">
        <f t="shared" si="23"/>
        <v>MCSFIN2CPF - Desp. Financeiras - Juros / Tarifas</v>
      </c>
      <c r="O131" s="44" t="str">
        <f t="shared" si="24"/>
        <v>FIN2CPF - Desp. Financeiras - Juros / Tarifas</v>
      </c>
      <c r="P131" s="44" t="str">
        <f t="shared" si="25"/>
        <v>MCSFIN2CPF - Desp. Financeiras - Juros / Tarifas</v>
      </c>
      <c r="Q131" s="44" t="str">
        <f t="shared" si="26"/>
        <v>MCSFIN2</v>
      </c>
      <c r="R131" s="44" t="str">
        <f t="shared" si="27"/>
        <v>MCSFIN2</v>
      </c>
      <c r="S131" s="38"/>
      <c r="T131" s="304">
        <f t="shared" si="28"/>
        <v>46054</v>
      </c>
      <c r="U131" s="304" t="str">
        <f t="shared" si="29"/>
        <v/>
      </c>
      <c r="V131" s="300" t="s">
        <v>761</v>
      </c>
    </row>
    <row r="132" spans="2:22" s="300" customFormat="1" x14ac:dyDescent="0.25">
      <c r="B132" s="301" t="s">
        <v>25</v>
      </c>
      <c r="C132" s="302"/>
      <c r="D132" s="86" t="str">
        <f>INDEX(Cad_Natureza!$B$3:$C$52,MATCH('2026'!F132,Cad_Natureza!$C$3:$C$52,0),MATCH('2026'!D$2,Cad_Natureza!$B$3:$C$3,0))</f>
        <v>GAST1</v>
      </c>
      <c r="E132" s="84" t="s">
        <v>1308</v>
      </c>
      <c r="F132" s="85" t="s">
        <v>742</v>
      </c>
      <c r="G132" s="86" t="s">
        <v>25</v>
      </c>
      <c r="H132" s="87">
        <v>46062</v>
      </c>
      <c r="I132" s="87"/>
      <c r="J132" s="79" t="s">
        <v>185</v>
      </c>
      <c r="K132" s="62">
        <v>-10</v>
      </c>
      <c r="L132" s="62">
        <f t="shared" ref="L132:L195" si="30">L131+K132</f>
        <v>3433.92</v>
      </c>
      <c r="M132" s="302"/>
      <c r="N132" s="44" t="str">
        <f t="shared" si="23"/>
        <v>MCSGAST1CPF - Desp. Lazer e Entretenimento - Bares</v>
      </c>
      <c r="O132" s="44" t="str">
        <f t="shared" si="24"/>
        <v>GAST1CPF - Desp. Lazer e Entretenimento - Bares</v>
      </c>
      <c r="P132" s="44" t="str">
        <f t="shared" si="25"/>
        <v>MCSGAST1CPF - Desp. Lazer e Entretenimento - Bares</v>
      </c>
      <c r="Q132" s="44" t="str">
        <f t="shared" si="26"/>
        <v>MCSGAST1</v>
      </c>
      <c r="R132" s="44" t="str">
        <f t="shared" si="27"/>
        <v>MCSGAST1</v>
      </c>
      <c r="S132" s="38"/>
      <c r="T132" s="304">
        <f t="shared" si="28"/>
        <v>46054</v>
      </c>
      <c r="U132" s="304" t="str">
        <f t="shared" si="29"/>
        <v/>
      </c>
      <c r="V132" s="300" t="s">
        <v>761</v>
      </c>
    </row>
    <row r="133" spans="2:22" s="300" customFormat="1" x14ac:dyDescent="0.25">
      <c r="B133" s="301" t="s">
        <v>25</v>
      </c>
      <c r="C133" s="302"/>
      <c r="D133" s="86" t="str">
        <f>INDEX(Cad_Natureza!$B$3:$C$52,MATCH('2026'!F133,Cad_Natureza!$C$3:$C$52,0),MATCH('2026'!D$2,Cad_Natureza!$B$3:$C$3,0))</f>
        <v>GAST1</v>
      </c>
      <c r="E133" s="84" t="s">
        <v>1308</v>
      </c>
      <c r="F133" s="85" t="s">
        <v>742</v>
      </c>
      <c r="G133" s="86" t="s">
        <v>25</v>
      </c>
      <c r="H133" s="87">
        <v>46062</v>
      </c>
      <c r="I133" s="87"/>
      <c r="J133" s="79" t="s">
        <v>185</v>
      </c>
      <c r="K133" s="62">
        <v>-6</v>
      </c>
      <c r="L133" s="62">
        <f t="shared" si="30"/>
        <v>3427.92</v>
      </c>
      <c r="M133" s="302"/>
      <c r="N133" s="44" t="str">
        <f t="shared" si="23"/>
        <v>MCSGAST1CPF - Desp. Lazer e Entretenimento - Bares</v>
      </c>
      <c r="O133" s="44" t="str">
        <f t="shared" si="24"/>
        <v>GAST1CPF - Desp. Lazer e Entretenimento - Bares</v>
      </c>
      <c r="P133" s="44" t="str">
        <f t="shared" si="25"/>
        <v>MCSGAST1CPF - Desp. Lazer e Entretenimento - Bares</v>
      </c>
      <c r="Q133" s="44" t="str">
        <f t="shared" si="26"/>
        <v>MCSGAST1</v>
      </c>
      <c r="R133" s="44" t="str">
        <f t="shared" si="27"/>
        <v>MCSGAST1</v>
      </c>
      <c r="S133" s="38"/>
      <c r="T133" s="304">
        <f t="shared" si="28"/>
        <v>46054</v>
      </c>
      <c r="U133" s="304" t="str">
        <f t="shared" si="29"/>
        <v/>
      </c>
      <c r="V133" s="300" t="s">
        <v>761</v>
      </c>
    </row>
    <row r="134" spans="2:22" s="300" customFormat="1" x14ac:dyDescent="0.25">
      <c r="B134" s="301" t="s">
        <v>25</v>
      </c>
      <c r="C134" s="302"/>
      <c r="D134" s="86" t="str">
        <f>INDEX(Cad_Natureza!$B$3:$C$52,MATCH('2026'!F134,Cad_Natureza!$C$3:$C$52,0),MATCH('2026'!D$2,Cad_Natureza!$B$3:$C$3,0))</f>
        <v>DESP4</v>
      </c>
      <c r="E134" s="84" t="s">
        <v>1309</v>
      </c>
      <c r="F134" s="85" t="s">
        <v>753</v>
      </c>
      <c r="G134" s="86" t="s">
        <v>25</v>
      </c>
      <c r="H134" s="87">
        <v>46062</v>
      </c>
      <c r="I134" s="87"/>
      <c r="J134" s="79" t="s">
        <v>1330</v>
      </c>
      <c r="K134" s="62">
        <v>-200</v>
      </c>
      <c r="L134" s="62">
        <f t="shared" si="30"/>
        <v>3227.92</v>
      </c>
      <c r="M134" s="302"/>
      <c r="N134" s="44" t="str">
        <f t="shared" si="0"/>
        <v>MCSDESP4CPF - Desp. Moradia</v>
      </c>
      <c r="O134" s="44" t="str">
        <f t="shared" si="1"/>
        <v>DESP4CPF - Desp. Moradia</v>
      </c>
      <c r="P134" s="44" t="str">
        <f t="shared" si="2"/>
        <v>MCSDESP4CPF - Desp. Moradia</v>
      </c>
      <c r="Q134" s="44" t="str">
        <f t="shared" si="3"/>
        <v>MCSDESP4</v>
      </c>
      <c r="R134" s="44" t="str">
        <f t="shared" si="4"/>
        <v>MCSDESP4</v>
      </c>
      <c r="S134" s="38"/>
      <c r="T134" s="304">
        <f t="shared" si="5"/>
        <v>46054</v>
      </c>
      <c r="U134" s="304" t="str">
        <f t="shared" si="6"/>
        <v/>
      </c>
      <c r="V134" s="300" t="s">
        <v>761</v>
      </c>
    </row>
    <row r="135" spans="2:22" s="300" customFormat="1" x14ac:dyDescent="0.25">
      <c r="B135" s="301" t="s">
        <v>25</v>
      </c>
      <c r="C135" s="302"/>
      <c r="D135" s="86" t="str">
        <f>INDEX(Cad_Natureza!$B$3:$C$52,MATCH('2026'!F135,Cad_Natureza!$C$3:$C$52,0),MATCH('2026'!D$2,Cad_Natureza!$B$3:$C$3,0))</f>
        <v>DESP3</v>
      </c>
      <c r="E135" s="84" t="s">
        <v>1310</v>
      </c>
      <c r="F135" s="85" t="s">
        <v>736</v>
      </c>
      <c r="G135" s="86" t="s">
        <v>25</v>
      </c>
      <c r="H135" s="87">
        <v>46062</v>
      </c>
      <c r="I135" s="87"/>
      <c r="J135" s="79" t="s">
        <v>1331</v>
      </c>
      <c r="K135" s="62">
        <v>-60</v>
      </c>
      <c r="L135" s="62">
        <f t="shared" si="30"/>
        <v>3167.92</v>
      </c>
      <c r="M135" s="302"/>
      <c r="N135" s="44" t="str">
        <f t="shared" si="0"/>
        <v xml:space="preserve">MCSDESP3CPF - Desp. com veículo - Manut. / Gastos </v>
      </c>
      <c r="O135" s="44" t="str">
        <f t="shared" si="1"/>
        <v xml:space="preserve">DESP3CPF - Desp. com veículo - Manut. / Gastos </v>
      </c>
      <c r="P135" s="44" t="str">
        <f t="shared" si="2"/>
        <v xml:space="preserve">MCSDESP3CPF - Desp. com veículo - Manut. / Gastos </v>
      </c>
      <c r="Q135" s="44" t="str">
        <f t="shared" si="3"/>
        <v>MCSDESP3</v>
      </c>
      <c r="R135" s="44" t="str">
        <f t="shared" si="4"/>
        <v>MCSDESP3</v>
      </c>
      <c r="S135" s="38"/>
      <c r="T135" s="304">
        <f t="shared" si="5"/>
        <v>46054</v>
      </c>
      <c r="U135" s="304" t="str">
        <f t="shared" si="6"/>
        <v/>
      </c>
      <c r="V135" s="300" t="s">
        <v>761</v>
      </c>
    </row>
    <row r="136" spans="2:22" s="300" customFormat="1" x14ac:dyDescent="0.25">
      <c r="B136" s="301" t="s">
        <v>25</v>
      </c>
      <c r="C136" s="302"/>
      <c r="D136" s="86" t="str">
        <f>INDEX(Cad_Natureza!$B$3:$C$52,MATCH('2026'!F136,Cad_Natureza!$C$3:$C$52,0),MATCH('2026'!D$2,Cad_Natureza!$B$3:$C$3,0))</f>
        <v>DESP4</v>
      </c>
      <c r="E136" s="84" t="s">
        <v>1311</v>
      </c>
      <c r="F136" s="85" t="s">
        <v>753</v>
      </c>
      <c r="G136" s="86" t="s">
        <v>25</v>
      </c>
      <c r="H136" s="87">
        <v>46062</v>
      </c>
      <c r="I136" s="87"/>
      <c r="J136" s="79" t="s">
        <v>1332</v>
      </c>
      <c r="K136" s="62">
        <v>-4.78</v>
      </c>
      <c r="L136" s="62">
        <f t="shared" si="30"/>
        <v>3163.14</v>
      </c>
      <c r="M136" s="302"/>
      <c r="N136" s="44" t="str">
        <f t="shared" si="0"/>
        <v>MCSDESP4CPF - Desp. Moradia</v>
      </c>
      <c r="O136" s="44" t="str">
        <f t="shared" si="1"/>
        <v>DESP4CPF - Desp. Moradia</v>
      </c>
      <c r="P136" s="44" t="str">
        <f t="shared" si="2"/>
        <v>MCSDESP4CPF - Desp. Moradia</v>
      </c>
      <c r="Q136" s="44" t="str">
        <f t="shared" si="3"/>
        <v>MCSDESP4</v>
      </c>
      <c r="R136" s="44" t="str">
        <f t="shared" si="4"/>
        <v>MCSDESP4</v>
      </c>
      <c r="S136" s="38"/>
      <c r="T136" s="304">
        <f t="shared" si="5"/>
        <v>46054</v>
      </c>
      <c r="U136" s="304" t="str">
        <f t="shared" si="6"/>
        <v/>
      </c>
      <c r="V136" s="300" t="s">
        <v>761</v>
      </c>
    </row>
    <row r="137" spans="2:22" s="300" customFormat="1" x14ac:dyDescent="0.25">
      <c r="B137" s="301" t="s">
        <v>25</v>
      </c>
      <c r="C137" s="302"/>
      <c r="D137" s="86" t="str">
        <f>INDEX(Cad_Natureza!$B$3:$C$52,MATCH('2026'!F137,Cad_Natureza!$C$3:$C$52,0),MATCH('2026'!D$2,Cad_Natureza!$B$3:$C$3,0))</f>
        <v>OUG1</v>
      </c>
      <c r="E137" s="84" t="s">
        <v>1312</v>
      </c>
      <c r="F137" s="85" t="s">
        <v>748</v>
      </c>
      <c r="G137" s="86" t="s">
        <v>25</v>
      </c>
      <c r="H137" s="87">
        <v>46062</v>
      </c>
      <c r="I137" s="87"/>
      <c r="J137" s="79" t="s">
        <v>1333</v>
      </c>
      <c r="K137" s="62">
        <v>-43.91</v>
      </c>
      <c r="L137" s="62">
        <f t="shared" si="30"/>
        <v>3119.23</v>
      </c>
      <c r="M137" s="302"/>
      <c r="N137" s="44" t="str">
        <f t="shared" si="0"/>
        <v>MCSOUG1CPF - Outros gastos</v>
      </c>
      <c r="O137" s="44" t="str">
        <f t="shared" si="1"/>
        <v>OUG1CPF - Outros gastos</v>
      </c>
      <c r="P137" s="44" t="str">
        <f t="shared" si="2"/>
        <v>MCSOUG1CPF - Outros gastos</v>
      </c>
      <c r="Q137" s="44" t="str">
        <f t="shared" si="3"/>
        <v>MCSOUG1</v>
      </c>
      <c r="R137" s="44" t="str">
        <f t="shared" si="4"/>
        <v>MCSOUG1</v>
      </c>
      <c r="S137" s="38"/>
      <c r="T137" s="304">
        <f t="shared" si="5"/>
        <v>46054</v>
      </c>
      <c r="U137" s="304" t="str">
        <f t="shared" si="6"/>
        <v/>
      </c>
      <c r="V137" s="300" t="s">
        <v>731</v>
      </c>
    </row>
    <row r="138" spans="2:22" s="300" customFormat="1" x14ac:dyDescent="0.25">
      <c r="B138" s="301" t="s">
        <v>25</v>
      </c>
      <c r="C138" s="302"/>
      <c r="D138" s="86" t="str">
        <f>INDEX(Cad_Natureza!$B$3:$C$52,MATCH('2026'!F138,Cad_Natureza!$C$3:$C$52,0),MATCH('2026'!D$2,Cad_Natureza!$B$3:$C$3,0))</f>
        <v>GAST2</v>
      </c>
      <c r="E138" s="84" t="s">
        <v>1313</v>
      </c>
      <c r="F138" s="85" t="s">
        <v>743</v>
      </c>
      <c r="G138" s="86" t="s">
        <v>25</v>
      </c>
      <c r="H138" s="87">
        <v>46062</v>
      </c>
      <c r="I138" s="87"/>
      <c r="J138" s="79" t="s">
        <v>180</v>
      </c>
      <c r="K138" s="62">
        <v>-4</v>
      </c>
      <c r="L138" s="62">
        <f t="shared" si="30"/>
        <v>3115.23</v>
      </c>
      <c r="M138" s="302"/>
      <c r="N138" s="44" t="str">
        <f t="shared" si="0"/>
        <v>MCSGAST2CPF - Desp. Lazer e Entretenimento - Cigarro</v>
      </c>
      <c r="O138" s="44" t="str">
        <f t="shared" si="1"/>
        <v>GAST2CPF - Desp. Lazer e Entretenimento - Cigarro</v>
      </c>
      <c r="P138" s="44" t="str">
        <f t="shared" si="2"/>
        <v>MCSGAST2CPF - Desp. Lazer e Entretenimento - Cigarro</v>
      </c>
      <c r="Q138" s="44" t="str">
        <f t="shared" si="3"/>
        <v>MCSGAST2</v>
      </c>
      <c r="R138" s="44" t="str">
        <f t="shared" si="4"/>
        <v>MCSGAST2</v>
      </c>
      <c r="S138" s="38"/>
      <c r="T138" s="304">
        <f t="shared" si="5"/>
        <v>46054</v>
      </c>
      <c r="U138" s="304" t="str">
        <f t="shared" si="6"/>
        <v/>
      </c>
      <c r="V138" s="300" t="s">
        <v>731</v>
      </c>
    </row>
    <row r="139" spans="2:22" s="300" customFormat="1" x14ac:dyDescent="0.25">
      <c r="B139" s="301" t="s">
        <v>25</v>
      </c>
      <c r="C139" s="302"/>
      <c r="D139" s="86" t="str">
        <f>INDEX(Cad_Natureza!$B$3:$C$52,MATCH('2026'!F139,Cad_Natureza!$C$3:$C$52,0),MATCH('2026'!D$2,Cad_Natureza!$B$3:$C$3,0))</f>
        <v>OPF2</v>
      </c>
      <c r="E139" s="84" t="s">
        <v>1314</v>
      </c>
      <c r="F139" s="85" t="s">
        <v>741</v>
      </c>
      <c r="G139" s="86" t="s">
        <v>25</v>
      </c>
      <c r="H139" s="87">
        <v>46062</v>
      </c>
      <c r="I139" s="87"/>
      <c r="J139" s="79" t="s">
        <v>184</v>
      </c>
      <c r="K139" s="62">
        <v>-50</v>
      </c>
      <c r="L139" s="62">
        <f t="shared" si="30"/>
        <v>3065.23</v>
      </c>
      <c r="M139" s="302"/>
      <c r="N139" s="44" t="str">
        <f t="shared" si="0"/>
        <v>MCSOPF2CPF - Desp. Transporte / Combustível</v>
      </c>
      <c r="O139" s="44" t="str">
        <f t="shared" si="1"/>
        <v>OPF2CPF - Desp. Transporte / Combustível</v>
      </c>
      <c r="P139" s="44" t="str">
        <f t="shared" si="2"/>
        <v>MCSOPF2CPF - Desp. Transporte / Combustível</v>
      </c>
      <c r="Q139" s="44" t="str">
        <f t="shared" si="3"/>
        <v>MCSOPF2</v>
      </c>
      <c r="R139" s="44" t="str">
        <f t="shared" si="4"/>
        <v>MCSOPF2</v>
      </c>
      <c r="S139" s="38"/>
      <c r="T139" s="304">
        <f t="shared" si="5"/>
        <v>46054</v>
      </c>
      <c r="U139" s="304" t="str">
        <f t="shared" si="6"/>
        <v/>
      </c>
      <c r="V139" s="300" t="s">
        <v>761</v>
      </c>
    </row>
    <row r="140" spans="2:22" s="300" customFormat="1" x14ac:dyDescent="0.25">
      <c r="B140" s="301" t="s">
        <v>25</v>
      </c>
      <c r="C140" s="302"/>
      <c r="D140" s="86" t="str">
        <f>INDEX(Cad_Natureza!$B$3:$C$52,MATCH('2026'!F140,Cad_Natureza!$C$3:$C$52,0),MATCH('2026'!D$2,Cad_Natureza!$B$3:$C$3,0))</f>
        <v>GAST1</v>
      </c>
      <c r="E140" s="84" t="s">
        <v>1315</v>
      </c>
      <c r="F140" s="85" t="s">
        <v>742</v>
      </c>
      <c r="G140" s="86" t="s">
        <v>25</v>
      </c>
      <c r="H140" s="87">
        <v>46062</v>
      </c>
      <c r="I140" s="87"/>
      <c r="J140" s="79" t="s">
        <v>1325</v>
      </c>
      <c r="K140" s="62">
        <v>-15</v>
      </c>
      <c r="L140" s="62">
        <f t="shared" si="30"/>
        <v>3050.23</v>
      </c>
      <c r="M140" s="302"/>
      <c r="N140" s="44" t="str">
        <f t="shared" si="0"/>
        <v>MCSGAST1CPF - Desp. Lazer e Entretenimento - Bares</v>
      </c>
      <c r="O140" s="44" t="str">
        <f t="shared" si="1"/>
        <v>GAST1CPF - Desp. Lazer e Entretenimento - Bares</v>
      </c>
      <c r="P140" s="44" t="str">
        <f t="shared" si="2"/>
        <v>MCSGAST1CPF - Desp. Lazer e Entretenimento - Bares</v>
      </c>
      <c r="Q140" s="44" t="str">
        <f t="shared" si="3"/>
        <v>MCSGAST1</v>
      </c>
      <c r="R140" s="44" t="str">
        <f t="shared" si="4"/>
        <v>MCSGAST1</v>
      </c>
      <c r="S140" s="38"/>
      <c r="T140" s="304">
        <f t="shared" si="5"/>
        <v>46054</v>
      </c>
      <c r="U140" s="304" t="str">
        <f t="shared" si="6"/>
        <v/>
      </c>
      <c r="V140" s="300" t="s">
        <v>761</v>
      </c>
    </row>
    <row r="141" spans="2:22" s="300" customFormat="1" x14ac:dyDescent="0.25">
      <c r="B141" s="301" t="s">
        <v>25</v>
      </c>
      <c r="C141" s="302"/>
      <c r="D141" s="86" t="str">
        <f>INDEX(Cad_Natureza!$B$3:$C$52,MATCH('2026'!F141,Cad_Natureza!$C$3:$C$52,0),MATCH('2026'!D$2,Cad_Natureza!$B$3:$C$3,0))</f>
        <v>GAST1</v>
      </c>
      <c r="E141" s="84" t="s">
        <v>1315</v>
      </c>
      <c r="F141" s="85" t="s">
        <v>742</v>
      </c>
      <c r="G141" s="86" t="s">
        <v>25</v>
      </c>
      <c r="H141" s="87">
        <v>46062</v>
      </c>
      <c r="I141" s="87"/>
      <c r="J141" s="79" t="s">
        <v>1326</v>
      </c>
      <c r="K141" s="62">
        <v>-3</v>
      </c>
      <c r="L141" s="62">
        <f t="shared" si="30"/>
        <v>3047.23</v>
      </c>
      <c r="M141" s="302"/>
      <c r="N141" s="44" t="str">
        <f t="shared" si="0"/>
        <v>MCSGAST1CPF - Desp. Lazer e Entretenimento - Bares</v>
      </c>
      <c r="O141" s="44" t="str">
        <f t="shared" si="1"/>
        <v>GAST1CPF - Desp. Lazer e Entretenimento - Bares</v>
      </c>
      <c r="P141" s="44" t="str">
        <f t="shared" si="2"/>
        <v>MCSGAST1CPF - Desp. Lazer e Entretenimento - Bares</v>
      </c>
      <c r="Q141" s="44" t="str">
        <f t="shared" si="3"/>
        <v>MCSGAST1</v>
      </c>
      <c r="R141" s="44" t="str">
        <f t="shared" si="4"/>
        <v>MCSGAST1</v>
      </c>
      <c r="S141" s="38"/>
      <c r="T141" s="304">
        <f t="shared" si="5"/>
        <v>46054</v>
      </c>
      <c r="U141" s="304" t="str">
        <f t="shared" si="6"/>
        <v/>
      </c>
      <c r="V141" s="300" t="s">
        <v>761</v>
      </c>
    </row>
    <row r="142" spans="2:22" s="300" customFormat="1" x14ac:dyDescent="0.25">
      <c r="B142" s="301" t="s">
        <v>25</v>
      </c>
      <c r="C142" s="302"/>
      <c r="D142" s="86" t="str">
        <f>INDEX(Cad_Natureza!$B$3:$C$52,MATCH('2026'!F142,Cad_Natureza!$C$3:$C$52,0),MATCH('2026'!D$2,Cad_Natureza!$B$3:$C$3,0))</f>
        <v>GAST1</v>
      </c>
      <c r="E142" s="84" t="s">
        <v>1315</v>
      </c>
      <c r="F142" s="85" t="s">
        <v>742</v>
      </c>
      <c r="G142" s="86" t="s">
        <v>25</v>
      </c>
      <c r="H142" s="87">
        <v>46062</v>
      </c>
      <c r="I142" s="87"/>
      <c r="J142" s="79" t="s">
        <v>1327</v>
      </c>
      <c r="K142" s="62">
        <v>-5</v>
      </c>
      <c r="L142" s="62">
        <f t="shared" si="30"/>
        <v>3042.23</v>
      </c>
      <c r="M142" s="302"/>
      <c r="N142" s="44" t="str">
        <f t="shared" ref="N142:N149" si="31">B142&amp;D142&amp;F142</f>
        <v>MCSGAST1CPF - Desp. Lazer e Entretenimento - Bares</v>
      </c>
      <c r="O142" s="44" t="str">
        <f t="shared" ref="O142:O149" si="32">D142&amp;F142</f>
        <v>GAST1CPF - Desp. Lazer e Entretenimento - Bares</v>
      </c>
      <c r="P142" s="44" t="str">
        <f t="shared" ref="P142:P149" si="33">"MCS"&amp;D142&amp;F142</f>
        <v>MCSGAST1CPF - Desp. Lazer e Entretenimento - Bares</v>
      </c>
      <c r="Q142" s="44" t="str">
        <f t="shared" ref="Q142:Q149" si="34">"MCS"&amp;D142</f>
        <v>MCSGAST1</v>
      </c>
      <c r="R142" s="44" t="str">
        <f t="shared" ref="R142:R149" si="35">B142&amp;D142</f>
        <v>MCSGAST1</v>
      </c>
      <c r="S142" s="38"/>
      <c r="T142" s="304">
        <f t="shared" ref="T142:T149" si="36">(1&amp;"/"&amp;MONTH(H142)&amp;"/"&amp;YEAR(H142))*1</f>
        <v>46054</v>
      </c>
      <c r="U142" s="304" t="str">
        <f t="shared" ref="U142:U149" si="37">IF(I142="","",(1&amp;"/"&amp;MONTH(I142)&amp;"/"&amp;YEAR(I142))*1)</f>
        <v/>
      </c>
      <c r="V142" s="300" t="s">
        <v>761</v>
      </c>
    </row>
    <row r="143" spans="2:22" s="300" customFormat="1" x14ac:dyDescent="0.25">
      <c r="B143" s="301" t="s">
        <v>25</v>
      </c>
      <c r="C143" s="302"/>
      <c r="D143" s="86" t="str">
        <f>INDEX(Cad_Natureza!$B$3:$C$52,MATCH('2026'!F143,Cad_Natureza!$C$3:$C$52,0),MATCH('2026'!D$2,Cad_Natureza!$B$3:$C$3,0))</f>
        <v>GAST1</v>
      </c>
      <c r="E143" s="84" t="s">
        <v>1316</v>
      </c>
      <c r="F143" s="85" t="s">
        <v>742</v>
      </c>
      <c r="G143" s="86" t="s">
        <v>25</v>
      </c>
      <c r="H143" s="87">
        <v>46062</v>
      </c>
      <c r="I143" s="87"/>
      <c r="J143" s="79" t="s">
        <v>1326</v>
      </c>
      <c r="K143" s="62">
        <v>-3</v>
      </c>
      <c r="L143" s="62">
        <f t="shared" si="30"/>
        <v>3039.23</v>
      </c>
      <c r="M143" s="302"/>
      <c r="N143" s="44" t="str">
        <f t="shared" si="31"/>
        <v>MCSGAST1CPF - Desp. Lazer e Entretenimento - Bares</v>
      </c>
      <c r="O143" s="44" t="str">
        <f t="shared" si="32"/>
        <v>GAST1CPF - Desp. Lazer e Entretenimento - Bares</v>
      </c>
      <c r="P143" s="44" t="str">
        <f t="shared" si="33"/>
        <v>MCSGAST1CPF - Desp. Lazer e Entretenimento - Bares</v>
      </c>
      <c r="Q143" s="44" t="str">
        <f t="shared" si="34"/>
        <v>MCSGAST1</v>
      </c>
      <c r="R143" s="44" t="str">
        <f t="shared" si="35"/>
        <v>MCSGAST1</v>
      </c>
      <c r="S143" s="38"/>
      <c r="T143" s="304">
        <f t="shared" si="36"/>
        <v>46054</v>
      </c>
      <c r="U143" s="304" t="str">
        <f t="shared" si="37"/>
        <v/>
      </c>
      <c r="V143" s="300" t="s">
        <v>761</v>
      </c>
    </row>
    <row r="144" spans="2:22" s="300" customFormat="1" x14ac:dyDescent="0.25">
      <c r="B144" s="301" t="s">
        <v>25</v>
      </c>
      <c r="C144" s="302"/>
      <c r="D144" s="86" t="str">
        <f>INDEX(Cad_Natureza!$B$3:$C$52,MATCH('2026'!F144,Cad_Natureza!$C$3:$C$52,0),MATCH('2026'!D$2,Cad_Natureza!$B$3:$C$3,0))</f>
        <v>GAST1</v>
      </c>
      <c r="E144" s="84" t="s">
        <v>1317</v>
      </c>
      <c r="F144" s="85" t="s">
        <v>742</v>
      </c>
      <c r="G144" s="86" t="s">
        <v>25</v>
      </c>
      <c r="H144" s="87">
        <v>46062</v>
      </c>
      <c r="I144" s="87"/>
      <c r="J144" s="79" t="s">
        <v>185</v>
      </c>
      <c r="K144" s="62">
        <v>-15</v>
      </c>
      <c r="L144" s="62">
        <f t="shared" si="30"/>
        <v>3024.23</v>
      </c>
      <c r="M144" s="302"/>
      <c r="N144" s="44" t="str">
        <f t="shared" si="31"/>
        <v>MCSGAST1CPF - Desp. Lazer e Entretenimento - Bares</v>
      </c>
      <c r="O144" s="44" t="str">
        <f t="shared" si="32"/>
        <v>GAST1CPF - Desp. Lazer e Entretenimento - Bares</v>
      </c>
      <c r="P144" s="44" t="str">
        <f t="shared" si="33"/>
        <v>MCSGAST1CPF - Desp. Lazer e Entretenimento - Bares</v>
      </c>
      <c r="Q144" s="44" t="str">
        <f t="shared" si="34"/>
        <v>MCSGAST1</v>
      </c>
      <c r="R144" s="44" t="str">
        <f t="shared" si="35"/>
        <v>MCSGAST1</v>
      </c>
      <c r="S144" s="38"/>
      <c r="T144" s="304">
        <f t="shared" si="36"/>
        <v>46054</v>
      </c>
      <c r="U144" s="304" t="str">
        <f t="shared" si="37"/>
        <v/>
      </c>
      <c r="V144" s="300" t="s">
        <v>761</v>
      </c>
    </row>
    <row r="145" spans="2:22" s="300" customFormat="1" x14ac:dyDescent="0.25">
      <c r="B145" s="301" t="s">
        <v>25</v>
      </c>
      <c r="C145" s="302"/>
      <c r="D145" s="86" t="str">
        <f>INDEX(Cad_Natureza!$B$3:$C$52,MATCH('2026'!F145,Cad_Natureza!$C$3:$C$52,0),MATCH('2026'!D$2,Cad_Natureza!$B$3:$C$3,0))</f>
        <v>GAST1</v>
      </c>
      <c r="E145" s="84" t="s">
        <v>1317</v>
      </c>
      <c r="F145" s="85" t="s">
        <v>742</v>
      </c>
      <c r="G145" s="86" t="s">
        <v>25</v>
      </c>
      <c r="H145" s="87">
        <v>46062</v>
      </c>
      <c r="I145" s="87"/>
      <c r="J145" s="79" t="s">
        <v>185</v>
      </c>
      <c r="K145" s="62">
        <v>-10</v>
      </c>
      <c r="L145" s="62">
        <f t="shared" si="30"/>
        <v>3014.23</v>
      </c>
      <c r="M145" s="302"/>
      <c r="N145" s="44" t="str">
        <f t="shared" si="31"/>
        <v>MCSGAST1CPF - Desp. Lazer e Entretenimento - Bares</v>
      </c>
      <c r="O145" s="44" t="str">
        <f t="shared" si="32"/>
        <v>GAST1CPF - Desp. Lazer e Entretenimento - Bares</v>
      </c>
      <c r="P145" s="44" t="str">
        <f t="shared" si="33"/>
        <v>MCSGAST1CPF - Desp. Lazer e Entretenimento - Bares</v>
      </c>
      <c r="Q145" s="44" t="str">
        <f t="shared" si="34"/>
        <v>MCSGAST1</v>
      </c>
      <c r="R145" s="44" t="str">
        <f t="shared" si="35"/>
        <v>MCSGAST1</v>
      </c>
      <c r="S145" s="38"/>
      <c r="T145" s="304">
        <f t="shared" si="36"/>
        <v>46054</v>
      </c>
      <c r="U145" s="304" t="str">
        <f t="shared" si="37"/>
        <v/>
      </c>
      <c r="V145" s="300" t="s">
        <v>731</v>
      </c>
    </row>
    <row r="146" spans="2:22" s="300" customFormat="1" x14ac:dyDescent="0.25">
      <c r="B146" s="301" t="s">
        <v>25</v>
      </c>
      <c r="C146" s="302"/>
      <c r="D146" s="86" t="str">
        <f>INDEX(Cad_Natureza!$B$3:$C$52,MATCH('2026'!F146,Cad_Natureza!$C$3:$C$52,0),MATCH('2026'!D$2,Cad_Natureza!$B$3:$C$3,0))</f>
        <v>GAST2</v>
      </c>
      <c r="E146" s="84" t="s">
        <v>1318</v>
      </c>
      <c r="F146" s="85" t="s">
        <v>743</v>
      </c>
      <c r="G146" s="86" t="s">
        <v>25</v>
      </c>
      <c r="H146" s="87">
        <v>46062</v>
      </c>
      <c r="I146" s="87"/>
      <c r="J146" s="79" t="s">
        <v>180</v>
      </c>
      <c r="K146" s="62">
        <v>-34</v>
      </c>
      <c r="L146" s="62">
        <f t="shared" si="30"/>
        <v>2980.23</v>
      </c>
      <c r="M146" s="302"/>
      <c r="N146" s="44" t="str">
        <f t="shared" si="31"/>
        <v>MCSGAST2CPF - Desp. Lazer e Entretenimento - Cigarro</v>
      </c>
      <c r="O146" s="44" t="str">
        <f t="shared" si="32"/>
        <v>GAST2CPF - Desp. Lazer e Entretenimento - Cigarro</v>
      </c>
      <c r="P146" s="44" t="str">
        <f t="shared" si="33"/>
        <v>MCSGAST2CPF - Desp. Lazer e Entretenimento - Cigarro</v>
      </c>
      <c r="Q146" s="44" t="str">
        <f t="shared" si="34"/>
        <v>MCSGAST2</v>
      </c>
      <c r="R146" s="44" t="str">
        <f t="shared" si="35"/>
        <v>MCSGAST2</v>
      </c>
      <c r="S146" s="38"/>
      <c r="T146" s="304">
        <f t="shared" si="36"/>
        <v>46054</v>
      </c>
      <c r="U146" s="304" t="str">
        <f t="shared" si="37"/>
        <v/>
      </c>
      <c r="V146" s="300" t="s">
        <v>731</v>
      </c>
    </row>
    <row r="147" spans="2:22" s="300" customFormat="1" x14ac:dyDescent="0.25">
      <c r="B147" s="301" t="s">
        <v>25</v>
      </c>
      <c r="C147" s="302"/>
      <c r="D147" s="86" t="str">
        <f>INDEX(Cad_Natureza!$B$3:$C$52,MATCH('2026'!F147,Cad_Natureza!$C$3:$C$52,0),MATCH('2026'!D$2,Cad_Natureza!$B$3:$C$3,0))</f>
        <v>GAST1</v>
      </c>
      <c r="E147" s="84" t="s">
        <v>1316</v>
      </c>
      <c r="F147" s="85" t="s">
        <v>742</v>
      </c>
      <c r="G147" s="86" t="s">
        <v>25</v>
      </c>
      <c r="H147" s="87">
        <v>46062</v>
      </c>
      <c r="I147" s="87"/>
      <c r="J147" s="79" t="s">
        <v>1328</v>
      </c>
      <c r="K147" s="62">
        <v>-20</v>
      </c>
      <c r="L147" s="62">
        <f t="shared" si="30"/>
        <v>2960.23</v>
      </c>
      <c r="M147" s="302"/>
      <c r="N147" s="44" t="str">
        <f t="shared" si="31"/>
        <v>MCSGAST1CPF - Desp. Lazer e Entretenimento - Bares</v>
      </c>
      <c r="O147" s="44" t="str">
        <f t="shared" si="32"/>
        <v>GAST1CPF - Desp. Lazer e Entretenimento - Bares</v>
      </c>
      <c r="P147" s="44" t="str">
        <f t="shared" si="33"/>
        <v>MCSGAST1CPF - Desp. Lazer e Entretenimento - Bares</v>
      </c>
      <c r="Q147" s="44" t="str">
        <f t="shared" si="34"/>
        <v>MCSGAST1</v>
      </c>
      <c r="R147" s="44" t="str">
        <f t="shared" si="35"/>
        <v>MCSGAST1</v>
      </c>
      <c r="S147" s="38"/>
      <c r="T147" s="304">
        <f t="shared" si="36"/>
        <v>46054</v>
      </c>
      <c r="U147" s="304" t="str">
        <f t="shared" si="37"/>
        <v/>
      </c>
      <c r="V147" s="300" t="s">
        <v>761</v>
      </c>
    </row>
    <row r="148" spans="2:22" s="291" customFormat="1" x14ac:dyDescent="0.25">
      <c r="B148" s="288" t="s">
        <v>25</v>
      </c>
      <c r="C148" s="83"/>
      <c r="D148" s="63" t="str">
        <f>INDEX(Cad_Natureza!$B$3:$C$52,MATCH('2026'!F148,Cad_Natureza!$C$3:$C$52,0),MATCH('2026'!D$2,Cad_Natureza!$B$3:$C$3,0))</f>
        <v>OUG1</v>
      </c>
      <c r="E148" s="64" t="s">
        <v>1319</v>
      </c>
      <c r="F148" s="65" t="s">
        <v>748</v>
      </c>
      <c r="G148" s="63" t="s">
        <v>25</v>
      </c>
      <c r="H148" s="66">
        <v>46062</v>
      </c>
      <c r="I148" s="66"/>
      <c r="J148" s="67" t="s">
        <v>1329</v>
      </c>
      <c r="K148" s="68">
        <v>43.91</v>
      </c>
      <c r="L148" s="68">
        <f t="shared" si="30"/>
        <v>3004.14</v>
      </c>
      <c r="M148" s="83"/>
      <c r="N148" s="289" t="str">
        <f t="shared" si="31"/>
        <v>MCSOUG1CPF - Outros gastos</v>
      </c>
      <c r="O148" s="289" t="str">
        <f t="shared" si="32"/>
        <v>OUG1CPF - Outros gastos</v>
      </c>
      <c r="P148" s="289" t="str">
        <f t="shared" si="33"/>
        <v>MCSOUG1CPF - Outros gastos</v>
      </c>
      <c r="Q148" s="289" t="str">
        <f t="shared" si="34"/>
        <v>MCSOUG1</v>
      </c>
      <c r="R148" s="289" t="str">
        <f t="shared" si="35"/>
        <v>MCSOUG1</v>
      </c>
      <c r="S148" s="83"/>
      <c r="T148" s="290">
        <f t="shared" si="36"/>
        <v>46054</v>
      </c>
      <c r="U148" s="290" t="str">
        <f t="shared" si="37"/>
        <v/>
      </c>
      <c r="V148" s="291" t="s">
        <v>761</v>
      </c>
    </row>
    <row r="149" spans="2:22" s="300" customFormat="1" x14ac:dyDescent="0.25">
      <c r="B149" s="301" t="s">
        <v>25</v>
      </c>
      <c r="C149" s="302"/>
      <c r="D149" s="86" t="str">
        <f>INDEX(Cad_Natureza!$B$3:$C$52,MATCH('2026'!F149,Cad_Natureza!$C$3:$C$52,0),MATCH('2026'!D$2,Cad_Natureza!$B$3:$C$3,0))</f>
        <v>OPF1</v>
      </c>
      <c r="E149" s="84" t="s">
        <v>1320</v>
      </c>
      <c r="F149" s="85" t="s">
        <v>744</v>
      </c>
      <c r="G149" s="86" t="s">
        <v>25</v>
      </c>
      <c r="H149" s="87">
        <v>46062</v>
      </c>
      <c r="I149" s="87"/>
      <c r="J149" s="79" t="s">
        <v>182</v>
      </c>
      <c r="K149" s="62">
        <v>-20</v>
      </c>
      <c r="L149" s="62">
        <f t="shared" si="30"/>
        <v>2984.14</v>
      </c>
      <c r="M149" s="302"/>
      <c r="N149" s="44" t="str">
        <f t="shared" si="31"/>
        <v>MCSOPF1CPF - Desp. Alimentação / Refeição</v>
      </c>
      <c r="O149" s="44" t="str">
        <f t="shared" si="32"/>
        <v>OPF1CPF - Desp. Alimentação / Refeição</v>
      </c>
      <c r="P149" s="44" t="str">
        <f t="shared" si="33"/>
        <v>MCSOPF1CPF - Desp. Alimentação / Refeição</v>
      </c>
      <c r="Q149" s="44" t="str">
        <f t="shared" si="34"/>
        <v>MCSOPF1</v>
      </c>
      <c r="R149" s="44" t="str">
        <f t="shared" si="35"/>
        <v>MCSOPF1</v>
      </c>
      <c r="S149" s="38"/>
      <c r="T149" s="304">
        <f t="shared" si="36"/>
        <v>46054</v>
      </c>
      <c r="U149" s="304" t="str">
        <f t="shared" si="37"/>
        <v/>
      </c>
      <c r="V149" s="300" t="s">
        <v>761</v>
      </c>
    </row>
    <row r="150" spans="2:22" s="300" customFormat="1" x14ac:dyDescent="0.25">
      <c r="B150" s="301" t="s">
        <v>25</v>
      </c>
      <c r="C150" s="302"/>
      <c r="D150" s="86" t="str">
        <f>INDEX(Cad_Natureza!$B$3:$C$52,MATCH('2026'!F150,Cad_Natureza!$C$3:$C$52,0),MATCH('2026'!D$2,Cad_Natureza!$B$3:$C$3,0))</f>
        <v>DESP2</v>
      </c>
      <c r="E150" s="84" t="s">
        <v>1321</v>
      </c>
      <c r="F150" s="85" t="s">
        <v>739</v>
      </c>
      <c r="G150" s="86" t="s">
        <v>25</v>
      </c>
      <c r="H150" s="87">
        <v>46062</v>
      </c>
      <c r="I150" s="87"/>
      <c r="J150" s="79" t="s">
        <v>1440</v>
      </c>
      <c r="K150" s="62">
        <v>-124.97</v>
      </c>
      <c r="L150" s="62">
        <f t="shared" si="30"/>
        <v>2859.17</v>
      </c>
      <c r="M150" s="302"/>
      <c r="N150" s="44" t="str">
        <f t="shared" si="0"/>
        <v>MCSDESP2CPF - Desp. Telefone / Internet</v>
      </c>
      <c r="O150" s="44" t="str">
        <f t="shared" si="1"/>
        <v>DESP2CPF - Desp. Telefone / Internet</v>
      </c>
      <c r="P150" s="44" t="str">
        <f t="shared" si="2"/>
        <v>MCSDESP2CPF - Desp. Telefone / Internet</v>
      </c>
      <c r="Q150" s="44" t="str">
        <f t="shared" si="3"/>
        <v>MCSDESP2</v>
      </c>
      <c r="R150" s="44" t="str">
        <f t="shared" si="4"/>
        <v>MCSDESP2</v>
      </c>
      <c r="S150" s="38"/>
      <c r="T150" s="304">
        <f t="shared" si="5"/>
        <v>46054</v>
      </c>
      <c r="U150" s="304" t="str">
        <f t="shared" si="6"/>
        <v/>
      </c>
      <c r="V150" s="300" t="s">
        <v>761</v>
      </c>
    </row>
    <row r="151" spans="2:22" s="300" customFormat="1" x14ac:dyDescent="0.25">
      <c r="B151" s="301" t="s">
        <v>25</v>
      </c>
      <c r="C151" s="302"/>
      <c r="D151" s="86" t="str">
        <f>INDEX(Cad_Natureza!$B$3:$C$52,MATCH('2026'!F151,Cad_Natureza!$C$3:$C$52,0),MATCH('2026'!D$2,Cad_Natureza!$B$3:$C$3,0))</f>
        <v>PENS2</v>
      </c>
      <c r="E151" s="84" t="s">
        <v>1322</v>
      </c>
      <c r="F151" s="85" t="s">
        <v>715</v>
      </c>
      <c r="G151" s="86" t="s">
        <v>25</v>
      </c>
      <c r="H151" s="87">
        <v>46062</v>
      </c>
      <c r="I151" s="87"/>
      <c r="J151" s="78" t="s">
        <v>1436</v>
      </c>
      <c r="K151" s="62">
        <v>-833.3</v>
      </c>
      <c r="L151" s="62">
        <f t="shared" si="30"/>
        <v>2025.8700000000001</v>
      </c>
      <c r="M151" s="302"/>
      <c r="N151" s="44" t="str">
        <f t="shared" si="0"/>
        <v>MCSPENS2CPF - Pensão - Energia</v>
      </c>
      <c r="O151" s="44" t="str">
        <f t="shared" si="1"/>
        <v>PENS2CPF - Pensão - Energia</v>
      </c>
      <c r="P151" s="44" t="str">
        <f t="shared" si="2"/>
        <v>MCSPENS2CPF - Pensão - Energia</v>
      </c>
      <c r="Q151" s="44" t="str">
        <f t="shared" si="3"/>
        <v>MCSPENS2</v>
      </c>
      <c r="R151" s="44" t="str">
        <f t="shared" si="4"/>
        <v>MCSPENS2</v>
      </c>
      <c r="S151" s="38"/>
      <c r="T151" s="304">
        <f t="shared" si="5"/>
        <v>46054</v>
      </c>
      <c r="U151" s="304" t="str">
        <f t="shared" si="6"/>
        <v/>
      </c>
      <c r="V151" s="300" t="s">
        <v>761</v>
      </c>
    </row>
    <row r="152" spans="2:22" s="300" customFormat="1" x14ac:dyDescent="0.25">
      <c r="B152" s="301" t="s">
        <v>25</v>
      </c>
      <c r="C152" s="302"/>
      <c r="D152" s="86" t="str">
        <f>INDEX(Cad_Natureza!$B$3:$C$52,MATCH('2026'!F152,Cad_Natureza!$C$3:$C$52,0),MATCH('2026'!D$2,Cad_Natureza!$B$3:$C$3,0))</f>
        <v>PENS1</v>
      </c>
      <c r="E152" s="84" t="s">
        <v>1323</v>
      </c>
      <c r="F152" s="85" t="s">
        <v>717</v>
      </c>
      <c r="G152" s="86" t="s">
        <v>25</v>
      </c>
      <c r="H152" s="87">
        <v>46062</v>
      </c>
      <c r="I152" s="87"/>
      <c r="J152" s="78" t="s">
        <v>1324</v>
      </c>
      <c r="K152" s="62">
        <v>-700</v>
      </c>
      <c r="L152" s="62">
        <f t="shared" si="30"/>
        <v>1325.8700000000001</v>
      </c>
      <c r="M152" s="302"/>
      <c r="N152" s="44" t="str">
        <f t="shared" si="0"/>
        <v>MCSPENS1CPF - Pensão - Aluguel</v>
      </c>
      <c r="O152" s="44" t="str">
        <f t="shared" si="1"/>
        <v>PENS1CPF - Pensão - Aluguel</v>
      </c>
      <c r="P152" s="44" t="str">
        <f t="shared" si="2"/>
        <v>MCSPENS1CPF - Pensão - Aluguel</v>
      </c>
      <c r="Q152" s="44" t="str">
        <f t="shared" si="3"/>
        <v>MCSPENS1</v>
      </c>
      <c r="R152" s="44" t="str">
        <f t="shared" si="4"/>
        <v>MCSPENS1</v>
      </c>
      <c r="S152" s="38"/>
      <c r="T152" s="304">
        <f t="shared" si="5"/>
        <v>46054</v>
      </c>
      <c r="U152" s="304" t="str">
        <f t="shared" si="6"/>
        <v/>
      </c>
      <c r="V152" s="300" t="s">
        <v>761</v>
      </c>
    </row>
    <row r="153" spans="2:22" s="300" customFormat="1" x14ac:dyDescent="0.25">
      <c r="B153" s="301" t="s">
        <v>25</v>
      </c>
      <c r="C153" s="302"/>
      <c r="D153" s="86" t="str">
        <f>INDEX(Cad_Natureza!$B$3:$C$52,MATCH('2026'!F153,Cad_Natureza!$C$3:$C$52,0),MATCH('2026'!D$2,Cad_Natureza!$B$3:$C$3,0))</f>
        <v>FIN3</v>
      </c>
      <c r="E153" s="84" t="s">
        <v>1351</v>
      </c>
      <c r="F153" s="85" t="s">
        <v>939</v>
      </c>
      <c r="G153" s="86" t="s">
        <v>25</v>
      </c>
      <c r="H153" s="87">
        <v>46063</v>
      </c>
      <c r="I153" s="87"/>
      <c r="J153" s="79" t="s">
        <v>572</v>
      </c>
      <c r="K153" s="62">
        <v>-290.26</v>
      </c>
      <c r="L153" s="62">
        <f t="shared" si="30"/>
        <v>1035.6100000000001</v>
      </c>
      <c r="M153" s="302"/>
      <c r="N153" s="44" t="str">
        <f t="shared" si="0"/>
        <v>MCSFIN3CPF - Desp. Financeiras - Empréstimos bancários</v>
      </c>
      <c r="O153" s="44" t="str">
        <f t="shared" si="1"/>
        <v>FIN3CPF - Desp. Financeiras - Empréstimos bancários</v>
      </c>
      <c r="P153" s="44" t="str">
        <f t="shared" si="2"/>
        <v>MCSFIN3CPF - Desp. Financeiras - Empréstimos bancários</v>
      </c>
      <c r="Q153" s="44" t="str">
        <f t="shared" si="3"/>
        <v>MCSFIN3</v>
      </c>
      <c r="R153" s="44" t="str">
        <f t="shared" si="4"/>
        <v>MCSFIN3</v>
      </c>
      <c r="S153" s="38"/>
      <c r="T153" s="304">
        <f t="shared" si="5"/>
        <v>46054</v>
      </c>
      <c r="U153" s="304" t="str">
        <f t="shared" si="6"/>
        <v/>
      </c>
      <c r="V153" s="300" t="s">
        <v>731</v>
      </c>
    </row>
    <row r="154" spans="2:22" s="300" customFormat="1" x14ac:dyDescent="0.25">
      <c r="B154" s="301" t="s">
        <v>25</v>
      </c>
      <c r="C154" s="302"/>
      <c r="D154" s="86" t="str">
        <f>INDEX(Cad_Natureza!$B$3:$C$52,MATCH('2026'!F154,Cad_Natureza!$C$3:$C$52,0),MATCH('2026'!D$2,Cad_Natureza!$B$3:$C$3,0))</f>
        <v>FIN3</v>
      </c>
      <c r="E154" s="84" t="s">
        <v>1351</v>
      </c>
      <c r="F154" s="85" t="s">
        <v>939</v>
      </c>
      <c r="G154" s="86" t="s">
        <v>25</v>
      </c>
      <c r="H154" s="87">
        <v>46063</v>
      </c>
      <c r="I154" s="87"/>
      <c r="J154" s="79" t="s">
        <v>572</v>
      </c>
      <c r="K154" s="62">
        <v>-6.79</v>
      </c>
      <c r="L154" s="62">
        <f t="shared" si="30"/>
        <v>1028.8200000000002</v>
      </c>
      <c r="M154" s="302"/>
      <c r="N154" s="44" t="str">
        <f t="shared" si="0"/>
        <v>MCSFIN3CPF - Desp. Financeiras - Empréstimos bancários</v>
      </c>
      <c r="O154" s="44" t="str">
        <f t="shared" si="1"/>
        <v>FIN3CPF - Desp. Financeiras - Empréstimos bancários</v>
      </c>
      <c r="P154" s="44" t="str">
        <f t="shared" si="2"/>
        <v>MCSFIN3CPF - Desp. Financeiras - Empréstimos bancários</v>
      </c>
      <c r="Q154" s="44" t="str">
        <f t="shared" si="3"/>
        <v>MCSFIN3</v>
      </c>
      <c r="R154" s="44" t="str">
        <f t="shared" si="4"/>
        <v>MCSFIN3</v>
      </c>
      <c r="S154" s="38"/>
      <c r="T154" s="304">
        <f t="shared" si="5"/>
        <v>46054</v>
      </c>
      <c r="U154" s="304" t="str">
        <f t="shared" si="6"/>
        <v/>
      </c>
      <c r="V154" s="300" t="s">
        <v>731</v>
      </c>
    </row>
    <row r="155" spans="2:22" s="300" customFormat="1" x14ac:dyDescent="0.25">
      <c r="B155" s="301" t="s">
        <v>25</v>
      </c>
      <c r="C155" s="302"/>
      <c r="D155" s="86" t="str">
        <f>INDEX(Cad_Natureza!$B$3:$C$52,MATCH('2026'!F155,Cad_Natureza!$C$3:$C$52,0),MATCH('2026'!D$2,Cad_Natureza!$B$3:$C$3,0))</f>
        <v>GAST2</v>
      </c>
      <c r="E155" s="84" t="s">
        <v>1352</v>
      </c>
      <c r="F155" s="85" t="s">
        <v>743</v>
      </c>
      <c r="G155" s="86" t="s">
        <v>25</v>
      </c>
      <c r="H155" s="87">
        <v>46063</v>
      </c>
      <c r="I155" s="87"/>
      <c r="J155" s="79" t="s">
        <v>180</v>
      </c>
      <c r="K155" s="62">
        <v>-32</v>
      </c>
      <c r="L155" s="62">
        <f t="shared" si="30"/>
        <v>996.82000000000016</v>
      </c>
      <c r="M155" s="302"/>
      <c r="N155" s="44" t="str">
        <f t="shared" ref="N155:N169" si="38">B155&amp;D155&amp;F155</f>
        <v>MCSGAST2CPF - Desp. Lazer e Entretenimento - Cigarro</v>
      </c>
      <c r="O155" s="44" t="str">
        <f t="shared" ref="O155:O169" si="39">D155&amp;F155</f>
        <v>GAST2CPF - Desp. Lazer e Entretenimento - Cigarro</v>
      </c>
      <c r="P155" s="44" t="str">
        <f t="shared" ref="P155:P169" si="40">"MCS"&amp;D155&amp;F155</f>
        <v>MCSGAST2CPF - Desp. Lazer e Entretenimento - Cigarro</v>
      </c>
      <c r="Q155" s="44" t="str">
        <f t="shared" ref="Q155:Q169" si="41">"MCS"&amp;D155</f>
        <v>MCSGAST2</v>
      </c>
      <c r="R155" s="44" t="str">
        <f t="shared" ref="R155:R169" si="42">B155&amp;D155</f>
        <v>MCSGAST2</v>
      </c>
      <c r="S155" s="38"/>
      <c r="T155" s="304">
        <f t="shared" ref="T155:T169" si="43">(1&amp;"/"&amp;MONTH(H155)&amp;"/"&amp;YEAR(H155))*1</f>
        <v>46054</v>
      </c>
      <c r="U155" s="304" t="str">
        <f t="shared" ref="U155:U169" si="44">IF(I155="","",(1&amp;"/"&amp;MONTH(I155)&amp;"/"&amp;YEAR(I155))*1)</f>
        <v/>
      </c>
      <c r="V155" s="300" t="s">
        <v>761</v>
      </c>
    </row>
    <row r="156" spans="2:22" s="300" customFormat="1" x14ac:dyDescent="0.25">
      <c r="B156" s="301" t="s">
        <v>25</v>
      </c>
      <c r="C156" s="302"/>
      <c r="D156" s="86" t="str">
        <f>INDEX(Cad_Natureza!$B$3:$C$52,MATCH('2026'!F156,Cad_Natureza!$C$3:$C$52,0),MATCH('2026'!D$2,Cad_Natureza!$B$3:$C$3,0))</f>
        <v>GAST1</v>
      </c>
      <c r="E156" s="84" t="s">
        <v>1353</v>
      </c>
      <c r="F156" s="85" t="s">
        <v>742</v>
      </c>
      <c r="G156" s="86" t="s">
        <v>25</v>
      </c>
      <c r="H156" s="87">
        <v>46063</v>
      </c>
      <c r="I156" s="87"/>
      <c r="J156" s="79" t="s">
        <v>185</v>
      </c>
      <c r="K156" s="62">
        <v>-17.91</v>
      </c>
      <c r="L156" s="62">
        <f t="shared" si="30"/>
        <v>978.9100000000002</v>
      </c>
      <c r="M156" s="302"/>
      <c r="N156" s="44" t="str">
        <f t="shared" si="38"/>
        <v>MCSGAST1CPF - Desp. Lazer e Entretenimento - Bares</v>
      </c>
      <c r="O156" s="44" t="str">
        <f t="shared" si="39"/>
        <v>GAST1CPF - Desp. Lazer e Entretenimento - Bares</v>
      </c>
      <c r="P156" s="44" t="str">
        <f t="shared" si="40"/>
        <v>MCSGAST1CPF - Desp. Lazer e Entretenimento - Bares</v>
      </c>
      <c r="Q156" s="44" t="str">
        <f t="shared" si="41"/>
        <v>MCSGAST1</v>
      </c>
      <c r="R156" s="44" t="str">
        <f t="shared" si="42"/>
        <v>MCSGAST1</v>
      </c>
      <c r="S156" s="38"/>
      <c r="T156" s="304">
        <f t="shared" si="43"/>
        <v>46054</v>
      </c>
      <c r="U156" s="304" t="str">
        <f t="shared" si="44"/>
        <v/>
      </c>
      <c r="V156" s="300" t="s">
        <v>761</v>
      </c>
    </row>
    <row r="157" spans="2:22" s="300" customFormat="1" x14ac:dyDescent="0.25">
      <c r="B157" s="301" t="s">
        <v>25</v>
      </c>
      <c r="C157" s="302"/>
      <c r="D157" s="86" t="str">
        <f>INDEX(Cad_Natureza!$B$3:$C$52,MATCH('2026'!F157,Cad_Natureza!$C$3:$C$52,0),MATCH('2026'!D$2,Cad_Natureza!$B$3:$C$3,0))</f>
        <v>OPF1</v>
      </c>
      <c r="E157" s="84" t="s">
        <v>1354</v>
      </c>
      <c r="F157" s="85" t="s">
        <v>744</v>
      </c>
      <c r="G157" s="86" t="s">
        <v>25</v>
      </c>
      <c r="H157" s="87">
        <v>46063</v>
      </c>
      <c r="I157" s="87"/>
      <c r="J157" s="79" t="s">
        <v>182</v>
      </c>
      <c r="K157" s="62">
        <v>-20</v>
      </c>
      <c r="L157" s="62">
        <f t="shared" si="30"/>
        <v>958.9100000000002</v>
      </c>
      <c r="M157" s="302"/>
      <c r="N157" s="44" t="str">
        <f t="shared" si="38"/>
        <v>MCSOPF1CPF - Desp. Alimentação / Refeição</v>
      </c>
      <c r="O157" s="44" t="str">
        <f t="shared" si="39"/>
        <v>OPF1CPF - Desp. Alimentação / Refeição</v>
      </c>
      <c r="P157" s="44" t="str">
        <f t="shared" si="40"/>
        <v>MCSOPF1CPF - Desp. Alimentação / Refeição</v>
      </c>
      <c r="Q157" s="44" t="str">
        <f t="shared" si="41"/>
        <v>MCSOPF1</v>
      </c>
      <c r="R157" s="44" t="str">
        <f t="shared" si="42"/>
        <v>MCSOPF1</v>
      </c>
      <c r="S157" s="38"/>
      <c r="T157" s="304">
        <f t="shared" si="43"/>
        <v>46054</v>
      </c>
      <c r="U157" s="304" t="str">
        <f t="shared" si="44"/>
        <v/>
      </c>
      <c r="V157" s="300" t="s">
        <v>761</v>
      </c>
    </row>
    <row r="158" spans="2:22" s="300" customFormat="1" x14ac:dyDescent="0.25">
      <c r="B158" s="301" t="s">
        <v>25</v>
      </c>
      <c r="C158" s="302"/>
      <c r="D158" s="86" t="str">
        <f>INDEX(Cad_Natureza!$B$3:$C$52,MATCH('2026'!F158,Cad_Natureza!$C$3:$C$52,0),MATCH('2026'!D$2,Cad_Natureza!$B$3:$C$3,0))</f>
        <v>OPF2</v>
      </c>
      <c r="E158" s="84" t="s">
        <v>1355</v>
      </c>
      <c r="F158" s="85" t="s">
        <v>741</v>
      </c>
      <c r="G158" s="86" t="s">
        <v>25</v>
      </c>
      <c r="H158" s="87">
        <v>46063</v>
      </c>
      <c r="I158" s="87"/>
      <c r="J158" s="79" t="s">
        <v>184</v>
      </c>
      <c r="K158" s="62">
        <v>-50</v>
      </c>
      <c r="L158" s="62">
        <f t="shared" si="30"/>
        <v>908.9100000000002</v>
      </c>
      <c r="M158" s="302"/>
      <c r="N158" s="44" t="str">
        <f t="shared" si="38"/>
        <v>MCSOPF2CPF - Desp. Transporte / Combustível</v>
      </c>
      <c r="O158" s="44" t="str">
        <f t="shared" si="39"/>
        <v>OPF2CPF - Desp. Transporte / Combustível</v>
      </c>
      <c r="P158" s="44" t="str">
        <f t="shared" si="40"/>
        <v>MCSOPF2CPF - Desp. Transporte / Combustível</v>
      </c>
      <c r="Q158" s="44" t="str">
        <f t="shared" si="41"/>
        <v>MCSOPF2</v>
      </c>
      <c r="R158" s="44" t="str">
        <f t="shared" si="42"/>
        <v>MCSOPF2</v>
      </c>
      <c r="S158" s="38"/>
      <c r="T158" s="304">
        <f t="shared" si="43"/>
        <v>46054</v>
      </c>
      <c r="U158" s="304" t="str">
        <f t="shared" si="44"/>
        <v/>
      </c>
      <c r="V158" s="300" t="s">
        <v>761</v>
      </c>
    </row>
    <row r="159" spans="2:22" s="300" customFormat="1" x14ac:dyDescent="0.25">
      <c r="B159" s="301" t="s">
        <v>25</v>
      </c>
      <c r="C159" s="302"/>
      <c r="D159" s="86" t="str">
        <f>INDEX(Cad_Natureza!$B$3:$C$52,MATCH('2026'!F159,Cad_Natureza!$C$3:$C$52,0),MATCH('2026'!D$2,Cad_Natureza!$B$3:$C$3,0))</f>
        <v>OUG1</v>
      </c>
      <c r="E159" s="84" t="s">
        <v>1356</v>
      </c>
      <c r="F159" s="85" t="s">
        <v>748</v>
      </c>
      <c r="G159" s="86" t="s">
        <v>25</v>
      </c>
      <c r="H159" s="87">
        <v>46063</v>
      </c>
      <c r="I159" s="87"/>
      <c r="J159" s="79" t="s">
        <v>1426</v>
      </c>
      <c r="K159" s="62">
        <v>-44.2</v>
      </c>
      <c r="L159" s="62">
        <f t="shared" si="30"/>
        <v>864.71000000000015</v>
      </c>
      <c r="M159" s="302"/>
      <c r="N159" s="44" t="str">
        <f t="shared" si="38"/>
        <v>MCSOUG1CPF - Outros gastos</v>
      </c>
      <c r="O159" s="44" t="str">
        <f t="shared" si="39"/>
        <v>OUG1CPF - Outros gastos</v>
      </c>
      <c r="P159" s="44" t="str">
        <f t="shared" si="40"/>
        <v>MCSOUG1CPF - Outros gastos</v>
      </c>
      <c r="Q159" s="44" t="str">
        <f t="shared" si="41"/>
        <v>MCSOUG1</v>
      </c>
      <c r="R159" s="44" t="str">
        <f t="shared" si="42"/>
        <v>MCSOUG1</v>
      </c>
      <c r="S159" s="38"/>
      <c r="T159" s="304">
        <f t="shared" si="43"/>
        <v>46054</v>
      </c>
      <c r="U159" s="304" t="str">
        <f t="shared" si="44"/>
        <v/>
      </c>
      <c r="V159" s="300" t="s">
        <v>761</v>
      </c>
    </row>
    <row r="160" spans="2:22" s="300" customFormat="1" x14ac:dyDescent="0.25">
      <c r="B160" s="301" t="s">
        <v>25</v>
      </c>
      <c r="C160" s="302"/>
      <c r="D160" s="86" t="str">
        <f>INDEX(Cad_Natureza!$B$3:$C$52,MATCH('2026'!F160,Cad_Natureza!$C$3:$C$52,0),MATCH('2026'!D$2,Cad_Natureza!$B$3:$C$3,0))</f>
        <v>GAST1</v>
      </c>
      <c r="E160" s="84" t="s">
        <v>1357</v>
      </c>
      <c r="F160" s="85" t="s">
        <v>742</v>
      </c>
      <c r="G160" s="86" t="s">
        <v>25</v>
      </c>
      <c r="H160" s="87">
        <v>46063</v>
      </c>
      <c r="I160" s="87"/>
      <c r="J160" s="79" t="s">
        <v>1340</v>
      </c>
      <c r="K160" s="62">
        <v>-3</v>
      </c>
      <c r="L160" s="62">
        <f t="shared" si="30"/>
        <v>861.71000000000015</v>
      </c>
      <c r="M160" s="302"/>
      <c r="N160" s="44" t="str">
        <f t="shared" si="38"/>
        <v>MCSGAST1CPF - Desp. Lazer e Entretenimento - Bares</v>
      </c>
      <c r="O160" s="44" t="str">
        <f t="shared" si="39"/>
        <v>GAST1CPF - Desp. Lazer e Entretenimento - Bares</v>
      </c>
      <c r="P160" s="44" t="str">
        <f t="shared" si="40"/>
        <v>MCSGAST1CPF - Desp. Lazer e Entretenimento - Bares</v>
      </c>
      <c r="Q160" s="44" t="str">
        <f t="shared" si="41"/>
        <v>MCSGAST1</v>
      </c>
      <c r="R160" s="44" t="str">
        <f t="shared" si="42"/>
        <v>MCSGAST1</v>
      </c>
      <c r="S160" s="38"/>
      <c r="T160" s="304">
        <f t="shared" si="43"/>
        <v>46054</v>
      </c>
      <c r="U160" s="304" t="str">
        <f t="shared" si="44"/>
        <v/>
      </c>
      <c r="V160" s="300" t="s">
        <v>761</v>
      </c>
    </row>
    <row r="161" spans="2:22" s="300" customFormat="1" x14ac:dyDescent="0.25">
      <c r="B161" s="301" t="s">
        <v>25</v>
      </c>
      <c r="C161" s="302"/>
      <c r="D161" s="86" t="str">
        <f>INDEX(Cad_Natureza!$B$3:$C$52,MATCH('2026'!F161,Cad_Natureza!$C$3:$C$52,0),MATCH('2026'!D$2,Cad_Natureza!$B$3:$C$3,0))</f>
        <v>OUG1</v>
      </c>
      <c r="E161" s="84" t="s">
        <v>1358</v>
      </c>
      <c r="F161" s="85" t="s">
        <v>748</v>
      </c>
      <c r="G161" s="86" t="s">
        <v>25</v>
      </c>
      <c r="H161" s="87">
        <v>46064</v>
      </c>
      <c r="I161" s="87"/>
      <c r="J161" s="79" t="s">
        <v>1427</v>
      </c>
      <c r="K161" s="62">
        <v>-42</v>
      </c>
      <c r="L161" s="62">
        <f t="shared" si="30"/>
        <v>819.71000000000015</v>
      </c>
      <c r="M161" s="302"/>
      <c r="N161" s="44" t="str">
        <f t="shared" si="38"/>
        <v>MCSOUG1CPF - Outros gastos</v>
      </c>
      <c r="O161" s="44" t="str">
        <f t="shared" si="39"/>
        <v>OUG1CPF - Outros gastos</v>
      </c>
      <c r="P161" s="44" t="str">
        <f t="shared" si="40"/>
        <v>MCSOUG1CPF - Outros gastos</v>
      </c>
      <c r="Q161" s="44" t="str">
        <f t="shared" si="41"/>
        <v>MCSOUG1</v>
      </c>
      <c r="R161" s="44" t="str">
        <f t="shared" si="42"/>
        <v>MCSOUG1</v>
      </c>
      <c r="S161" s="38"/>
      <c r="T161" s="304">
        <f t="shared" si="43"/>
        <v>46054</v>
      </c>
      <c r="U161" s="304" t="str">
        <f t="shared" si="44"/>
        <v/>
      </c>
      <c r="V161" s="300" t="s">
        <v>731</v>
      </c>
    </row>
    <row r="162" spans="2:22" s="300" customFormat="1" x14ac:dyDescent="0.25">
      <c r="B162" s="301" t="s">
        <v>25</v>
      </c>
      <c r="C162" s="302"/>
      <c r="D162" s="86" t="str">
        <f>INDEX(Cad_Natureza!$B$3:$C$52,MATCH('2026'!F162,Cad_Natureza!$C$3:$C$52,0),MATCH('2026'!D$2,Cad_Natureza!$B$3:$C$3,0))</f>
        <v>GAST1</v>
      </c>
      <c r="E162" s="84" t="s">
        <v>1359</v>
      </c>
      <c r="F162" s="85" t="s">
        <v>742</v>
      </c>
      <c r="G162" s="86" t="s">
        <v>25</v>
      </c>
      <c r="H162" s="87">
        <v>46064</v>
      </c>
      <c r="I162" s="87"/>
      <c r="J162" s="79" t="s">
        <v>180</v>
      </c>
      <c r="K162" s="62">
        <v>-35.5</v>
      </c>
      <c r="L162" s="62">
        <f t="shared" si="30"/>
        <v>784.21000000000015</v>
      </c>
      <c r="M162" s="302"/>
      <c r="N162" s="44" t="str">
        <f t="shared" si="38"/>
        <v>MCSGAST1CPF - Desp. Lazer e Entretenimento - Bares</v>
      </c>
      <c r="O162" s="44" t="str">
        <f t="shared" si="39"/>
        <v>GAST1CPF - Desp. Lazer e Entretenimento - Bares</v>
      </c>
      <c r="P162" s="44" t="str">
        <f t="shared" si="40"/>
        <v>MCSGAST1CPF - Desp. Lazer e Entretenimento - Bares</v>
      </c>
      <c r="Q162" s="44" t="str">
        <f t="shared" si="41"/>
        <v>MCSGAST1</v>
      </c>
      <c r="R162" s="44" t="str">
        <f t="shared" si="42"/>
        <v>MCSGAST1</v>
      </c>
      <c r="S162" s="38"/>
      <c r="T162" s="304">
        <f t="shared" si="43"/>
        <v>46054</v>
      </c>
      <c r="U162" s="304" t="str">
        <f t="shared" si="44"/>
        <v/>
      </c>
      <c r="V162" s="300" t="s">
        <v>731</v>
      </c>
    </row>
    <row r="163" spans="2:22" s="300" customFormat="1" x14ac:dyDescent="0.25">
      <c r="B163" s="301" t="s">
        <v>25</v>
      </c>
      <c r="C163" s="302"/>
      <c r="D163" s="86" t="str">
        <f>INDEX(Cad_Natureza!$B$3:$C$52,MATCH('2026'!F163,Cad_Natureza!$C$3:$C$52,0),MATCH('2026'!D$2,Cad_Natureza!$B$3:$C$3,0))</f>
        <v>GAST1</v>
      </c>
      <c r="E163" s="84" t="s">
        <v>1360</v>
      </c>
      <c r="F163" s="85" t="s">
        <v>742</v>
      </c>
      <c r="G163" s="86" t="s">
        <v>25</v>
      </c>
      <c r="H163" s="87">
        <v>46064</v>
      </c>
      <c r="I163" s="87"/>
      <c r="J163" s="79" t="s">
        <v>185</v>
      </c>
      <c r="K163" s="62">
        <v>-39</v>
      </c>
      <c r="L163" s="62">
        <f t="shared" si="30"/>
        <v>745.21000000000015</v>
      </c>
      <c r="M163" s="302"/>
      <c r="N163" s="44" t="str">
        <f t="shared" si="38"/>
        <v>MCSGAST1CPF - Desp. Lazer e Entretenimento - Bares</v>
      </c>
      <c r="O163" s="44" t="str">
        <f t="shared" si="39"/>
        <v>GAST1CPF - Desp. Lazer e Entretenimento - Bares</v>
      </c>
      <c r="P163" s="44" t="str">
        <f t="shared" si="40"/>
        <v>MCSGAST1CPF - Desp. Lazer e Entretenimento - Bares</v>
      </c>
      <c r="Q163" s="44" t="str">
        <f t="shared" si="41"/>
        <v>MCSGAST1</v>
      </c>
      <c r="R163" s="44" t="str">
        <f t="shared" si="42"/>
        <v>MCSGAST1</v>
      </c>
      <c r="S163" s="38"/>
      <c r="T163" s="304">
        <f t="shared" si="43"/>
        <v>46054</v>
      </c>
      <c r="U163" s="304" t="str">
        <f t="shared" si="44"/>
        <v/>
      </c>
      <c r="V163" s="300" t="s">
        <v>761</v>
      </c>
    </row>
    <row r="164" spans="2:22" s="300" customFormat="1" x14ac:dyDescent="0.25">
      <c r="B164" s="301" t="s">
        <v>25</v>
      </c>
      <c r="C164" s="302"/>
      <c r="D164" s="86" t="str">
        <f>INDEX(Cad_Natureza!$B$3:$C$52,MATCH('2026'!F164,Cad_Natureza!$C$3:$C$52,0),MATCH('2026'!D$2,Cad_Natureza!$B$3:$C$3,0))</f>
        <v>OPF1</v>
      </c>
      <c r="E164" s="84" t="s">
        <v>1361</v>
      </c>
      <c r="F164" s="85" t="s">
        <v>744</v>
      </c>
      <c r="G164" s="86" t="s">
        <v>25</v>
      </c>
      <c r="H164" s="87">
        <v>46065</v>
      </c>
      <c r="I164" s="87"/>
      <c r="J164" s="79" t="s">
        <v>182</v>
      </c>
      <c r="K164" s="62">
        <v>-19</v>
      </c>
      <c r="L164" s="62">
        <f t="shared" si="30"/>
        <v>726.21000000000015</v>
      </c>
      <c r="M164" s="302"/>
      <c r="N164" s="44" t="str">
        <f t="shared" si="38"/>
        <v>MCSOPF1CPF - Desp. Alimentação / Refeição</v>
      </c>
      <c r="O164" s="44" t="str">
        <f t="shared" si="39"/>
        <v>OPF1CPF - Desp. Alimentação / Refeição</v>
      </c>
      <c r="P164" s="44" t="str">
        <f t="shared" si="40"/>
        <v>MCSOPF1CPF - Desp. Alimentação / Refeição</v>
      </c>
      <c r="Q164" s="44" t="str">
        <f t="shared" si="41"/>
        <v>MCSOPF1</v>
      </c>
      <c r="R164" s="44" t="str">
        <f t="shared" si="42"/>
        <v>MCSOPF1</v>
      </c>
      <c r="S164" s="38"/>
      <c r="T164" s="304">
        <f t="shared" si="43"/>
        <v>46054</v>
      </c>
      <c r="U164" s="304" t="str">
        <f t="shared" si="44"/>
        <v/>
      </c>
      <c r="V164" s="300" t="s">
        <v>761</v>
      </c>
    </row>
    <row r="165" spans="2:22" s="300" customFormat="1" x14ac:dyDescent="0.25">
      <c r="B165" s="301" t="s">
        <v>25</v>
      </c>
      <c r="C165" s="302"/>
      <c r="D165" s="86" t="str">
        <f>INDEX(Cad_Natureza!$B$3:$C$52,MATCH('2026'!F165,Cad_Natureza!$C$3:$C$52,0),MATCH('2026'!D$2,Cad_Natureza!$B$3:$C$3,0))</f>
        <v>OPF2</v>
      </c>
      <c r="E165" s="84" t="s">
        <v>1362</v>
      </c>
      <c r="F165" s="85" t="s">
        <v>741</v>
      </c>
      <c r="G165" s="86" t="s">
        <v>25</v>
      </c>
      <c r="H165" s="87">
        <v>46065</v>
      </c>
      <c r="I165" s="87"/>
      <c r="J165" s="79" t="s">
        <v>184</v>
      </c>
      <c r="K165" s="62">
        <v>-100</v>
      </c>
      <c r="L165" s="62">
        <f t="shared" si="30"/>
        <v>626.21000000000015</v>
      </c>
      <c r="M165" s="302"/>
      <c r="N165" s="44" t="str">
        <f t="shared" si="38"/>
        <v>MCSOPF2CPF - Desp. Transporte / Combustível</v>
      </c>
      <c r="O165" s="44" t="str">
        <f t="shared" si="39"/>
        <v>OPF2CPF - Desp. Transporte / Combustível</v>
      </c>
      <c r="P165" s="44" t="str">
        <f t="shared" si="40"/>
        <v>MCSOPF2CPF - Desp. Transporte / Combustível</v>
      </c>
      <c r="Q165" s="44" t="str">
        <f t="shared" si="41"/>
        <v>MCSOPF2</v>
      </c>
      <c r="R165" s="44" t="str">
        <f t="shared" si="42"/>
        <v>MCSOPF2</v>
      </c>
      <c r="S165" s="38"/>
      <c r="T165" s="304">
        <f t="shared" si="43"/>
        <v>46054</v>
      </c>
      <c r="U165" s="304" t="str">
        <f t="shared" si="44"/>
        <v/>
      </c>
      <c r="V165" s="300" t="s">
        <v>761</v>
      </c>
    </row>
    <row r="166" spans="2:22" s="300" customFormat="1" x14ac:dyDescent="0.25">
      <c r="B166" s="301" t="s">
        <v>25</v>
      </c>
      <c r="C166" s="302"/>
      <c r="D166" s="86" t="str">
        <f>INDEX(Cad_Natureza!$B$3:$C$52,MATCH('2026'!F166,Cad_Natureza!$C$3:$C$52,0),MATCH('2026'!D$2,Cad_Natureza!$B$3:$C$3,0))</f>
        <v>GAST1</v>
      </c>
      <c r="E166" s="84" t="s">
        <v>1363</v>
      </c>
      <c r="F166" s="85" t="s">
        <v>742</v>
      </c>
      <c r="G166" s="86" t="s">
        <v>25</v>
      </c>
      <c r="H166" s="87">
        <v>46065</v>
      </c>
      <c r="I166" s="87"/>
      <c r="J166" s="79" t="s">
        <v>1340</v>
      </c>
      <c r="K166" s="62">
        <v>-29</v>
      </c>
      <c r="L166" s="62">
        <f t="shared" si="30"/>
        <v>597.21000000000015</v>
      </c>
      <c r="M166" s="302"/>
      <c r="N166" s="44" t="str">
        <f t="shared" si="38"/>
        <v>MCSGAST1CPF - Desp. Lazer e Entretenimento - Bares</v>
      </c>
      <c r="O166" s="44" t="str">
        <f t="shared" si="39"/>
        <v>GAST1CPF - Desp. Lazer e Entretenimento - Bares</v>
      </c>
      <c r="P166" s="44" t="str">
        <f t="shared" si="40"/>
        <v>MCSGAST1CPF - Desp. Lazer e Entretenimento - Bares</v>
      </c>
      <c r="Q166" s="44" t="str">
        <f t="shared" si="41"/>
        <v>MCSGAST1</v>
      </c>
      <c r="R166" s="44" t="str">
        <f t="shared" si="42"/>
        <v>MCSGAST1</v>
      </c>
      <c r="S166" s="38"/>
      <c r="T166" s="304">
        <f t="shared" si="43"/>
        <v>46054</v>
      </c>
      <c r="U166" s="304" t="str">
        <f t="shared" si="44"/>
        <v/>
      </c>
      <c r="V166" s="300" t="s">
        <v>761</v>
      </c>
    </row>
    <row r="167" spans="2:22" s="300" customFormat="1" x14ac:dyDescent="0.25">
      <c r="B167" s="301" t="s">
        <v>25</v>
      </c>
      <c r="C167" s="302"/>
      <c r="D167" s="86" t="str">
        <f>INDEX(Cad_Natureza!$B$3:$C$52,MATCH('2026'!F167,Cad_Natureza!$C$3:$C$52,0),MATCH('2026'!D$2,Cad_Natureza!$B$3:$C$3,0))</f>
        <v>GAST1</v>
      </c>
      <c r="E167" s="84" t="s">
        <v>1364</v>
      </c>
      <c r="F167" s="85" t="s">
        <v>742</v>
      </c>
      <c r="G167" s="86" t="s">
        <v>25</v>
      </c>
      <c r="H167" s="87">
        <v>46065</v>
      </c>
      <c r="I167" s="87"/>
      <c r="J167" s="79" t="s">
        <v>185</v>
      </c>
      <c r="K167" s="62">
        <v>-15</v>
      </c>
      <c r="L167" s="62">
        <f t="shared" si="30"/>
        <v>582.21000000000015</v>
      </c>
      <c r="M167" s="302"/>
      <c r="N167" s="44" t="str">
        <f t="shared" si="38"/>
        <v>MCSGAST1CPF - Desp. Lazer e Entretenimento - Bares</v>
      </c>
      <c r="O167" s="44" t="str">
        <f t="shared" si="39"/>
        <v>GAST1CPF - Desp. Lazer e Entretenimento - Bares</v>
      </c>
      <c r="P167" s="44" t="str">
        <f t="shared" si="40"/>
        <v>MCSGAST1CPF - Desp. Lazer e Entretenimento - Bares</v>
      </c>
      <c r="Q167" s="44" t="str">
        <f t="shared" si="41"/>
        <v>MCSGAST1</v>
      </c>
      <c r="R167" s="44" t="str">
        <f t="shared" si="42"/>
        <v>MCSGAST1</v>
      </c>
      <c r="S167" s="38"/>
      <c r="T167" s="304">
        <f t="shared" si="43"/>
        <v>46054</v>
      </c>
      <c r="U167" s="304" t="str">
        <f t="shared" si="44"/>
        <v/>
      </c>
      <c r="V167" s="300" t="s">
        <v>761</v>
      </c>
    </row>
    <row r="168" spans="2:22" s="300" customFormat="1" x14ac:dyDescent="0.25">
      <c r="B168" s="301" t="s">
        <v>25</v>
      </c>
      <c r="C168" s="302"/>
      <c r="D168" s="86" t="str">
        <f>INDEX(Cad_Natureza!$B$3:$C$52,MATCH('2026'!F168,Cad_Natureza!$C$3:$C$52,0),MATCH('2026'!D$2,Cad_Natureza!$B$3:$C$3,0))</f>
        <v>OPF1</v>
      </c>
      <c r="E168" s="84" t="s">
        <v>1365</v>
      </c>
      <c r="F168" s="85" t="s">
        <v>744</v>
      </c>
      <c r="G168" s="86" t="s">
        <v>25</v>
      </c>
      <c r="H168" s="87">
        <v>46066</v>
      </c>
      <c r="I168" s="87"/>
      <c r="J168" s="79" t="s">
        <v>182</v>
      </c>
      <c r="K168" s="62">
        <v>-20</v>
      </c>
      <c r="L168" s="62">
        <f t="shared" si="30"/>
        <v>562.21000000000015</v>
      </c>
      <c r="M168" s="302"/>
      <c r="N168" s="44" t="str">
        <f t="shared" si="38"/>
        <v>MCSOPF1CPF - Desp. Alimentação / Refeição</v>
      </c>
      <c r="O168" s="44" t="str">
        <f t="shared" si="39"/>
        <v>OPF1CPF - Desp. Alimentação / Refeição</v>
      </c>
      <c r="P168" s="44" t="str">
        <f t="shared" si="40"/>
        <v>MCSOPF1CPF - Desp. Alimentação / Refeição</v>
      </c>
      <c r="Q168" s="44" t="str">
        <f t="shared" si="41"/>
        <v>MCSOPF1</v>
      </c>
      <c r="R168" s="44" t="str">
        <f t="shared" si="42"/>
        <v>MCSOPF1</v>
      </c>
      <c r="S168" s="38"/>
      <c r="T168" s="304">
        <f t="shared" si="43"/>
        <v>46054</v>
      </c>
      <c r="U168" s="304" t="str">
        <f t="shared" si="44"/>
        <v/>
      </c>
      <c r="V168" s="300" t="s">
        <v>761</v>
      </c>
    </row>
    <row r="169" spans="2:22" s="300" customFormat="1" x14ac:dyDescent="0.25">
      <c r="B169" s="301" t="s">
        <v>25</v>
      </c>
      <c r="C169" s="302"/>
      <c r="D169" s="86" t="str">
        <f>INDEX(Cad_Natureza!$B$3:$C$52,MATCH('2026'!F169,Cad_Natureza!$C$3:$C$52,0),MATCH('2026'!D$2,Cad_Natureza!$B$3:$C$3,0))</f>
        <v>OPF2</v>
      </c>
      <c r="E169" s="84" t="s">
        <v>1366</v>
      </c>
      <c r="F169" s="85" t="s">
        <v>741</v>
      </c>
      <c r="G169" s="86" t="s">
        <v>25</v>
      </c>
      <c r="H169" s="87">
        <v>46066</v>
      </c>
      <c r="I169" s="87"/>
      <c r="J169" s="79" t="s">
        <v>1428</v>
      </c>
      <c r="K169" s="62">
        <v>-481.67</v>
      </c>
      <c r="L169" s="62">
        <f t="shared" si="30"/>
        <v>80.540000000000134</v>
      </c>
      <c r="M169" s="302"/>
      <c r="N169" s="44" t="str">
        <f t="shared" si="38"/>
        <v>MCSOPF2CPF - Desp. Transporte / Combustível</v>
      </c>
      <c r="O169" s="44" t="str">
        <f t="shared" si="39"/>
        <v>OPF2CPF - Desp. Transporte / Combustível</v>
      </c>
      <c r="P169" s="44" t="str">
        <f t="shared" si="40"/>
        <v>MCSOPF2CPF - Desp. Transporte / Combustível</v>
      </c>
      <c r="Q169" s="44" t="str">
        <f t="shared" si="41"/>
        <v>MCSOPF2</v>
      </c>
      <c r="R169" s="44" t="str">
        <f t="shared" si="42"/>
        <v>MCSOPF2</v>
      </c>
      <c r="S169" s="38"/>
      <c r="T169" s="304">
        <f t="shared" si="43"/>
        <v>46054</v>
      </c>
      <c r="U169" s="304" t="str">
        <f t="shared" si="44"/>
        <v/>
      </c>
      <c r="V169" s="300" t="s">
        <v>731</v>
      </c>
    </row>
    <row r="170" spans="2:22" s="291" customFormat="1" x14ac:dyDescent="0.25">
      <c r="B170" s="288" t="s">
        <v>25</v>
      </c>
      <c r="C170" s="83"/>
      <c r="D170" s="63" t="str">
        <f>INDEX(Cad_Natureza!$B$3:$C$52,MATCH('2026'!F170,Cad_Natureza!$C$3:$C$52,0),MATCH('2026'!D$2,Cad_Natureza!$B$3:$C$3,0))</f>
        <v>REC4</v>
      </c>
      <c r="E170" s="64" t="s">
        <v>1367</v>
      </c>
      <c r="F170" s="65" t="s">
        <v>734</v>
      </c>
      <c r="G170" s="63" t="s">
        <v>25</v>
      </c>
      <c r="H170" s="66">
        <v>46066</v>
      </c>
      <c r="I170" s="66"/>
      <c r="J170" s="67" t="s">
        <v>183</v>
      </c>
      <c r="K170" s="68">
        <v>1400</v>
      </c>
      <c r="L170" s="68">
        <f t="shared" si="30"/>
        <v>1480.5400000000002</v>
      </c>
      <c r="M170" s="83"/>
      <c r="N170" s="44" t="str">
        <f t="shared" si="0"/>
        <v>MCSREC4CPF - Transf. Da conta PJ para a conta PF</v>
      </c>
      <c r="O170" s="44" t="str">
        <f t="shared" si="1"/>
        <v>REC4CPF - Transf. Da conta PJ para a conta PF</v>
      </c>
      <c r="P170" s="44" t="str">
        <f t="shared" si="2"/>
        <v>MCSREC4CPF - Transf. Da conta PJ para a conta PF</v>
      </c>
      <c r="Q170" s="44" t="str">
        <f t="shared" si="3"/>
        <v>MCSREC4</v>
      </c>
      <c r="R170" s="44" t="str">
        <f t="shared" si="4"/>
        <v>MCSREC4</v>
      </c>
      <c r="S170" s="38"/>
      <c r="T170" s="290">
        <f t="shared" si="5"/>
        <v>46054</v>
      </c>
      <c r="U170" s="290" t="str">
        <f t="shared" si="6"/>
        <v/>
      </c>
      <c r="V170" s="291" t="s">
        <v>761</v>
      </c>
    </row>
    <row r="171" spans="2:22" s="300" customFormat="1" x14ac:dyDescent="0.25">
      <c r="B171" s="301" t="s">
        <v>25</v>
      </c>
      <c r="C171" s="302"/>
      <c r="D171" s="86" t="str">
        <f>INDEX(Cad_Natureza!$B$3:$C$52,MATCH('2026'!F171,Cad_Natureza!$C$3:$C$52,0),MATCH('2026'!D$2,Cad_Natureza!$B$3:$C$3,0))</f>
        <v>GAST1</v>
      </c>
      <c r="E171" s="84" t="s">
        <v>1368</v>
      </c>
      <c r="F171" s="85" t="s">
        <v>742</v>
      </c>
      <c r="G171" s="86" t="s">
        <v>25</v>
      </c>
      <c r="H171" s="87">
        <v>46066</v>
      </c>
      <c r="I171" s="87"/>
      <c r="J171" s="79" t="s">
        <v>1340</v>
      </c>
      <c r="K171" s="62">
        <v>-45</v>
      </c>
      <c r="L171" s="62">
        <f t="shared" si="30"/>
        <v>1435.5400000000002</v>
      </c>
      <c r="M171" s="302"/>
      <c r="N171" s="44" t="str">
        <f t="shared" si="0"/>
        <v>MCSGAST1CPF - Desp. Lazer e Entretenimento - Bares</v>
      </c>
      <c r="O171" s="44" t="str">
        <f t="shared" si="1"/>
        <v>GAST1CPF - Desp. Lazer e Entretenimento - Bares</v>
      </c>
      <c r="P171" s="44" t="str">
        <f t="shared" si="2"/>
        <v>MCSGAST1CPF - Desp. Lazer e Entretenimento - Bares</v>
      </c>
      <c r="Q171" s="44" t="str">
        <f t="shared" si="3"/>
        <v>MCSGAST1</v>
      </c>
      <c r="R171" s="44" t="str">
        <f t="shared" si="4"/>
        <v>MCSGAST1</v>
      </c>
      <c r="S171" s="38"/>
      <c r="T171" s="304">
        <f t="shared" si="5"/>
        <v>46054</v>
      </c>
      <c r="U171" s="304" t="str">
        <f t="shared" si="6"/>
        <v/>
      </c>
      <c r="V171" s="300" t="s">
        <v>761</v>
      </c>
    </row>
    <row r="172" spans="2:22" s="300" customFormat="1" x14ac:dyDescent="0.25">
      <c r="B172" s="301" t="s">
        <v>25</v>
      </c>
      <c r="C172" s="302"/>
      <c r="D172" s="86" t="str">
        <f>INDEX(Cad_Natureza!$B$3:$C$52,MATCH('2026'!F172,Cad_Natureza!$C$3:$C$52,0),MATCH('2026'!D$2,Cad_Natureza!$B$3:$C$3,0))</f>
        <v>PENS6</v>
      </c>
      <c r="E172" s="84" t="s">
        <v>1369</v>
      </c>
      <c r="F172" s="85" t="s">
        <v>37</v>
      </c>
      <c r="G172" s="86" t="s">
        <v>25</v>
      </c>
      <c r="H172" s="87">
        <v>46071</v>
      </c>
      <c r="I172" s="87"/>
      <c r="J172" s="78" t="s">
        <v>568</v>
      </c>
      <c r="K172" s="62">
        <v>-45.98</v>
      </c>
      <c r="L172" s="62">
        <f t="shared" si="30"/>
        <v>1389.5600000000002</v>
      </c>
      <c r="M172" s="302"/>
      <c r="N172" s="44" t="str">
        <f t="shared" si="0"/>
        <v>MCSPENS6CPF - Pensão - Farmácia e Saúde</v>
      </c>
      <c r="O172" s="44" t="str">
        <f t="shared" si="1"/>
        <v>PENS6CPF - Pensão - Farmácia e Saúde</v>
      </c>
      <c r="P172" s="44" t="str">
        <f t="shared" si="2"/>
        <v>MCSPENS6CPF - Pensão - Farmácia e Saúde</v>
      </c>
      <c r="Q172" s="44" t="str">
        <f t="shared" si="3"/>
        <v>MCSPENS6</v>
      </c>
      <c r="R172" s="44" t="str">
        <f t="shared" si="4"/>
        <v>MCSPENS6</v>
      </c>
      <c r="S172" s="38"/>
      <c r="T172" s="304">
        <f t="shared" si="5"/>
        <v>46054</v>
      </c>
      <c r="U172" s="304" t="str">
        <f t="shared" si="6"/>
        <v/>
      </c>
      <c r="V172" s="300" t="s">
        <v>761</v>
      </c>
    </row>
    <row r="173" spans="2:22" s="300" customFormat="1" x14ac:dyDescent="0.25">
      <c r="B173" s="301" t="s">
        <v>25</v>
      </c>
      <c r="C173" s="302"/>
      <c r="D173" s="86" t="str">
        <f>INDEX(Cad_Natureza!$B$3:$C$52,MATCH('2026'!F173,Cad_Natureza!$C$3:$C$52,0),MATCH('2026'!D$2,Cad_Natureza!$B$3:$C$3,0))</f>
        <v>DESP1</v>
      </c>
      <c r="E173" s="84" t="s">
        <v>1370</v>
      </c>
      <c r="F173" s="85" t="s">
        <v>733</v>
      </c>
      <c r="G173" s="86" t="s">
        <v>25</v>
      </c>
      <c r="H173" s="87">
        <v>46071</v>
      </c>
      <c r="I173" s="87"/>
      <c r="J173" s="79" t="s">
        <v>1429</v>
      </c>
      <c r="K173" s="62">
        <v>-197.59</v>
      </c>
      <c r="L173" s="62">
        <f t="shared" si="30"/>
        <v>1191.9700000000003</v>
      </c>
      <c r="M173" s="302"/>
      <c r="N173" s="44" t="str">
        <f t="shared" si="0"/>
        <v>MCSDESP1CPF - Desp. Cartão de crédito</v>
      </c>
      <c r="O173" s="44" t="str">
        <f t="shared" si="1"/>
        <v>DESP1CPF - Desp. Cartão de crédito</v>
      </c>
      <c r="P173" s="44" t="str">
        <f t="shared" si="2"/>
        <v>MCSDESP1CPF - Desp. Cartão de crédito</v>
      </c>
      <c r="Q173" s="44" t="str">
        <f t="shared" si="3"/>
        <v>MCSDESP1</v>
      </c>
      <c r="R173" s="44" t="str">
        <f t="shared" si="4"/>
        <v>MCSDESP1</v>
      </c>
      <c r="S173" s="38"/>
      <c r="T173" s="304">
        <f t="shared" si="5"/>
        <v>46054</v>
      </c>
      <c r="U173" s="304" t="str">
        <f t="shared" si="6"/>
        <v/>
      </c>
      <c r="V173" s="300" t="s">
        <v>761</v>
      </c>
    </row>
    <row r="174" spans="2:22" s="300" customFormat="1" x14ac:dyDescent="0.25">
      <c r="B174" s="301" t="s">
        <v>25</v>
      </c>
      <c r="C174" s="302"/>
      <c r="D174" s="86" t="str">
        <f>INDEX(Cad_Natureza!$B$3:$C$52,MATCH('2026'!F174,Cad_Natureza!$C$3:$C$52,0),MATCH('2026'!D$2,Cad_Natureza!$B$3:$C$3,0))</f>
        <v>GAST1</v>
      </c>
      <c r="E174" s="84" t="s">
        <v>1371</v>
      </c>
      <c r="F174" s="85" t="s">
        <v>742</v>
      </c>
      <c r="G174" s="86" t="s">
        <v>25</v>
      </c>
      <c r="H174" s="87">
        <v>46071</v>
      </c>
      <c r="I174" s="87"/>
      <c r="J174" s="79" t="s">
        <v>185</v>
      </c>
      <c r="K174" s="62">
        <v>-15</v>
      </c>
      <c r="L174" s="62">
        <f t="shared" si="30"/>
        <v>1176.9700000000003</v>
      </c>
      <c r="M174" s="302"/>
      <c r="N174" s="44" t="str">
        <f t="shared" si="0"/>
        <v>MCSGAST1CPF - Desp. Lazer e Entretenimento - Bares</v>
      </c>
      <c r="O174" s="44" t="str">
        <f t="shared" si="1"/>
        <v>GAST1CPF - Desp. Lazer e Entretenimento - Bares</v>
      </c>
      <c r="P174" s="44" t="str">
        <f t="shared" si="2"/>
        <v>MCSGAST1CPF - Desp. Lazer e Entretenimento - Bares</v>
      </c>
      <c r="Q174" s="44" t="str">
        <f t="shared" si="3"/>
        <v>MCSGAST1</v>
      </c>
      <c r="R174" s="44" t="str">
        <f t="shared" si="4"/>
        <v>MCSGAST1</v>
      </c>
      <c r="S174" s="38"/>
      <c r="T174" s="304">
        <f t="shared" si="5"/>
        <v>46054</v>
      </c>
      <c r="U174" s="304" t="str">
        <f t="shared" si="6"/>
        <v/>
      </c>
      <c r="V174" s="300" t="s">
        <v>761</v>
      </c>
    </row>
    <row r="175" spans="2:22" s="300" customFormat="1" x14ac:dyDescent="0.25">
      <c r="B175" s="301" t="s">
        <v>25</v>
      </c>
      <c r="C175" s="302"/>
      <c r="D175" s="86" t="str">
        <f>INDEX(Cad_Natureza!$B$3:$C$52,MATCH('2026'!F175,Cad_Natureza!$C$3:$C$52,0),MATCH('2026'!D$2,Cad_Natureza!$B$3:$C$3,0))</f>
        <v>GAST1</v>
      </c>
      <c r="E175" s="84" t="s">
        <v>1371</v>
      </c>
      <c r="F175" s="85" t="s">
        <v>742</v>
      </c>
      <c r="G175" s="86" t="s">
        <v>25</v>
      </c>
      <c r="H175" s="87">
        <v>46071</v>
      </c>
      <c r="I175" s="87"/>
      <c r="J175" s="79" t="s">
        <v>185</v>
      </c>
      <c r="K175" s="62">
        <v>-10</v>
      </c>
      <c r="L175" s="62">
        <f t="shared" si="30"/>
        <v>1166.9700000000003</v>
      </c>
      <c r="M175" s="302"/>
      <c r="N175" s="44" t="str">
        <f t="shared" si="0"/>
        <v>MCSGAST1CPF - Desp. Lazer e Entretenimento - Bares</v>
      </c>
      <c r="O175" s="44" t="str">
        <f t="shared" si="1"/>
        <v>GAST1CPF - Desp. Lazer e Entretenimento - Bares</v>
      </c>
      <c r="P175" s="44" t="str">
        <f t="shared" si="2"/>
        <v>MCSGAST1CPF - Desp. Lazer e Entretenimento - Bares</v>
      </c>
      <c r="Q175" s="44" t="str">
        <f t="shared" si="3"/>
        <v>MCSGAST1</v>
      </c>
      <c r="R175" s="44" t="str">
        <f t="shared" si="4"/>
        <v>MCSGAST1</v>
      </c>
      <c r="S175" s="38"/>
      <c r="T175" s="304">
        <f t="shared" si="5"/>
        <v>46054</v>
      </c>
      <c r="U175" s="304" t="str">
        <f t="shared" si="6"/>
        <v/>
      </c>
      <c r="V175" s="300" t="s">
        <v>761</v>
      </c>
    </row>
    <row r="176" spans="2:22" s="300" customFormat="1" x14ac:dyDescent="0.25">
      <c r="B176" s="301" t="s">
        <v>25</v>
      </c>
      <c r="C176" s="302"/>
      <c r="D176" s="86" t="str">
        <f>INDEX(Cad_Natureza!$B$3:$C$52,MATCH('2026'!F176,Cad_Natureza!$C$3:$C$52,0),MATCH('2026'!D$2,Cad_Natureza!$B$3:$C$3,0))</f>
        <v>GAST1</v>
      </c>
      <c r="E176" s="84" t="s">
        <v>1372</v>
      </c>
      <c r="F176" s="85" t="s">
        <v>742</v>
      </c>
      <c r="G176" s="86" t="s">
        <v>25</v>
      </c>
      <c r="H176" s="87">
        <v>46071</v>
      </c>
      <c r="I176" s="87"/>
      <c r="J176" s="79" t="s">
        <v>185</v>
      </c>
      <c r="K176" s="62">
        <v>-10</v>
      </c>
      <c r="L176" s="62">
        <f t="shared" si="30"/>
        <v>1156.9700000000003</v>
      </c>
      <c r="M176" s="302"/>
      <c r="N176" s="44" t="str">
        <f t="shared" si="0"/>
        <v>MCSGAST1CPF - Desp. Lazer e Entretenimento - Bares</v>
      </c>
      <c r="O176" s="44" t="str">
        <f t="shared" si="1"/>
        <v>GAST1CPF - Desp. Lazer e Entretenimento - Bares</v>
      </c>
      <c r="P176" s="44" t="str">
        <f t="shared" si="2"/>
        <v>MCSGAST1CPF - Desp. Lazer e Entretenimento - Bares</v>
      </c>
      <c r="Q176" s="44" t="str">
        <f t="shared" si="3"/>
        <v>MCSGAST1</v>
      </c>
      <c r="R176" s="44" t="str">
        <f t="shared" si="4"/>
        <v>MCSGAST1</v>
      </c>
      <c r="S176" s="38"/>
      <c r="T176" s="304">
        <f t="shared" si="5"/>
        <v>46054</v>
      </c>
      <c r="U176" s="304" t="str">
        <f t="shared" si="6"/>
        <v/>
      </c>
      <c r="V176" s="300" t="s">
        <v>731</v>
      </c>
    </row>
    <row r="177" spans="2:22" s="300" customFormat="1" x14ac:dyDescent="0.25">
      <c r="B177" s="301" t="s">
        <v>25</v>
      </c>
      <c r="C177" s="302"/>
      <c r="D177" s="86" t="str">
        <f>INDEX(Cad_Natureza!$B$3:$C$52,MATCH('2026'!F177,Cad_Natureza!$C$3:$C$52,0),MATCH('2026'!D$2,Cad_Natureza!$B$3:$C$3,0))</f>
        <v>GAST1</v>
      </c>
      <c r="E177" s="84" t="s">
        <v>1372</v>
      </c>
      <c r="F177" s="85" t="s">
        <v>742</v>
      </c>
      <c r="G177" s="86" t="s">
        <v>25</v>
      </c>
      <c r="H177" s="87">
        <v>46071</v>
      </c>
      <c r="I177" s="87"/>
      <c r="J177" s="79" t="s">
        <v>185</v>
      </c>
      <c r="K177" s="62">
        <v>-10</v>
      </c>
      <c r="L177" s="62">
        <f t="shared" si="30"/>
        <v>1146.9700000000003</v>
      </c>
      <c r="M177" s="302"/>
      <c r="N177" s="44" t="str">
        <f t="shared" si="0"/>
        <v>MCSGAST1CPF - Desp. Lazer e Entretenimento - Bares</v>
      </c>
      <c r="O177" s="44" t="str">
        <f t="shared" si="1"/>
        <v>GAST1CPF - Desp. Lazer e Entretenimento - Bares</v>
      </c>
      <c r="P177" s="44" t="str">
        <f t="shared" si="2"/>
        <v>MCSGAST1CPF - Desp. Lazer e Entretenimento - Bares</v>
      </c>
      <c r="Q177" s="44" t="str">
        <f t="shared" si="3"/>
        <v>MCSGAST1</v>
      </c>
      <c r="R177" s="44" t="str">
        <f t="shared" si="4"/>
        <v>MCSGAST1</v>
      </c>
      <c r="S177" s="38"/>
      <c r="T177" s="304">
        <f t="shared" si="5"/>
        <v>46054</v>
      </c>
      <c r="U177" s="304" t="str">
        <f t="shared" si="6"/>
        <v/>
      </c>
      <c r="V177" s="300" t="s">
        <v>731</v>
      </c>
    </row>
    <row r="178" spans="2:22" s="300" customFormat="1" x14ac:dyDescent="0.25">
      <c r="B178" s="301" t="s">
        <v>25</v>
      </c>
      <c r="C178" s="302"/>
      <c r="D178" s="86" t="str">
        <f>INDEX(Cad_Natureza!$B$3:$C$52,MATCH('2026'!F178,Cad_Natureza!$C$3:$C$52,0),MATCH('2026'!D$2,Cad_Natureza!$B$3:$C$3,0))</f>
        <v>OUG1</v>
      </c>
      <c r="E178" s="84" t="s">
        <v>1373</v>
      </c>
      <c r="F178" s="85" t="s">
        <v>748</v>
      </c>
      <c r="G178" s="86" t="s">
        <v>25</v>
      </c>
      <c r="H178" s="87">
        <v>46071</v>
      </c>
      <c r="I178" s="87"/>
      <c r="J178" s="79" t="s">
        <v>1430</v>
      </c>
      <c r="K178" s="62">
        <v>-8.49</v>
      </c>
      <c r="L178" s="62">
        <f t="shared" si="30"/>
        <v>1138.4800000000002</v>
      </c>
      <c r="M178" s="302"/>
      <c r="N178" s="44" t="str">
        <f t="shared" si="0"/>
        <v>MCSOUG1CPF - Outros gastos</v>
      </c>
      <c r="O178" s="44" t="str">
        <f t="shared" si="1"/>
        <v>OUG1CPF - Outros gastos</v>
      </c>
      <c r="P178" s="44" t="str">
        <f t="shared" si="2"/>
        <v>MCSOUG1CPF - Outros gastos</v>
      </c>
      <c r="Q178" s="44" t="str">
        <f t="shared" si="3"/>
        <v>MCSOUG1</v>
      </c>
      <c r="R178" s="44" t="str">
        <f t="shared" si="4"/>
        <v>MCSOUG1</v>
      </c>
      <c r="S178" s="38"/>
      <c r="T178" s="304">
        <f t="shared" si="5"/>
        <v>46054</v>
      </c>
      <c r="U178" s="304" t="str">
        <f t="shared" si="6"/>
        <v/>
      </c>
      <c r="V178" s="300" t="s">
        <v>761</v>
      </c>
    </row>
    <row r="179" spans="2:22" s="300" customFormat="1" x14ac:dyDescent="0.25">
      <c r="B179" s="301" t="s">
        <v>25</v>
      </c>
      <c r="C179" s="302"/>
      <c r="D179" s="86" t="str">
        <f>INDEX(Cad_Natureza!$B$3:$C$52,MATCH('2026'!F179,Cad_Natureza!$C$3:$C$52,0),MATCH('2026'!D$2,Cad_Natureza!$B$3:$C$3,0))</f>
        <v>PENS1</v>
      </c>
      <c r="E179" s="84" t="s">
        <v>1374</v>
      </c>
      <c r="F179" s="85" t="s">
        <v>717</v>
      </c>
      <c r="G179" s="86" t="s">
        <v>25</v>
      </c>
      <c r="H179" s="87">
        <v>46071</v>
      </c>
      <c r="I179" s="87"/>
      <c r="J179" s="78" t="s">
        <v>1431</v>
      </c>
      <c r="K179" s="62">
        <v>-20</v>
      </c>
      <c r="L179" s="62">
        <f t="shared" si="30"/>
        <v>1118.4800000000002</v>
      </c>
      <c r="M179" s="302"/>
      <c r="N179" s="44" t="str">
        <f t="shared" si="0"/>
        <v>MCSPENS1CPF - Pensão - Aluguel</v>
      </c>
      <c r="O179" s="44" t="str">
        <f t="shared" si="1"/>
        <v>PENS1CPF - Pensão - Aluguel</v>
      </c>
      <c r="P179" s="44" t="str">
        <f t="shared" si="2"/>
        <v>MCSPENS1CPF - Pensão - Aluguel</v>
      </c>
      <c r="Q179" s="44" t="str">
        <f t="shared" si="3"/>
        <v>MCSPENS1</v>
      </c>
      <c r="R179" s="44" t="str">
        <f t="shared" si="4"/>
        <v>MCSPENS1</v>
      </c>
      <c r="S179" s="38"/>
      <c r="T179" s="304">
        <f t="shared" si="5"/>
        <v>46054</v>
      </c>
      <c r="U179" s="304" t="str">
        <f t="shared" si="6"/>
        <v/>
      </c>
      <c r="V179" s="300" t="s">
        <v>761</v>
      </c>
    </row>
    <row r="180" spans="2:22" s="300" customFormat="1" x14ac:dyDescent="0.25">
      <c r="B180" s="301" t="s">
        <v>25</v>
      </c>
      <c r="C180" s="302"/>
      <c r="D180" s="86" t="str">
        <f>INDEX(Cad_Natureza!$B$3:$C$52,MATCH('2026'!F180,Cad_Natureza!$C$3:$C$52,0),MATCH('2026'!D$2,Cad_Natureza!$B$3:$C$3,0))</f>
        <v>GAST1</v>
      </c>
      <c r="E180" s="84" t="s">
        <v>1375</v>
      </c>
      <c r="F180" s="85" t="s">
        <v>742</v>
      </c>
      <c r="G180" s="86" t="s">
        <v>25</v>
      </c>
      <c r="H180" s="87">
        <v>46071</v>
      </c>
      <c r="I180" s="87"/>
      <c r="J180" s="79" t="s">
        <v>1340</v>
      </c>
      <c r="K180" s="62">
        <v>-10</v>
      </c>
      <c r="L180" s="62">
        <f t="shared" si="30"/>
        <v>1108.4800000000002</v>
      </c>
      <c r="M180" s="302"/>
      <c r="N180" s="44" t="str">
        <f t="shared" si="0"/>
        <v>MCSGAST1CPF - Desp. Lazer e Entretenimento - Bares</v>
      </c>
      <c r="O180" s="44" t="str">
        <f t="shared" si="1"/>
        <v>GAST1CPF - Desp. Lazer e Entretenimento - Bares</v>
      </c>
      <c r="P180" s="44" t="str">
        <f t="shared" si="2"/>
        <v>MCSGAST1CPF - Desp. Lazer e Entretenimento - Bares</v>
      </c>
      <c r="Q180" s="44" t="str">
        <f t="shared" si="3"/>
        <v>MCSGAST1</v>
      </c>
      <c r="R180" s="44" t="str">
        <f t="shared" si="4"/>
        <v>MCSGAST1</v>
      </c>
      <c r="S180" s="38"/>
      <c r="T180" s="304">
        <f t="shared" si="5"/>
        <v>46054</v>
      </c>
      <c r="U180" s="304" t="str">
        <f t="shared" si="6"/>
        <v/>
      </c>
      <c r="V180" s="300" t="s">
        <v>761</v>
      </c>
    </row>
    <row r="181" spans="2:22" s="300" customFormat="1" x14ac:dyDescent="0.25">
      <c r="B181" s="301" t="s">
        <v>25</v>
      </c>
      <c r="C181" s="302"/>
      <c r="D181" s="86" t="str">
        <f>INDEX(Cad_Natureza!$B$3:$C$52,MATCH('2026'!F181,Cad_Natureza!$C$3:$C$52,0),MATCH('2026'!D$2,Cad_Natureza!$B$3:$C$3,0))</f>
        <v>GAST1</v>
      </c>
      <c r="E181" s="84" t="s">
        <v>1376</v>
      </c>
      <c r="F181" s="85" t="s">
        <v>742</v>
      </c>
      <c r="G181" s="86" t="s">
        <v>25</v>
      </c>
      <c r="H181" s="87">
        <v>46071</v>
      </c>
      <c r="I181" s="87"/>
      <c r="J181" s="79" t="s">
        <v>185</v>
      </c>
      <c r="K181" s="62">
        <v>-8</v>
      </c>
      <c r="L181" s="62">
        <f t="shared" si="30"/>
        <v>1100.4800000000002</v>
      </c>
      <c r="M181" s="302"/>
      <c r="N181" s="44" t="str">
        <f t="shared" si="0"/>
        <v>MCSGAST1CPF - Desp. Lazer e Entretenimento - Bares</v>
      </c>
      <c r="O181" s="44" t="str">
        <f t="shared" si="1"/>
        <v>GAST1CPF - Desp. Lazer e Entretenimento - Bares</v>
      </c>
      <c r="P181" s="44" t="str">
        <f t="shared" si="2"/>
        <v>MCSGAST1CPF - Desp. Lazer e Entretenimento - Bares</v>
      </c>
      <c r="Q181" s="44" t="str">
        <f t="shared" si="3"/>
        <v>MCSGAST1</v>
      </c>
      <c r="R181" s="44" t="str">
        <f t="shared" si="4"/>
        <v>MCSGAST1</v>
      </c>
      <c r="S181" s="38"/>
      <c r="T181" s="304">
        <f t="shared" si="5"/>
        <v>46054</v>
      </c>
      <c r="U181" s="304" t="str">
        <f t="shared" si="6"/>
        <v/>
      </c>
      <c r="V181" s="300" t="s">
        <v>761</v>
      </c>
    </row>
    <row r="182" spans="2:22" s="300" customFormat="1" x14ac:dyDescent="0.25">
      <c r="B182" s="301" t="s">
        <v>25</v>
      </c>
      <c r="C182" s="302"/>
      <c r="D182" s="86" t="str">
        <f>INDEX(Cad_Natureza!$B$3:$C$52,MATCH('2026'!F182,Cad_Natureza!$C$3:$C$52,0),MATCH('2026'!D$2,Cad_Natureza!$B$3:$C$3,0))</f>
        <v>OPF2</v>
      </c>
      <c r="E182" s="84" t="s">
        <v>1377</v>
      </c>
      <c r="F182" s="85" t="s">
        <v>741</v>
      </c>
      <c r="G182" s="86" t="s">
        <v>25</v>
      </c>
      <c r="H182" s="87">
        <v>46071</v>
      </c>
      <c r="I182" s="87"/>
      <c r="J182" s="79" t="s">
        <v>184</v>
      </c>
      <c r="K182" s="62">
        <v>-50</v>
      </c>
      <c r="L182" s="62">
        <f t="shared" si="30"/>
        <v>1050.4800000000002</v>
      </c>
      <c r="M182" s="302"/>
      <c r="N182" s="44" t="str">
        <f t="shared" si="0"/>
        <v>MCSOPF2CPF - Desp. Transporte / Combustível</v>
      </c>
      <c r="O182" s="44" t="str">
        <f t="shared" si="1"/>
        <v>OPF2CPF - Desp. Transporte / Combustível</v>
      </c>
      <c r="P182" s="44" t="str">
        <f t="shared" si="2"/>
        <v>MCSOPF2CPF - Desp. Transporte / Combustível</v>
      </c>
      <c r="Q182" s="44" t="str">
        <f t="shared" si="3"/>
        <v>MCSOPF2</v>
      </c>
      <c r="R182" s="44" t="str">
        <f t="shared" si="4"/>
        <v>MCSOPF2</v>
      </c>
      <c r="S182" s="38"/>
      <c r="T182" s="304">
        <f t="shared" si="5"/>
        <v>46054</v>
      </c>
      <c r="U182" s="304" t="str">
        <f t="shared" si="6"/>
        <v/>
      </c>
      <c r="V182" s="300" t="s">
        <v>761</v>
      </c>
    </row>
    <row r="183" spans="2:22" s="300" customFormat="1" x14ac:dyDescent="0.25">
      <c r="B183" s="301" t="s">
        <v>25</v>
      </c>
      <c r="C183" s="302"/>
      <c r="D183" s="86" t="str">
        <f>INDEX(Cad_Natureza!$B$3:$C$52,MATCH('2026'!F183,Cad_Natureza!$C$3:$C$52,0),MATCH('2026'!D$2,Cad_Natureza!$B$3:$C$3,0))</f>
        <v>OPF1</v>
      </c>
      <c r="E183" s="84" t="s">
        <v>1378</v>
      </c>
      <c r="F183" s="85" t="s">
        <v>744</v>
      </c>
      <c r="G183" s="86" t="s">
        <v>25</v>
      </c>
      <c r="H183" s="87">
        <v>46071</v>
      </c>
      <c r="I183" s="87"/>
      <c r="J183" s="79" t="s">
        <v>182</v>
      </c>
      <c r="K183" s="62">
        <v>-20</v>
      </c>
      <c r="L183" s="62">
        <f t="shared" si="30"/>
        <v>1030.4800000000002</v>
      </c>
      <c r="M183" s="302"/>
      <c r="N183" s="44" t="str">
        <f t="shared" si="0"/>
        <v>MCSOPF1CPF - Desp. Alimentação / Refeição</v>
      </c>
      <c r="O183" s="44" t="str">
        <f t="shared" si="1"/>
        <v>OPF1CPF - Desp. Alimentação / Refeição</v>
      </c>
      <c r="P183" s="44" t="str">
        <f t="shared" si="2"/>
        <v>MCSOPF1CPF - Desp. Alimentação / Refeição</v>
      </c>
      <c r="Q183" s="44" t="str">
        <f t="shared" si="3"/>
        <v>MCSOPF1</v>
      </c>
      <c r="R183" s="44" t="str">
        <f t="shared" si="4"/>
        <v>MCSOPF1</v>
      </c>
      <c r="S183" s="38"/>
      <c r="T183" s="304">
        <f t="shared" si="5"/>
        <v>46054</v>
      </c>
      <c r="U183" s="304" t="str">
        <f t="shared" si="6"/>
        <v/>
      </c>
      <c r="V183" s="300" t="s">
        <v>761</v>
      </c>
    </row>
    <row r="184" spans="2:22" s="300" customFormat="1" x14ac:dyDescent="0.25">
      <c r="B184" s="301" t="s">
        <v>25</v>
      </c>
      <c r="C184" s="302"/>
      <c r="D184" s="86" t="str">
        <f>INDEX(Cad_Natureza!$B$3:$C$52,MATCH('2026'!F184,Cad_Natureza!$C$3:$C$52,0),MATCH('2026'!D$2,Cad_Natureza!$B$3:$C$3,0))</f>
        <v>GAST1</v>
      </c>
      <c r="E184" s="84" t="s">
        <v>1379</v>
      </c>
      <c r="F184" s="85" t="s">
        <v>742</v>
      </c>
      <c r="G184" s="86" t="s">
        <v>25</v>
      </c>
      <c r="H184" s="87">
        <v>46071</v>
      </c>
      <c r="I184" s="87"/>
      <c r="J184" s="79" t="s">
        <v>185</v>
      </c>
      <c r="K184" s="62">
        <v>-6</v>
      </c>
      <c r="L184" s="62">
        <f t="shared" si="30"/>
        <v>1024.4800000000002</v>
      </c>
      <c r="M184" s="302"/>
      <c r="N184" s="44" t="str">
        <f t="shared" si="0"/>
        <v>MCSGAST1CPF - Desp. Lazer e Entretenimento - Bares</v>
      </c>
      <c r="O184" s="44" t="str">
        <f t="shared" si="1"/>
        <v>GAST1CPF - Desp. Lazer e Entretenimento - Bares</v>
      </c>
      <c r="P184" s="44" t="str">
        <f t="shared" si="2"/>
        <v>MCSGAST1CPF - Desp. Lazer e Entretenimento - Bares</v>
      </c>
      <c r="Q184" s="44" t="str">
        <f t="shared" si="3"/>
        <v>MCSGAST1</v>
      </c>
      <c r="R184" s="44" t="str">
        <f t="shared" si="4"/>
        <v>MCSGAST1</v>
      </c>
      <c r="S184" s="38"/>
      <c r="T184" s="304">
        <f t="shared" si="5"/>
        <v>46054</v>
      </c>
      <c r="U184" s="304" t="str">
        <f t="shared" si="6"/>
        <v/>
      </c>
      <c r="V184" s="300" t="s">
        <v>731</v>
      </c>
    </row>
    <row r="185" spans="2:22" s="300" customFormat="1" x14ac:dyDescent="0.25">
      <c r="B185" s="301" t="s">
        <v>25</v>
      </c>
      <c r="C185" s="302"/>
      <c r="D185" s="86" t="str">
        <f>INDEX(Cad_Natureza!$B$3:$C$52,MATCH('2026'!F185,Cad_Natureza!$C$3:$C$52,0),MATCH('2026'!D$2,Cad_Natureza!$B$3:$C$3,0))</f>
        <v>GAST1</v>
      </c>
      <c r="E185" s="84" t="s">
        <v>1380</v>
      </c>
      <c r="F185" s="85" t="s">
        <v>742</v>
      </c>
      <c r="G185" s="86" t="s">
        <v>25</v>
      </c>
      <c r="H185" s="87">
        <v>46071</v>
      </c>
      <c r="I185" s="87"/>
      <c r="J185" s="79" t="s">
        <v>1340</v>
      </c>
      <c r="K185" s="62">
        <v>-9</v>
      </c>
      <c r="L185" s="62">
        <f t="shared" si="30"/>
        <v>1015.4800000000002</v>
      </c>
      <c r="M185" s="302"/>
      <c r="N185" s="44" t="str">
        <f t="shared" ref="N185:N199" si="45">B185&amp;D185&amp;F185</f>
        <v>MCSGAST1CPF - Desp. Lazer e Entretenimento - Bares</v>
      </c>
      <c r="O185" s="44" t="str">
        <f t="shared" ref="O185:O199" si="46">D185&amp;F185</f>
        <v>GAST1CPF - Desp. Lazer e Entretenimento - Bares</v>
      </c>
      <c r="P185" s="44" t="str">
        <f t="shared" ref="P185:P199" si="47">"MCS"&amp;D185&amp;F185</f>
        <v>MCSGAST1CPF - Desp. Lazer e Entretenimento - Bares</v>
      </c>
      <c r="Q185" s="44" t="str">
        <f t="shared" ref="Q185:Q199" si="48">"MCS"&amp;D185</f>
        <v>MCSGAST1</v>
      </c>
      <c r="R185" s="44" t="str">
        <f t="shared" ref="R185:R199" si="49">B185&amp;D185</f>
        <v>MCSGAST1</v>
      </c>
      <c r="S185" s="38"/>
      <c r="T185" s="304">
        <f t="shared" ref="T185:T199" si="50">(1&amp;"/"&amp;MONTH(H185)&amp;"/"&amp;YEAR(H185))*1</f>
        <v>46054</v>
      </c>
      <c r="U185" s="304" t="str">
        <f t="shared" ref="U185:U199" si="51">IF(I185="","",(1&amp;"/"&amp;MONTH(I185)&amp;"/"&amp;YEAR(I185))*1)</f>
        <v/>
      </c>
      <c r="V185" s="300" t="s">
        <v>761</v>
      </c>
    </row>
    <row r="186" spans="2:22" s="300" customFormat="1" x14ac:dyDescent="0.25">
      <c r="B186" s="301" t="s">
        <v>25</v>
      </c>
      <c r="C186" s="302"/>
      <c r="D186" s="86" t="str">
        <f>INDEX(Cad_Natureza!$B$3:$C$52,MATCH('2026'!F186,Cad_Natureza!$C$3:$C$52,0),MATCH('2026'!D$2,Cad_Natureza!$B$3:$C$3,0))</f>
        <v>GAST1</v>
      </c>
      <c r="E186" s="84" t="s">
        <v>1381</v>
      </c>
      <c r="F186" s="85" t="s">
        <v>742</v>
      </c>
      <c r="G186" s="86" t="s">
        <v>25</v>
      </c>
      <c r="H186" s="87">
        <v>46071</v>
      </c>
      <c r="I186" s="87"/>
      <c r="J186" s="79" t="s">
        <v>185</v>
      </c>
      <c r="K186" s="62">
        <v>-7.5</v>
      </c>
      <c r="L186" s="62">
        <f t="shared" si="30"/>
        <v>1007.9800000000002</v>
      </c>
      <c r="M186" s="302"/>
      <c r="N186" s="44" t="str">
        <f t="shared" si="45"/>
        <v>MCSGAST1CPF - Desp. Lazer e Entretenimento - Bares</v>
      </c>
      <c r="O186" s="44" t="str">
        <f t="shared" si="46"/>
        <v>GAST1CPF - Desp. Lazer e Entretenimento - Bares</v>
      </c>
      <c r="P186" s="44" t="str">
        <f t="shared" si="47"/>
        <v>MCSGAST1CPF - Desp. Lazer e Entretenimento - Bares</v>
      </c>
      <c r="Q186" s="44" t="str">
        <f t="shared" si="48"/>
        <v>MCSGAST1</v>
      </c>
      <c r="R186" s="44" t="str">
        <f t="shared" si="49"/>
        <v>MCSGAST1</v>
      </c>
      <c r="S186" s="38"/>
      <c r="T186" s="304">
        <f t="shared" si="50"/>
        <v>46054</v>
      </c>
      <c r="U186" s="304" t="str">
        <f t="shared" si="51"/>
        <v/>
      </c>
      <c r="V186" s="300" t="s">
        <v>761</v>
      </c>
    </row>
    <row r="187" spans="2:22" s="300" customFormat="1" x14ac:dyDescent="0.25">
      <c r="B187" s="301" t="s">
        <v>25</v>
      </c>
      <c r="C187" s="302"/>
      <c r="D187" s="86" t="str">
        <f>INDEX(Cad_Natureza!$B$3:$C$52,MATCH('2026'!F187,Cad_Natureza!$C$3:$C$52,0),MATCH('2026'!D$2,Cad_Natureza!$B$3:$C$3,0))</f>
        <v>OPF1</v>
      </c>
      <c r="E187" s="84" t="s">
        <v>1382</v>
      </c>
      <c r="F187" s="85" t="s">
        <v>744</v>
      </c>
      <c r="G187" s="86" t="s">
        <v>25</v>
      </c>
      <c r="H187" s="87">
        <v>46072</v>
      </c>
      <c r="I187" s="87"/>
      <c r="J187" s="79" t="s">
        <v>182</v>
      </c>
      <c r="K187" s="62">
        <v>-20</v>
      </c>
      <c r="L187" s="62">
        <f t="shared" si="30"/>
        <v>987.98000000000025</v>
      </c>
      <c r="M187" s="302"/>
      <c r="N187" s="44" t="str">
        <f t="shared" si="45"/>
        <v>MCSOPF1CPF - Desp. Alimentação / Refeição</v>
      </c>
      <c r="O187" s="44" t="str">
        <f t="shared" si="46"/>
        <v>OPF1CPF - Desp. Alimentação / Refeição</v>
      </c>
      <c r="P187" s="44" t="str">
        <f t="shared" si="47"/>
        <v>MCSOPF1CPF - Desp. Alimentação / Refeição</v>
      </c>
      <c r="Q187" s="44" t="str">
        <f t="shared" si="48"/>
        <v>MCSOPF1</v>
      </c>
      <c r="R187" s="44" t="str">
        <f t="shared" si="49"/>
        <v>MCSOPF1</v>
      </c>
      <c r="S187" s="38"/>
      <c r="T187" s="304">
        <f t="shared" si="50"/>
        <v>46054</v>
      </c>
      <c r="U187" s="304" t="str">
        <f t="shared" si="51"/>
        <v/>
      </c>
      <c r="V187" s="300" t="s">
        <v>761</v>
      </c>
    </row>
    <row r="188" spans="2:22" s="300" customFormat="1" x14ac:dyDescent="0.25">
      <c r="B188" s="301" t="s">
        <v>25</v>
      </c>
      <c r="C188" s="302"/>
      <c r="D188" s="86" t="str">
        <f>INDEX(Cad_Natureza!$B$3:$C$52,MATCH('2026'!F188,Cad_Natureza!$C$3:$C$52,0),MATCH('2026'!D$2,Cad_Natureza!$B$3:$C$3,0))</f>
        <v>GAST1</v>
      </c>
      <c r="E188" s="84" t="s">
        <v>1383</v>
      </c>
      <c r="F188" s="85" t="s">
        <v>742</v>
      </c>
      <c r="G188" s="86" t="s">
        <v>25</v>
      </c>
      <c r="H188" s="87">
        <v>46072</v>
      </c>
      <c r="I188" s="87"/>
      <c r="J188" s="79" t="s">
        <v>180</v>
      </c>
      <c r="K188" s="62">
        <v>-40</v>
      </c>
      <c r="L188" s="62">
        <f t="shared" si="30"/>
        <v>947.98000000000025</v>
      </c>
      <c r="M188" s="302"/>
      <c r="N188" s="44" t="str">
        <f t="shared" si="45"/>
        <v>MCSGAST1CPF - Desp. Lazer e Entretenimento - Bares</v>
      </c>
      <c r="O188" s="44" t="str">
        <f t="shared" si="46"/>
        <v>GAST1CPF - Desp. Lazer e Entretenimento - Bares</v>
      </c>
      <c r="P188" s="44" t="str">
        <f t="shared" si="47"/>
        <v>MCSGAST1CPF - Desp. Lazer e Entretenimento - Bares</v>
      </c>
      <c r="Q188" s="44" t="str">
        <f t="shared" si="48"/>
        <v>MCSGAST1</v>
      </c>
      <c r="R188" s="44" t="str">
        <f t="shared" si="49"/>
        <v>MCSGAST1</v>
      </c>
      <c r="S188" s="38"/>
      <c r="T188" s="304">
        <f t="shared" si="50"/>
        <v>46054</v>
      </c>
      <c r="U188" s="304" t="str">
        <f t="shared" si="51"/>
        <v/>
      </c>
      <c r="V188" s="300" t="s">
        <v>761</v>
      </c>
    </row>
    <row r="189" spans="2:22" s="300" customFormat="1" x14ac:dyDescent="0.25">
      <c r="B189" s="301" t="s">
        <v>25</v>
      </c>
      <c r="C189" s="302"/>
      <c r="D189" s="86" t="str">
        <f>INDEX(Cad_Natureza!$B$3:$C$52,MATCH('2026'!F189,Cad_Natureza!$C$3:$C$52,0),MATCH('2026'!D$2,Cad_Natureza!$B$3:$C$3,0))</f>
        <v>GAST1</v>
      </c>
      <c r="E189" s="84" t="s">
        <v>1384</v>
      </c>
      <c r="F189" s="85" t="s">
        <v>742</v>
      </c>
      <c r="G189" s="86" t="s">
        <v>25</v>
      </c>
      <c r="H189" s="87">
        <v>46072</v>
      </c>
      <c r="I189" s="87"/>
      <c r="J189" s="79" t="s">
        <v>1340</v>
      </c>
      <c r="K189" s="62">
        <v>-6</v>
      </c>
      <c r="L189" s="62">
        <f t="shared" si="30"/>
        <v>941.98000000000025</v>
      </c>
      <c r="M189" s="302"/>
      <c r="N189" s="44" t="str">
        <f t="shared" si="45"/>
        <v>MCSGAST1CPF - Desp. Lazer e Entretenimento - Bares</v>
      </c>
      <c r="O189" s="44" t="str">
        <f t="shared" si="46"/>
        <v>GAST1CPF - Desp. Lazer e Entretenimento - Bares</v>
      </c>
      <c r="P189" s="44" t="str">
        <f t="shared" si="47"/>
        <v>MCSGAST1CPF - Desp. Lazer e Entretenimento - Bares</v>
      </c>
      <c r="Q189" s="44" t="str">
        <f t="shared" si="48"/>
        <v>MCSGAST1</v>
      </c>
      <c r="R189" s="44" t="str">
        <f t="shared" si="49"/>
        <v>MCSGAST1</v>
      </c>
      <c r="S189" s="38"/>
      <c r="T189" s="304">
        <f t="shared" si="50"/>
        <v>46054</v>
      </c>
      <c r="U189" s="304" t="str">
        <f t="shared" si="51"/>
        <v/>
      </c>
      <c r="V189" s="300" t="s">
        <v>761</v>
      </c>
    </row>
    <row r="190" spans="2:22" s="300" customFormat="1" x14ac:dyDescent="0.25">
      <c r="B190" s="301" t="s">
        <v>25</v>
      </c>
      <c r="C190" s="302"/>
      <c r="D190" s="86" t="str">
        <f>INDEX(Cad_Natureza!$B$3:$C$52,MATCH('2026'!F190,Cad_Natureza!$C$3:$C$52,0),MATCH('2026'!D$2,Cad_Natureza!$B$3:$C$3,0))</f>
        <v>OUG1</v>
      </c>
      <c r="E190" s="84" t="s">
        <v>1385</v>
      </c>
      <c r="F190" s="85" t="s">
        <v>748</v>
      </c>
      <c r="G190" s="86" t="s">
        <v>25</v>
      </c>
      <c r="H190" s="87">
        <v>46072</v>
      </c>
      <c r="I190" s="87"/>
      <c r="J190" s="79" t="s">
        <v>354</v>
      </c>
      <c r="K190" s="62">
        <v>-10</v>
      </c>
      <c r="L190" s="62">
        <f t="shared" si="30"/>
        <v>931.98000000000025</v>
      </c>
      <c r="M190" s="302"/>
      <c r="N190" s="44" t="str">
        <f t="shared" si="45"/>
        <v>MCSOUG1CPF - Outros gastos</v>
      </c>
      <c r="O190" s="44" t="str">
        <f t="shared" si="46"/>
        <v>OUG1CPF - Outros gastos</v>
      </c>
      <c r="P190" s="44" t="str">
        <f t="shared" si="47"/>
        <v>MCSOUG1CPF - Outros gastos</v>
      </c>
      <c r="Q190" s="44" t="str">
        <f t="shared" si="48"/>
        <v>MCSOUG1</v>
      </c>
      <c r="R190" s="44" t="str">
        <f t="shared" si="49"/>
        <v>MCSOUG1</v>
      </c>
      <c r="S190" s="38"/>
      <c r="T190" s="304">
        <f t="shared" si="50"/>
        <v>46054</v>
      </c>
      <c r="U190" s="304" t="str">
        <f t="shared" si="51"/>
        <v/>
      </c>
      <c r="V190" s="300" t="s">
        <v>761</v>
      </c>
    </row>
    <row r="191" spans="2:22" s="300" customFormat="1" x14ac:dyDescent="0.25">
      <c r="B191" s="301" t="s">
        <v>25</v>
      </c>
      <c r="C191" s="302"/>
      <c r="D191" s="86" t="str">
        <f>INDEX(Cad_Natureza!$B$3:$C$52,MATCH('2026'!F191,Cad_Natureza!$C$3:$C$52,0),MATCH('2026'!D$2,Cad_Natureza!$B$3:$C$3,0))</f>
        <v>OPF2</v>
      </c>
      <c r="E191" s="84" t="s">
        <v>1386</v>
      </c>
      <c r="F191" s="85" t="s">
        <v>741</v>
      </c>
      <c r="G191" s="86" t="s">
        <v>25</v>
      </c>
      <c r="H191" s="87">
        <v>46072</v>
      </c>
      <c r="I191" s="87"/>
      <c r="J191" s="79" t="s">
        <v>184</v>
      </c>
      <c r="K191" s="62">
        <v>-50</v>
      </c>
      <c r="L191" s="62">
        <f t="shared" si="30"/>
        <v>881.98000000000025</v>
      </c>
      <c r="M191" s="302"/>
      <c r="N191" s="44" t="str">
        <f t="shared" si="45"/>
        <v>MCSOPF2CPF - Desp. Transporte / Combustível</v>
      </c>
      <c r="O191" s="44" t="str">
        <f t="shared" si="46"/>
        <v>OPF2CPF - Desp. Transporte / Combustível</v>
      </c>
      <c r="P191" s="44" t="str">
        <f t="shared" si="47"/>
        <v>MCSOPF2CPF - Desp. Transporte / Combustível</v>
      </c>
      <c r="Q191" s="44" t="str">
        <f t="shared" si="48"/>
        <v>MCSOPF2</v>
      </c>
      <c r="R191" s="44" t="str">
        <f t="shared" si="49"/>
        <v>MCSOPF2</v>
      </c>
      <c r="S191" s="38"/>
      <c r="T191" s="304">
        <f t="shared" si="50"/>
        <v>46054</v>
      </c>
      <c r="U191" s="304" t="str">
        <f t="shared" si="51"/>
        <v/>
      </c>
      <c r="V191" s="300" t="s">
        <v>731</v>
      </c>
    </row>
    <row r="192" spans="2:22" s="300" customFormat="1" x14ac:dyDescent="0.25">
      <c r="B192" s="301" t="s">
        <v>25</v>
      </c>
      <c r="C192" s="302"/>
      <c r="D192" s="86" t="str">
        <f>INDEX(Cad_Natureza!$B$3:$C$52,MATCH('2026'!F192,Cad_Natureza!$C$3:$C$52,0),MATCH('2026'!D$2,Cad_Natureza!$B$3:$C$3,0))</f>
        <v>OPF1</v>
      </c>
      <c r="E192" s="84" t="s">
        <v>1387</v>
      </c>
      <c r="F192" s="85" t="s">
        <v>744</v>
      </c>
      <c r="G192" s="86" t="s">
        <v>25</v>
      </c>
      <c r="H192" s="87">
        <v>46072</v>
      </c>
      <c r="I192" s="87"/>
      <c r="J192" s="79" t="s">
        <v>1349</v>
      </c>
      <c r="K192" s="62">
        <v>-8</v>
      </c>
      <c r="L192" s="62">
        <f t="shared" si="30"/>
        <v>873.98000000000025</v>
      </c>
      <c r="M192" s="302"/>
      <c r="N192" s="44" t="str">
        <f t="shared" si="45"/>
        <v>MCSOPF1CPF - Desp. Alimentação / Refeição</v>
      </c>
      <c r="O192" s="44" t="str">
        <f t="shared" si="46"/>
        <v>OPF1CPF - Desp. Alimentação / Refeição</v>
      </c>
      <c r="P192" s="44" t="str">
        <f t="shared" si="47"/>
        <v>MCSOPF1CPF - Desp. Alimentação / Refeição</v>
      </c>
      <c r="Q192" s="44" t="str">
        <f t="shared" si="48"/>
        <v>MCSOPF1</v>
      </c>
      <c r="R192" s="44" t="str">
        <f t="shared" si="49"/>
        <v>MCSOPF1</v>
      </c>
      <c r="S192" s="38"/>
      <c r="T192" s="304">
        <f t="shared" si="50"/>
        <v>46054</v>
      </c>
      <c r="U192" s="304" t="str">
        <f t="shared" si="51"/>
        <v/>
      </c>
      <c r="V192" s="300" t="s">
        <v>731</v>
      </c>
    </row>
    <row r="193" spans="2:22" s="300" customFormat="1" x14ac:dyDescent="0.25">
      <c r="B193" s="301" t="s">
        <v>25</v>
      </c>
      <c r="C193" s="302"/>
      <c r="D193" s="86" t="str">
        <f>INDEX(Cad_Natureza!$B$3:$C$52,MATCH('2026'!F193,Cad_Natureza!$C$3:$C$52,0),MATCH('2026'!D$2,Cad_Natureza!$B$3:$C$3,0))</f>
        <v>PENS6</v>
      </c>
      <c r="E193" s="84" t="s">
        <v>1388</v>
      </c>
      <c r="F193" s="85" t="s">
        <v>37</v>
      </c>
      <c r="G193" s="86" t="s">
        <v>25</v>
      </c>
      <c r="H193" s="87">
        <v>46073</v>
      </c>
      <c r="I193" s="87"/>
      <c r="J193" s="78" t="s">
        <v>1433</v>
      </c>
      <c r="K193" s="62">
        <v>-8.9</v>
      </c>
      <c r="L193" s="62">
        <f t="shared" si="30"/>
        <v>865.08000000000027</v>
      </c>
      <c r="M193" s="302"/>
      <c r="N193" s="44" t="str">
        <f t="shared" si="45"/>
        <v>MCSPENS6CPF - Pensão - Farmácia e Saúde</v>
      </c>
      <c r="O193" s="44" t="str">
        <f t="shared" si="46"/>
        <v>PENS6CPF - Pensão - Farmácia e Saúde</v>
      </c>
      <c r="P193" s="44" t="str">
        <f t="shared" si="47"/>
        <v>MCSPENS6CPF - Pensão - Farmácia e Saúde</v>
      </c>
      <c r="Q193" s="44" t="str">
        <f t="shared" si="48"/>
        <v>MCSPENS6</v>
      </c>
      <c r="R193" s="44" t="str">
        <f t="shared" si="49"/>
        <v>MCSPENS6</v>
      </c>
      <c r="S193" s="38"/>
      <c r="T193" s="304">
        <f t="shared" si="50"/>
        <v>46054</v>
      </c>
      <c r="U193" s="304" t="str">
        <f t="shared" si="51"/>
        <v/>
      </c>
      <c r="V193" s="300" t="s">
        <v>761</v>
      </c>
    </row>
    <row r="194" spans="2:22" s="300" customFormat="1" x14ac:dyDescent="0.25">
      <c r="B194" s="301" t="s">
        <v>25</v>
      </c>
      <c r="C194" s="302"/>
      <c r="D194" s="86" t="str">
        <f>INDEX(Cad_Natureza!$B$3:$C$52,MATCH('2026'!F194,Cad_Natureza!$C$3:$C$52,0),MATCH('2026'!D$2,Cad_Natureza!$B$3:$C$3,0))</f>
        <v>OPF1</v>
      </c>
      <c r="E194" s="84" t="s">
        <v>1389</v>
      </c>
      <c r="F194" s="85" t="s">
        <v>744</v>
      </c>
      <c r="G194" s="86" t="s">
        <v>25</v>
      </c>
      <c r="H194" s="87">
        <v>46073</v>
      </c>
      <c r="I194" s="87"/>
      <c r="J194" s="79" t="s">
        <v>182</v>
      </c>
      <c r="K194" s="62">
        <v>-20</v>
      </c>
      <c r="L194" s="62">
        <f t="shared" si="30"/>
        <v>845.08000000000027</v>
      </c>
      <c r="M194" s="302"/>
      <c r="N194" s="44" t="str">
        <f t="shared" si="45"/>
        <v>MCSOPF1CPF - Desp. Alimentação / Refeição</v>
      </c>
      <c r="O194" s="44" t="str">
        <f t="shared" si="46"/>
        <v>OPF1CPF - Desp. Alimentação / Refeição</v>
      </c>
      <c r="P194" s="44" t="str">
        <f t="shared" si="47"/>
        <v>MCSOPF1CPF - Desp. Alimentação / Refeição</v>
      </c>
      <c r="Q194" s="44" t="str">
        <f t="shared" si="48"/>
        <v>MCSOPF1</v>
      </c>
      <c r="R194" s="44" t="str">
        <f t="shared" si="49"/>
        <v>MCSOPF1</v>
      </c>
      <c r="S194" s="38"/>
      <c r="T194" s="304">
        <f t="shared" si="50"/>
        <v>46054</v>
      </c>
      <c r="U194" s="304" t="str">
        <f t="shared" si="51"/>
        <v/>
      </c>
      <c r="V194" s="300" t="s">
        <v>761</v>
      </c>
    </row>
    <row r="195" spans="2:22" s="300" customFormat="1" x14ac:dyDescent="0.25">
      <c r="B195" s="301" t="s">
        <v>25</v>
      </c>
      <c r="C195" s="302"/>
      <c r="D195" s="86" t="str">
        <f>INDEX(Cad_Natureza!$B$3:$C$52,MATCH('2026'!F195,Cad_Natureza!$C$3:$C$52,0),MATCH('2026'!D$2,Cad_Natureza!$B$3:$C$3,0))</f>
        <v>GAST1</v>
      </c>
      <c r="E195" s="84" t="s">
        <v>1390</v>
      </c>
      <c r="F195" s="85" t="s">
        <v>742</v>
      </c>
      <c r="G195" s="86" t="s">
        <v>25</v>
      </c>
      <c r="H195" s="87">
        <v>46073</v>
      </c>
      <c r="I195" s="87"/>
      <c r="J195" s="79" t="s">
        <v>185</v>
      </c>
      <c r="K195" s="62">
        <v>-17.600000000000001</v>
      </c>
      <c r="L195" s="62">
        <f t="shared" si="30"/>
        <v>827.48000000000025</v>
      </c>
      <c r="M195" s="302"/>
      <c r="N195" s="44" t="str">
        <f t="shared" si="45"/>
        <v>MCSGAST1CPF - Desp. Lazer e Entretenimento - Bares</v>
      </c>
      <c r="O195" s="44" t="str">
        <f t="shared" si="46"/>
        <v>GAST1CPF - Desp. Lazer e Entretenimento - Bares</v>
      </c>
      <c r="P195" s="44" t="str">
        <f t="shared" si="47"/>
        <v>MCSGAST1CPF - Desp. Lazer e Entretenimento - Bares</v>
      </c>
      <c r="Q195" s="44" t="str">
        <f t="shared" si="48"/>
        <v>MCSGAST1</v>
      </c>
      <c r="R195" s="44" t="str">
        <f t="shared" si="49"/>
        <v>MCSGAST1</v>
      </c>
      <c r="S195" s="38"/>
      <c r="T195" s="304">
        <f t="shared" si="50"/>
        <v>46054</v>
      </c>
      <c r="U195" s="304" t="str">
        <f t="shared" si="51"/>
        <v/>
      </c>
      <c r="V195" s="300" t="s">
        <v>761</v>
      </c>
    </row>
    <row r="196" spans="2:22" s="300" customFormat="1" x14ac:dyDescent="0.25">
      <c r="B196" s="301" t="s">
        <v>25</v>
      </c>
      <c r="C196" s="302"/>
      <c r="D196" s="86" t="str">
        <f>INDEX(Cad_Natureza!$B$3:$C$52,MATCH('2026'!F196,Cad_Natureza!$C$3:$C$52,0),MATCH('2026'!D$2,Cad_Natureza!$B$3:$C$3,0))</f>
        <v>GAST2</v>
      </c>
      <c r="E196" s="84" t="s">
        <v>1391</v>
      </c>
      <c r="F196" s="85" t="s">
        <v>743</v>
      </c>
      <c r="G196" s="86" t="s">
        <v>25</v>
      </c>
      <c r="H196" s="87">
        <v>46073</v>
      </c>
      <c r="I196" s="87"/>
      <c r="J196" s="79" t="s">
        <v>180</v>
      </c>
      <c r="K196" s="62">
        <v>-8.5</v>
      </c>
      <c r="L196" s="62">
        <f t="shared" ref="L196:L259" si="52">L195+K196</f>
        <v>818.98000000000025</v>
      </c>
      <c r="M196" s="302"/>
      <c r="N196" s="44" t="str">
        <f t="shared" si="45"/>
        <v>MCSGAST2CPF - Desp. Lazer e Entretenimento - Cigarro</v>
      </c>
      <c r="O196" s="44" t="str">
        <f t="shared" si="46"/>
        <v>GAST2CPF - Desp. Lazer e Entretenimento - Cigarro</v>
      </c>
      <c r="P196" s="44" t="str">
        <f t="shared" si="47"/>
        <v>MCSGAST2CPF - Desp. Lazer e Entretenimento - Cigarro</v>
      </c>
      <c r="Q196" s="44" t="str">
        <f t="shared" si="48"/>
        <v>MCSGAST2</v>
      </c>
      <c r="R196" s="44" t="str">
        <f t="shared" si="49"/>
        <v>MCSGAST2</v>
      </c>
      <c r="S196" s="38"/>
      <c r="T196" s="304">
        <f t="shared" si="50"/>
        <v>46054</v>
      </c>
      <c r="U196" s="304" t="str">
        <f t="shared" si="51"/>
        <v/>
      </c>
      <c r="V196" s="300" t="s">
        <v>761</v>
      </c>
    </row>
    <row r="197" spans="2:22" s="300" customFormat="1" x14ac:dyDescent="0.25">
      <c r="B197" s="301" t="s">
        <v>25</v>
      </c>
      <c r="C197" s="302"/>
      <c r="D197" s="86" t="str">
        <f>INDEX(Cad_Natureza!$B$3:$C$52,MATCH('2026'!F197,Cad_Natureza!$C$3:$C$52,0),MATCH('2026'!D$2,Cad_Natureza!$B$3:$C$3,0))</f>
        <v>GAST2</v>
      </c>
      <c r="E197" s="84" t="s">
        <v>1392</v>
      </c>
      <c r="F197" s="85" t="s">
        <v>743</v>
      </c>
      <c r="G197" s="86" t="s">
        <v>25</v>
      </c>
      <c r="H197" s="87">
        <v>46073</v>
      </c>
      <c r="I197" s="87"/>
      <c r="J197" s="79" t="s">
        <v>180</v>
      </c>
      <c r="K197" s="62">
        <v>-4</v>
      </c>
      <c r="L197" s="62">
        <f t="shared" si="52"/>
        <v>814.98000000000025</v>
      </c>
      <c r="M197" s="302"/>
      <c r="N197" s="44" t="str">
        <f t="shared" si="45"/>
        <v>MCSGAST2CPF - Desp. Lazer e Entretenimento - Cigarro</v>
      </c>
      <c r="O197" s="44" t="str">
        <f t="shared" si="46"/>
        <v>GAST2CPF - Desp. Lazer e Entretenimento - Cigarro</v>
      </c>
      <c r="P197" s="44" t="str">
        <f t="shared" si="47"/>
        <v>MCSGAST2CPF - Desp. Lazer e Entretenimento - Cigarro</v>
      </c>
      <c r="Q197" s="44" t="str">
        <f t="shared" si="48"/>
        <v>MCSGAST2</v>
      </c>
      <c r="R197" s="44" t="str">
        <f t="shared" si="49"/>
        <v>MCSGAST2</v>
      </c>
      <c r="S197" s="38"/>
      <c r="T197" s="304">
        <f t="shared" si="50"/>
        <v>46054</v>
      </c>
      <c r="U197" s="304" t="str">
        <f t="shared" si="51"/>
        <v/>
      </c>
      <c r="V197" s="300" t="s">
        <v>761</v>
      </c>
    </row>
    <row r="198" spans="2:22" s="300" customFormat="1" x14ac:dyDescent="0.25">
      <c r="B198" s="301" t="s">
        <v>25</v>
      </c>
      <c r="C198" s="302"/>
      <c r="D198" s="86" t="str">
        <f>INDEX(Cad_Natureza!$B$3:$C$52,MATCH('2026'!F198,Cad_Natureza!$C$3:$C$52,0),MATCH('2026'!D$2,Cad_Natureza!$B$3:$C$3,0))</f>
        <v>GAST1</v>
      </c>
      <c r="E198" s="84" t="s">
        <v>1393</v>
      </c>
      <c r="F198" s="85" t="s">
        <v>742</v>
      </c>
      <c r="G198" s="86" t="s">
        <v>25</v>
      </c>
      <c r="H198" s="87">
        <v>46073</v>
      </c>
      <c r="I198" s="87"/>
      <c r="J198" s="79" t="s">
        <v>185</v>
      </c>
      <c r="K198" s="62">
        <v>-6.5</v>
      </c>
      <c r="L198" s="62">
        <f t="shared" si="52"/>
        <v>808.48000000000025</v>
      </c>
      <c r="M198" s="302"/>
      <c r="N198" s="44" t="str">
        <f t="shared" si="45"/>
        <v>MCSGAST1CPF - Desp. Lazer e Entretenimento - Bares</v>
      </c>
      <c r="O198" s="44" t="str">
        <f t="shared" si="46"/>
        <v>GAST1CPF - Desp. Lazer e Entretenimento - Bares</v>
      </c>
      <c r="P198" s="44" t="str">
        <f t="shared" si="47"/>
        <v>MCSGAST1CPF - Desp. Lazer e Entretenimento - Bares</v>
      </c>
      <c r="Q198" s="44" t="str">
        <f t="shared" si="48"/>
        <v>MCSGAST1</v>
      </c>
      <c r="R198" s="44" t="str">
        <f t="shared" si="49"/>
        <v>MCSGAST1</v>
      </c>
      <c r="S198" s="38"/>
      <c r="T198" s="304">
        <f t="shared" si="50"/>
        <v>46054</v>
      </c>
      <c r="U198" s="304" t="str">
        <f t="shared" si="51"/>
        <v/>
      </c>
      <c r="V198" s="300" t="s">
        <v>761</v>
      </c>
    </row>
    <row r="199" spans="2:22" s="300" customFormat="1" x14ac:dyDescent="0.25">
      <c r="B199" s="301" t="s">
        <v>25</v>
      </c>
      <c r="C199" s="302"/>
      <c r="D199" s="86" t="str">
        <f>INDEX(Cad_Natureza!$B$3:$C$52,MATCH('2026'!F199,Cad_Natureza!$C$3:$C$52,0),MATCH('2026'!D$2,Cad_Natureza!$B$3:$C$3,0))</f>
        <v>GAST1</v>
      </c>
      <c r="E199" s="84" t="s">
        <v>1394</v>
      </c>
      <c r="F199" s="85" t="s">
        <v>742</v>
      </c>
      <c r="G199" s="86" t="s">
        <v>25</v>
      </c>
      <c r="H199" s="87">
        <v>46076</v>
      </c>
      <c r="I199" s="87"/>
      <c r="J199" s="79" t="s">
        <v>185</v>
      </c>
      <c r="K199" s="62">
        <v>-15</v>
      </c>
      <c r="L199" s="62">
        <f t="shared" si="52"/>
        <v>793.48000000000025</v>
      </c>
      <c r="M199" s="302"/>
      <c r="N199" s="44" t="str">
        <f t="shared" si="45"/>
        <v>MCSGAST1CPF - Desp. Lazer e Entretenimento - Bares</v>
      </c>
      <c r="O199" s="44" t="str">
        <f t="shared" si="46"/>
        <v>GAST1CPF - Desp. Lazer e Entretenimento - Bares</v>
      </c>
      <c r="P199" s="44" t="str">
        <f t="shared" si="47"/>
        <v>MCSGAST1CPF - Desp. Lazer e Entretenimento - Bares</v>
      </c>
      <c r="Q199" s="44" t="str">
        <f t="shared" si="48"/>
        <v>MCSGAST1</v>
      </c>
      <c r="R199" s="44" t="str">
        <f t="shared" si="49"/>
        <v>MCSGAST1</v>
      </c>
      <c r="S199" s="38"/>
      <c r="T199" s="304">
        <f t="shared" si="50"/>
        <v>46054</v>
      </c>
      <c r="U199" s="304" t="str">
        <f t="shared" si="51"/>
        <v/>
      </c>
      <c r="V199" s="300" t="s">
        <v>731</v>
      </c>
    </row>
    <row r="200" spans="2:22" s="300" customFormat="1" x14ac:dyDescent="0.25">
      <c r="B200" s="301" t="s">
        <v>25</v>
      </c>
      <c r="C200" s="302"/>
      <c r="D200" s="86" t="str">
        <f>INDEX(Cad_Natureza!$B$3:$C$52,MATCH('2026'!F200,Cad_Natureza!$C$3:$C$52,0),MATCH('2026'!D$2,Cad_Natureza!$B$3:$C$3,0))</f>
        <v>GAST1</v>
      </c>
      <c r="E200" s="84" t="s">
        <v>1395</v>
      </c>
      <c r="F200" s="85" t="s">
        <v>742</v>
      </c>
      <c r="G200" s="86" t="s">
        <v>25</v>
      </c>
      <c r="H200" s="87">
        <v>46076</v>
      </c>
      <c r="I200" s="87"/>
      <c r="J200" s="79" t="s">
        <v>1340</v>
      </c>
      <c r="K200" s="62">
        <v>-6</v>
      </c>
      <c r="L200" s="62">
        <f t="shared" si="52"/>
        <v>787.48000000000025</v>
      </c>
      <c r="M200" s="302"/>
      <c r="N200" s="44" t="str">
        <f t="shared" si="0"/>
        <v>MCSGAST1CPF - Desp. Lazer e Entretenimento - Bares</v>
      </c>
      <c r="O200" s="44" t="str">
        <f t="shared" si="1"/>
        <v>GAST1CPF - Desp. Lazer e Entretenimento - Bares</v>
      </c>
      <c r="P200" s="44" t="str">
        <f t="shared" si="2"/>
        <v>MCSGAST1CPF - Desp. Lazer e Entretenimento - Bares</v>
      </c>
      <c r="Q200" s="44" t="str">
        <f t="shared" si="3"/>
        <v>MCSGAST1</v>
      </c>
      <c r="R200" s="44" t="str">
        <f t="shared" si="4"/>
        <v>MCSGAST1</v>
      </c>
      <c r="S200" s="38"/>
      <c r="T200" s="304">
        <f t="shared" si="5"/>
        <v>46054</v>
      </c>
      <c r="U200" s="304" t="str">
        <f t="shared" si="6"/>
        <v/>
      </c>
      <c r="V200" s="300" t="s">
        <v>761</v>
      </c>
    </row>
    <row r="201" spans="2:22" s="300" customFormat="1" x14ac:dyDescent="0.25">
      <c r="B201" s="301" t="s">
        <v>25</v>
      </c>
      <c r="C201" s="302"/>
      <c r="D201" s="86" t="str">
        <f>INDEX(Cad_Natureza!$B$3:$C$52,MATCH('2026'!F201,Cad_Natureza!$C$3:$C$52,0),MATCH('2026'!D$2,Cad_Natureza!$B$3:$C$3,0))</f>
        <v>GAST2</v>
      </c>
      <c r="E201" s="84" t="s">
        <v>1396</v>
      </c>
      <c r="F201" s="85" t="s">
        <v>743</v>
      </c>
      <c r="G201" s="86" t="s">
        <v>25</v>
      </c>
      <c r="H201" s="87">
        <v>46076</v>
      </c>
      <c r="I201" s="87"/>
      <c r="J201" s="79" t="s">
        <v>180</v>
      </c>
      <c r="K201" s="62">
        <v>-8</v>
      </c>
      <c r="L201" s="62">
        <f t="shared" si="52"/>
        <v>779.48000000000025</v>
      </c>
      <c r="M201" s="302"/>
      <c r="N201" s="44" t="str">
        <f t="shared" si="0"/>
        <v>MCSGAST2CPF - Desp. Lazer e Entretenimento - Cigarro</v>
      </c>
      <c r="O201" s="44" t="str">
        <f t="shared" si="1"/>
        <v>GAST2CPF - Desp. Lazer e Entretenimento - Cigarro</v>
      </c>
      <c r="P201" s="44" t="str">
        <f t="shared" si="2"/>
        <v>MCSGAST2CPF - Desp. Lazer e Entretenimento - Cigarro</v>
      </c>
      <c r="Q201" s="44" t="str">
        <f t="shared" si="3"/>
        <v>MCSGAST2</v>
      </c>
      <c r="R201" s="44" t="str">
        <f t="shared" si="4"/>
        <v>MCSGAST2</v>
      </c>
      <c r="S201" s="38"/>
      <c r="T201" s="304">
        <f t="shared" si="5"/>
        <v>46054</v>
      </c>
      <c r="U201" s="304" t="str">
        <f t="shared" si="6"/>
        <v/>
      </c>
      <c r="V201" s="300" t="s">
        <v>761</v>
      </c>
    </row>
    <row r="202" spans="2:22" s="300" customFormat="1" x14ac:dyDescent="0.25">
      <c r="B202" s="301" t="s">
        <v>25</v>
      </c>
      <c r="C202" s="302"/>
      <c r="D202" s="86" t="str">
        <f>INDEX(Cad_Natureza!$B$3:$C$52,MATCH('2026'!F202,Cad_Natureza!$C$3:$C$52,0),MATCH('2026'!D$2,Cad_Natureza!$B$3:$C$3,0))</f>
        <v>OPF2</v>
      </c>
      <c r="E202" s="84" t="s">
        <v>1397</v>
      </c>
      <c r="F202" s="85" t="s">
        <v>741</v>
      </c>
      <c r="G202" s="86" t="s">
        <v>25</v>
      </c>
      <c r="H202" s="87">
        <v>46076</v>
      </c>
      <c r="I202" s="87"/>
      <c r="J202" s="79" t="s">
        <v>184</v>
      </c>
      <c r="K202" s="62">
        <v>-50</v>
      </c>
      <c r="L202" s="62">
        <f t="shared" si="52"/>
        <v>729.48000000000025</v>
      </c>
      <c r="M202" s="302"/>
      <c r="N202" s="44" t="str">
        <f t="shared" si="0"/>
        <v>MCSOPF2CPF - Desp. Transporte / Combustível</v>
      </c>
      <c r="O202" s="44" t="str">
        <f t="shared" si="1"/>
        <v>OPF2CPF - Desp. Transporte / Combustível</v>
      </c>
      <c r="P202" s="44" t="str">
        <f t="shared" si="2"/>
        <v>MCSOPF2CPF - Desp. Transporte / Combustível</v>
      </c>
      <c r="Q202" s="44" t="str">
        <f t="shared" si="3"/>
        <v>MCSOPF2</v>
      </c>
      <c r="R202" s="44" t="str">
        <f t="shared" si="4"/>
        <v>MCSOPF2</v>
      </c>
      <c r="S202" s="38"/>
      <c r="T202" s="304">
        <f t="shared" si="5"/>
        <v>46054</v>
      </c>
      <c r="U202" s="304" t="str">
        <f t="shared" si="6"/>
        <v/>
      </c>
      <c r="V202" s="300" t="s">
        <v>761</v>
      </c>
    </row>
    <row r="203" spans="2:22" s="300" customFormat="1" x14ac:dyDescent="0.25">
      <c r="B203" s="301" t="s">
        <v>25</v>
      </c>
      <c r="C203" s="302"/>
      <c r="D203" s="86" t="str">
        <f>INDEX(Cad_Natureza!$B$3:$C$52,MATCH('2026'!F203,Cad_Natureza!$C$3:$C$52,0),MATCH('2026'!D$2,Cad_Natureza!$B$3:$C$3,0))</f>
        <v>GAST1</v>
      </c>
      <c r="E203" s="84" t="s">
        <v>1398</v>
      </c>
      <c r="F203" s="85" t="s">
        <v>742</v>
      </c>
      <c r="G203" s="86" t="s">
        <v>25</v>
      </c>
      <c r="H203" s="87">
        <v>46076</v>
      </c>
      <c r="I203" s="87"/>
      <c r="J203" s="79" t="s">
        <v>185</v>
      </c>
      <c r="K203" s="62">
        <v>-12</v>
      </c>
      <c r="L203" s="62">
        <f t="shared" si="52"/>
        <v>717.48000000000025</v>
      </c>
      <c r="M203" s="302"/>
      <c r="N203" s="44" t="str">
        <f t="shared" si="0"/>
        <v>MCSGAST1CPF - Desp. Lazer e Entretenimento - Bares</v>
      </c>
      <c r="O203" s="44" t="str">
        <f t="shared" si="1"/>
        <v>GAST1CPF - Desp. Lazer e Entretenimento - Bares</v>
      </c>
      <c r="P203" s="44" t="str">
        <f t="shared" si="2"/>
        <v>MCSGAST1CPF - Desp. Lazer e Entretenimento - Bares</v>
      </c>
      <c r="Q203" s="44" t="str">
        <f t="shared" si="3"/>
        <v>MCSGAST1</v>
      </c>
      <c r="R203" s="44" t="str">
        <f t="shared" si="4"/>
        <v>MCSGAST1</v>
      </c>
      <c r="S203" s="38"/>
      <c r="T203" s="304">
        <f t="shared" si="5"/>
        <v>46054</v>
      </c>
      <c r="U203" s="304" t="str">
        <f t="shared" si="6"/>
        <v/>
      </c>
      <c r="V203" s="300" t="s">
        <v>761</v>
      </c>
    </row>
    <row r="204" spans="2:22" s="300" customFormat="1" x14ac:dyDescent="0.25">
      <c r="B204" s="301" t="s">
        <v>25</v>
      </c>
      <c r="C204" s="302"/>
      <c r="D204" s="86" t="str">
        <f>INDEX(Cad_Natureza!$B$3:$C$52,MATCH('2026'!F204,Cad_Natureza!$C$3:$C$52,0),MATCH('2026'!D$2,Cad_Natureza!$B$3:$C$3,0))</f>
        <v>GAST1</v>
      </c>
      <c r="E204" s="84" t="s">
        <v>1399</v>
      </c>
      <c r="F204" s="85" t="s">
        <v>742</v>
      </c>
      <c r="G204" s="86" t="s">
        <v>25</v>
      </c>
      <c r="H204" s="87">
        <v>46076</v>
      </c>
      <c r="I204" s="87"/>
      <c r="J204" s="79" t="s">
        <v>185</v>
      </c>
      <c r="K204" s="62">
        <v>-15</v>
      </c>
      <c r="L204" s="62">
        <f t="shared" si="52"/>
        <v>702.48000000000025</v>
      </c>
      <c r="M204" s="302"/>
      <c r="N204" s="44" t="str">
        <f t="shared" si="0"/>
        <v>MCSGAST1CPF - Desp. Lazer e Entretenimento - Bares</v>
      </c>
      <c r="O204" s="44" t="str">
        <f t="shared" si="1"/>
        <v>GAST1CPF - Desp. Lazer e Entretenimento - Bares</v>
      </c>
      <c r="P204" s="44" t="str">
        <f t="shared" si="2"/>
        <v>MCSGAST1CPF - Desp. Lazer e Entretenimento - Bares</v>
      </c>
      <c r="Q204" s="44" t="str">
        <f t="shared" si="3"/>
        <v>MCSGAST1</v>
      </c>
      <c r="R204" s="44" t="str">
        <f t="shared" si="4"/>
        <v>MCSGAST1</v>
      </c>
      <c r="S204" s="38"/>
      <c r="T204" s="304">
        <f t="shared" si="5"/>
        <v>46054</v>
      </c>
      <c r="U204" s="304" t="str">
        <f t="shared" si="6"/>
        <v/>
      </c>
      <c r="V204" s="300" t="s">
        <v>761</v>
      </c>
    </row>
    <row r="205" spans="2:22" s="300" customFormat="1" x14ac:dyDescent="0.25">
      <c r="B205" s="301" t="s">
        <v>25</v>
      </c>
      <c r="C205" s="302"/>
      <c r="D205" s="86" t="str">
        <f>INDEX(Cad_Natureza!$B$3:$C$52,MATCH('2026'!F205,Cad_Natureza!$C$3:$C$52,0),MATCH('2026'!D$2,Cad_Natureza!$B$3:$C$3,0))</f>
        <v>GAST1</v>
      </c>
      <c r="E205" s="84" t="s">
        <v>1399</v>
      </c>
      <c r="F205" s="85" t="s">
        <v>742</v>
      </c>
      <c r="G205" s="86" t="s">
        <v>25</v>
      </c>
      <c r="H205" s="87">
        <v>46076</v>
      </c>
      <c r="I205" s="87"/>
      <c r="J205" s="79" t="s">
        <v>185</v>
      </c>
      <c r="K205" s="62">
        <v>-5.5</v>
      </c>
      <c r="L205" s="62">
        <f t="shared" si="52"/>
        <v>696.98000000000025</v>
      </c>
      <c r="M205" s="302"/>
      <c r="N205" s="44" t="str">
        <f t="shared" si="0"/>
        <v>MCSGAST1CPF - Desp. Lazer e Entretenimento - Bares</v>
      </c>
      <c r="O205" s="44" t="str">
        <f t="shared" si="1"/>
        <v>GAST1CPF - Desp. Lazer e Entretenimento - Bares</v>
      </c>
      <c r="P205" s="44" t="str">
        <f t="shared" si="2"/>
        <v>MCSGAST1CPF - Desp. Lazer e Entretenimento - Bares</v>
      </c>
      <c r="Q205" s="44" t="str">
        <f t="shared" si="3"/>
        <v>MCSGAST1</v>
      </c>
      <c r="R205" s="44" t="str">
        <f t="shared" si="4"/>
        <v>MCSGAST1</v>
      </c>
      <c r="S205" s="38"/>
      <c r="T205" s="304">
        <f t="shared" si="5"/>
        <v>46054</v>
      </c>
      <c r="U205" s="304" t="str">
        <f t="shared" si="6"/>
        <v/>
      </c>
      <c r="V205" s="300" t="s">
        <v>761</v>
      </c>
    </row>
    <row r="206" spans="2:22" s="300" customFormat="1" x14ac:dyDescent="0.25">
      <c r="B206" s="301" t="s">
        <v>25</v>
      </c>
      <c r="C206" s="302"/>
      <c r="D206" s="86" t="str">
        <f>INDEX(Cad_Natureza!$B$3:$C$52,MATCH('2026'!F206,Cad_Natureza!$C$3:$C$52,0),MATCH('2026'!D$2,Cad_Natureza!$B$3:$C$3,0))</f>
        <v>GAST1</v>
      </c>
      <c r="E206" s="84" t="s">
        <v>1400</v>
      </c>
      <c r="F206" s="85" t="s">
        <v>742</v>
      </c>
      <c r="G206" s="86" t="s">
        <v>25</v>
      </c>
      <c r="H206" s="87">
        <v>46076</v>
      </c>
      <c r="I206" s="87"/>
      <c r="J206" s="79" t="s">
        <v>185</v>
      </c>
      <c r="K206" s="62">
        <v>-9</v>
      </c>
      <c r="L206" s="62">
        <f t="shared" si="52"/>
        <v>687.98000000000025</v>
      </c>
      <c r="M206" s="302"/>
      <c r="N206" s="44" t="str">
        <f t="shared" si="0"/>
        <v>MCSGAST1CPF - Desp. Lazer e Entretenimento - Bares</v>
      </c>
      <c r="O206" s="44" t="str">
        <f t="shared" si="1"/>
        <v>GAST1CPF - Desp. Lazer e Entretenimento - Bares</v>
      </c>
      <c r="P206" s="44" t="str">
        <f t="shared" si="2"/>
        <v>MCSGAST1CPF - Desp. Lazer e Entretenimento - Bares</v>
      </c>
      <c r="Q206" s="44" t="str">
        <f t="shared" si="3"/>
        <v>MCSGAST1</v>
      </c>
      <c r="R206" s="44" t="str">
        <f t="shared" si="4"/>
        <v>MCSGAST1</v>
      </c>
      <c r="S206" s="38"/>
      <c r="T206" s="304">
        <f t="shared" si="5"/>
        <v>46054</v>
      </c>
      <c r="U206" s="304" t="str">
        <f t="shared" si="6"/>
        <v/>
      </c>
      <c r="V206" s="300" t="s">
        <v>731</v>
      </c>
    </row>
    <row r="207" spans="2:22" s="300" customFormat="1" x14ac:dyDescent="0.25">
      <c r="B207" s="301" t="s">
        <v>25</v>
      </c>
      <c r="C207" s="302"/>
      <c r="D207" s="86" t="str">
        <f>INDEX(Cad_Natureza!$B$3:$C$52,MATCH('2026'!F207,Cad_Natureza!$C$3:$C$52,0),MATCH('2026'!D$2,Cad_Natureza!$B$3:$C$3,0))</f>
        <v>GAST1</v>
      </c>
      <c r="E207" s="84" t="s">
        <v>1400</v>
      </c>
      <c r="F207" s="85" t="s">
        <v>742</v>
      </c>
      <c r="G207" s="86" t="s">
        <v>25</v>
      </c>
      <c r="H207" s="87">
        <v>46076</v>
      </c>
      <c r="I207" s="87"/>
      <c r="J207" s="79" t="s">
        <v>185</v>
      </c>
      <c r="K207" s="62">
        <v>-9</v>
      </c>
      <c r="L207" s="62">
        <f t="shared" si="52"/>
        <v>678.98000000000025</v>
      </c>
      <c r="M207" s="302"/>
      <c r="N207" s="44" t="str">
        <f t="shared" si="0"/>
        <v>MCSGAST1CPF - Desp. Lazer e Entretenimento - Bares</v>
      </c>
      <c r="O207" s="44" t="str">
        <f t="shared" si="1"/>
        <v>GAST1CPF - Desp. Lazer e Entretenimento - Bares</v>
      </c>
      <c r="P207" s="44" t="str">
        <f t="shared" si="2"/>
        <v>MCSGAST1CPF - Desp. Lazer e Entretenimento - Bares</v>
      </c>
      <c r="Q207" s="44" t="str">
        <f t="shared" si="3"/>
        <v>MCSGAST1</v>
      </c>
      <c r="R207" s="44" t="str">
        <f t="shared" si="4"/>
        <v>MCSGAST1</v>
      </c>
      <c r="S207" s="38"/>
      <c r="T207" s="304">
        <f t="shared" si="5"/>
        <v>46054</v>
      </c>
      <c r="U207" s="304" t="str">
        <f t="shared" si="6"/>
        <v/>
      </c>
      <c r="V207" s="300" t="s">
        <v>731</v>
      </c>
    </row>
    <row r="208" spans="2:22" s="300" customFormat="1" x14ac:dyDescent="0.25">
      <c r="B208" s="301" t="s">
        <v>25</v>
      </c>
      <c r="C208" s="302"/>
      <c r="D208" s="86" t="str">
        <f>INDEX(Cad_Natureza!$B$3:$C$52,MATCH('2026'!F208,Cad_Natureza!$C$3:$C$52,0),MATCH('2026'!D$2,Cad_Natureza!$B$3:$C$3,0))</f>
        <v>GAST1</v>
      </c>
      <c r="E208" s="84" t="s">
        <v>1401</v>
      </c>
      <c r="F208" s="85" t="s">
        <v>742</v>
      </c>
      <c r="G208" s="86" t="s">
        <v>25</v>
      </c>
      <c r="H208" s="87">
        <v>46076</v>
      </c>
      <c r="I208" s="87"/>
      <c r="J208" s="79" t="s">
        <v>185</v>
      </c>
      <c r="K208" s="62">
        <v>-5</v>
      </c>
      <c r="L208" s="62">
        <f t="shared" si="52"/>
        <v>673.98000000000025</v>
      </c>
      <c r="M208" s="302"/>
      <c r="N208" s="44" t="str">
        <f t="shared" si="0"/>
        <v>MCSGAST1CPF - Desp. Lazer e Entretenimento - Bares</v>
      </c>
      <c r="O208" s="44" t="str">
        <f t="shared" si="1"/>
        <v>GAST1CPF - Desp. Lazer e Entretenimento - Bares</v>
      </c>
      <c r="P208" s="44" t="str">
        <f t="shared" si="2"/>
        <v>MCSGAST1CPF - Desp. Lazer e Entretenimento - Bares</v>
      </c>
      <c r="Q208" s="44" t="str">
        <f t="shared" si="3"/>
        <v>MCSGAST1</v>
      </c>
      <c r="R208" s="44" t="str">
        <f t="shared" si="4"/>
        <v>MCSGAST1</v>
      </c>
      <c r="S208" s="38"/>
      <c r="T208" s="304">
        <f t="shared" si="5"/>
        <v>46054</v>
      </c>
      <c r="U208" s="304" t="str">
        <f t="shared" si="6"/>
        <v/>
      </c>
      <c r="V208" s="300" t="s">
        <v>761</v>
      </c>
    </row>
    <row r="209" spans="2:22" s="300" customFormat="1" x14ac:dyDescent="0.25">
      <c r="B209" s="301" t="s">
        <v>25</v>
      </c>
      <c r="C209" s="302"/>
      <c r="D209" s="86" t="str">
        <f>INDEX(Cad_Natureza!$B$3:$C$52,MATCH('2026'!F209,Cad_Natureza!$C$3:$C$52,0),MATCH('2026'!D$2,Cad_Natureza!$B$3:$C$3,0))</f>
        <v>GAST1</v>
      </c>
      <c r="E209" s="84" t="s">
        <v>1402</v>
      </c>
      <c r="F209" s="85" t="s">
        <v>742</v>
      </c>
      <c r="G209" s="86" t="s">
        <v>25</v>
      </c>
      <c r="H209" s="87">
        <v>46076</v>
      </c>
      <c r="I209" s="87"/>
      <c r="J209" s="79" t="s">
        <v>1340</v>
      </c>
      <c r="K209" s="62">
        <v>-24</v>
      </c>
      <c r="L209" s="62">
        <f t="shared" si="52"/>
        <v>649.98000000000025</v>
      </c>
      <c r="M209" s="302"/>
      <c r="N209" s="44" t="str">
        <f t="shared" si="0"/>
        <v>MCSGAST1CPF - Desp. Lazer e Entretenimento - Bares</v>
      </c>
      <c r="O209" s="44" t="str">
        <f t="shared" si="1"/>
        <v>GAST1CPF - Desp. Lazer e Entretenimento - Bares</v>
      </c>
      <c r="P209" s="44" t="str">
        <f t="shared" si="2"/>
        <v>MCSGAST1CPF - Desp. Lazer e Entretenimento - Bares</v>
      </c>
      <c r="Q209" s="44" t="str">
        <f t="shared" si="3"/>
        <v>MCSGAST1</v>
      </c>
      <c r="R209" s="44" t="str">
        <f t="shared" si="4"/>
        <v>MCSGAST1</v>
      </c>
      <c r="S209" s="38"/>
      <c r="T209" s="304">
        <f t="shared" si="5"/>
        <v>46054</v>
      </c>
      <c r="U209" s="304" t="str">
        <f t="shared" si="6"/>
        <v/>
      </c>
      <c r="V209" s="300" t="s">
        <v>761</v>
      </c>
    </row>
    <row r="210" spans="2:22" s="300" customFormat="1" x14ac:dyDescent="0.25">
      <c r="B210" s="301" t="s">
        <v>25</v>
      </c>
      <c r="C210" s="302"/>
      <c r="D210" s="86" t="str">
        <f>INDEX(Cad_Natureza!$B$3:$C$52,MATCH('2026'!F210,Cad_Natureza!$C$3:$C$52,0),MATCH('2026'!D$2,Cad_Natureza!$B$3:$C$3,0))</f>
        <v>GAST2</v>
      </c>
      <c r="E210" s="84" t="s">
        <v>1403</v>
      </c>
      <c r="F210" s="85" t="s">
        <v>743</v>
      </c>
      <c r="G210" s="86" t="s">
        <v>25</v>
      </c>
      <c r="H210" s="87">
        <v>46076</v>
      </c>
      <c r="I210" s="87"/>
      <c r="J210" s="79" t="s">
        <v>180</v>
      </c>
      <c r="K210" s="62">
        <v>-38</v>
      </c>
      <c r="L210" s="62">
        <f t="shared" si="52"/>
        <v>611.98000000000025</v>
      </c>
      <c r="M210" s="302"/>
      <c r="N210" s="44" t="str">
        <f t="shared" si="0"/>
        <v>MCSGAST2CPF - Desp. Lazer e Entretenimento - Cigarro</v>
      </c>
      <c r="O210" s="44" t="str">
        <f t="shared" si="1"/>
        <v>GAST2CPF - Desp. Lazer e Entretenimento - Cigarro</v>
      </c>
      <c r="P210" s="44" t="str">
        <f t="shared" si="2"/>
        <v>MCSGAST2CPF - Desp. Lazer e Entretenimento - Cigarro</v>
      </c>
      <c r="Q210" s="44" t="str">
        <f t="shared" si="3"/>
        <v>MCSGAST2</v>
      </c>
      <c r="R210" s="44" t="str">
        <f t="shared" si="4"/>
        <v>MCSGAST2</v>
      </c>
      <c r="S210" s="38"/>
      <c r="T210" s="304">
        <f t="shared" si="5"/>
        <v>46054</v>
      </c>
      <c r="U210" s="304" t="str">
        <f t="shared" si="6"/>
        <v/>
      </c>
      <c r="V210" s="300" t="s">
        <v>761</v>
      </c>
    </row>
    <row r="211" spans="2:22" s="300" customFormat="1" x14ac:dyDescent="0.25">
      <c r="B211" s="301" t="s">
        <v>25</v>
      </c>
      <c r="C211" s="302"/>
      <c r="D211" s="86" t="str">
        <f>INDEX(Cad_Natureza!$B$3:$C$52,MATCH('2026'!F211,Cad_Natureza!$C$3:$C$52,0),MATCH('2026'!D$2,Cad_Natureza!$B$3:$C$3,0))</f>
        <v>OPF1</v>
      </c>
      <c r="E211" s="84" t="s">
        <v>1404</v>
      </c>
      <c r="F211" s="85" t="s">
        <v>744</v>
      </c>
      <c r="G211" s="86" t="s">
        <v>25</v>
      </c>
      <c r="H211" s="87">
        <v>46076</v>
      </c>
      <c r="I211" s="87"/>
      <c r="J211" s="79" t="s">
        <v>182</v>
      </c>
      <c r="K211" s="62">
        <v>-20</v>
      </c>
      <c r="L211" s="62">
        <f t="shared" si="52"/>
        <v>591.98000000000025</v>
      </c>
      <c r="M211" s="302"/>
      <c r="N211" s="44" t="str">
        <f t="shared" si="0"/>
        <v>MCSOPF1CPF - Desp. Alimentação / Refeição</v>
      </c>
      <c r="O211" s="44" t="str">
        <f t="shared" si="1"/>
        <v>OPF1CPF - Desp. Alimentação / Refeição</v>
      </c>
      <c r="P211" s="44" t="str">
        <f t="shared" si="2"/>
        <v>MCSOPF1CPF - Desp. Alimentação / Refeição</v>
      </c>
      <c r="Q211" s="44" t="str">
        <f t="shared" si="3"/>
        <v>MCSOPF1</v>
      </c>
      <c r="R211" s="44" t="str">
        <f t="shared" si="4"/>
        <v>MCSOPF1</v>
      </c>
      <c r="S211" s="38"/>
      <c r="T211" s="304">
        <f t="shared" si="5"/>
        <v>46054</v>
      </c>
      <c r="U211" s="304" t="str">
        <f t="shared" si="6"/>
        <v/>
      </c>
      <c r="V211" s="300" t="s">
        <v>761</v>
      </c>
    </row>
    <row r="212" spans="2:22" s="300" customFormat="1" x14ac:dyDescent="0.25">
      <c r="B212" s="301" t="s">
        <v>25</v>
      </c>
      <c r="C212" s="302"/>
      <c r="D212" s="86" t="str">
        <f>INDEX(Cad_Natureza!$B$3:$C$52,MATCH('2026'!F212,Cad_Natureza!$C$3:$C$52,0),MATCH('2026'!D$2,Cad_Natureza!$B$3:$C$3,0))</f>
        <v>OPF2</v>
      </c>
      <c r="E212" s="84" t="s">
        <v>1405</v>
      </c>
      <c r="F212" s="85" t="s">
        <v>741</v>
      </c>
      <c r="G212" s="86" t="s">
        <v>25</v>
      </c>
      <c r="H212" s="87">
        <v>46076</v>
      </c>
      <c r="I212" s="87"/>
      <c r="J212" s="79" t="s">
        <v>184</v>
      </c>
      <c r="K212" s="62">
        <v>-85</v>
      </c>
      <c r="L212" s="62">
        <f t="shared" si="52"/>
        <v>506.98000000000025</v>
      </c>
      <c r="M212" s="302"/>
      <c r="N212" s="44" t="str">
        <f t="shared" si="0"/>
        <v>MCSOPF2CPF - Desp. Transporte / Combustível</v>
      </c>
      <c r="O212" s="44" t="str">
        <f t="shared" si="1"/>
        <v>OPF2CPF - Desp. Transporte / Combustível</v>
      </c>
      <c r="P212" s="44" t="str">
        <f t="shared" si="2"/>
        <v>MCSOPF2CPF - Desp. Transporte / Combustível</v>
      </c>
      <c r="Q212" s="44" t="str">
        <f t="shared" si="3"/>
        <v>MCSOPF2</v>
      </c>
      <c r="R212" s="44" t="str">
        <f t="shared" si="4"/>
        <v>MCSOPF2</v>
      </c>
      <c r="S212" s="38"/>
      <c r="T212" s="304">
        <f t="shared" si="5"/>
        <v>46054</v>
      </c>
      <c r="U212" s="304" t="str">
        <f t="shared" si="6"/>
        <v/>
      </c>
      <c r="V212" s="300" t="s">
        <v>761</v>
      </c>
    </row>
    <row r="213" spans="2:22" s="300" customFormat="1" x14ac:dyDescent="0.25">
      <c r="B213" s="301" t="s">
        <v>25</v>
      </c>
      <c r="C213" s="302"/>
      <c r="D213" s="86" t="str">
        <f>INDEX(Cad_Natureza!$B$3:$C$52,MATCH('2026'!F213,Cad_Natureza!$C$3:$C$52,0),MATCH('2026'!D$2,Cad_Natureza!$B$3:$C$3,0))</f>
        <v>GAST2</v>
      </c>
      <c r="E213" s="84" t="s">
        <v>1406</v>
      </c>
      <c r="F213" s="85" t="s">
        <v>743</v>
      </c>
      <c r="G213" s="86" t="s">
        <v>25</v>
      </c>
      <c r="H213" s="87">
        <v>46076</v>
      </c>
      <c r="I213" s="87"/>
      <c r="J213" s="79" t="s">
        <v>180</v>
      </c>
      <c r="K213" s="62">
        <v>-4</v>
      </c>
      <c r="L213" s="62">
        <f t="shared" si="52"/>
        <v>502.98000000000025</v>
      </c>
      <c r="M213" s="302"/>
      <c r="N213" s="44" t="str">
        <f t="shared" si="0"/>
        <v>MCSGAST2CPF - Desp. Lazer e Entretenimento - Cigarro</v>
      </c>
      <c r="O213" s="44" t="str">
        <f t="shared" si="1"/>
        <v>GAST2CPF - Desp. Lazer e Entretenimento - Cigarro</v>
      </c>
      <c r="P213" s="44" t="str">
        <f t="shared" si="2"/>
        <v>MCSGAST2CPF - Desp. Lazer e Entretenimento - Cigarro</v>
      </c>
      <c r="Q213" s="44" t="str">
        <f t="shared" si="3"/>
        <v>MCSGAST2</v>
      </c>
      <c r="R213" s="44" t="str">
        <f t="shared" si="4"/>
        <v>MCSGAST2</v>
      </c>
      <c r="S213" s="38"/>
      <c r="T213" s="304">
        <f t="shared" si="5"/>
        <v>46054</v>
      </c>
      <c r="U213" s="304" t="str">
        <f t="shared" si="6"/>
        <v/>
      </c>
      <c r="V213" s="300" t="s">
        <v>761</v>
      </c>
    </row>
    <row r="214" spans="2:22" s="300" customFormat="1" x14ac:dyDescent="0.25">
      <c r="B214" s="301" t="s">
        <v>25</v>
      </c>
      <c r="C214" s="302"/>
      <c r="D214" s="86" t="str">
        <f>INDEX(Cad_Natureza!$B$3:$C$52,MATCH('2026'!F214,Cad_Natureza!$C$3:$C$52,0),MATCH('2026'!D$2,Cad_Natureza!$B$3:$C$3,0))</f>
        <v>GAST2</v>
      </c>
      <c r="E214" s="84" t="s">
        <v>1406</v>
      </c>
      <c r="F214" s="85" t="s">
        <v>743</v>
      </c>
      <c r="G214" s="86" t="s">
        <v>25</v>
      </c>
      <c r="H214" s="87">
        <v>46076</v>
      </c>
      <c r="I214" s="87"/>
      <c r="J214" s="79" t="s">
        <v>180</v>
      </c>
      <c r="K214" s="62">
        <v>-8</v>
      </c>
      <c r="L214" s="62">
        <f t="shared" si="52"/>
        <v>494.98000000000025</v>
      </c>
      <c r="M214" s="302"/>
      <c r="N214" s="44" t="str">
        <f t="shared" si="0"/>
        <v>MCSGAST2CPF - Desp. Lazer e Entretenimento - Cigarro</v>
      </c>
      <c r="O214" s="44" t="str">
        <f t="shared" si="1"/>
        <v>GAST2CPF - Desp. Lazer e Entretenimento - Cigarro</v>
      </c>
      <c r="P214" s="44" t="str">
        <f t="shared" si="2"/>
        <v>MCSGAST2CPF - Desp. Lazer e Entretenimento - Cigarro</v>
      </c>
      <c r="Q214" s="44" t="str">
        <f t="shared" si="3"/>
        <v>MCSGAST2</v>
      </c>
      <c r="R214" s="44" t="str">
        <f t="shared" si="4"/>
        <v>MCSGAST2</v>
      </c>
      <c r="S214" s="38"/>
      <c r="T214" s="304">
        <f t="shared" si="5"/>
        <v>46054</v>
      </c>
      <c r="U214" s="304" t="str">
        <f t="shared" si="6"/>
        <v/>
      </c>
      <c r="V214" s="300" t="s">
        <v>731</v>
      </c>
    </row>
    <row r="215" spans="2:22" s="300" customFormat="1" x14ac:dyDescent="0.25">
      <c r="B215" s="301" t="s">
        <v>25</v>
      </c>
      <c r="C215" s="302"/>
      <c r="D215" s="86" t="str">
        <f>INDEX(Cad_Natureza!$B$3:$C$52,MATCH('2026'!F215,Cad_Natureza!$C$3:$C$52,0),MATCH('2026'!D$2,Cad_Natureza!$B$3:$C$3,0))</f>
        <v>GAST2</v>
      </c>
      <c r="E215" s="84" t="s">
        <v>1406</v>
      </c>
      <c r="F215" s="85" t="s">
        <v>743</v>
      </c>
      <c r="G215" s="86" t="s">
        <v>25</v>
      </c>
      <c r="H215" s="87">
        <v>46076</v>
      </c>
      <c r="I215" s="87"/>
      <c r="J215" s="79" t="s">
        <v>180</v>
      </c>
      <c r="K215" s="62">
        <v>-35</v>
      </c>
      <c r="L215" s="62">
        <f t="shared" si="52"/>
        <v>459.98000000000025</v>
      </c>
      <c r="M215" s="302"/>
      <c r="N215" s="44" t="str">
        <f t="shared" ref="N215:N229" si="53">B215&amp;D215&amp;F215</f>
        <v>MCSGAST2CPF - Desp. Lazer e Entretenimento - Cigarro</v>
      </c>
      <c r="O215" s="44" t="str">
        <f t="shared" ref="O215:O229" si="54">D215&amp;F215</f>
        <v>GAST2CPF - Desp. Lazer e Entretenimento - Cigarro</v>
      </c>
      <c r="P215" s="44" t="str">
        <f t="shared" ref="P215:P229" si="55">"MCS"&amp;D215&amp;F215</f>
        <v>MCSGAST2CPF - Desp. Lazer e Entretenimento - Cigarro</v>
      </c>
      <c r="Q215" s="44" t="str">
        <f t="shared" ref="Q215:Q229" si="56">"MCS"&amp;D215</f>
        <v>MCSGAST2</v>
      </c>
      <c r="R215" s="44" t="str">
        <f t="shared" ref="R215:R229" si="57">B215&amp;D215</f>
        <v>MCSGAST2</v>
      </c>
      <c r="S215" s="38"/>
      <c r="T215" s="304">
        <f t="shared" ref="T215:T229" si="58">(1&amp;"/"&amp;MONTH(H215)&amp;"/"&amp;YEAR(H215))*1</f>
        <v>46054</v>
      </c>
      <c r="U215" s="304" t="str">
        <f t="shared" ref="U215:U229" si="59">IF(I215="","",(1&amp;"/"&amp;MONTH(I215)&amp;"/"&amp;YEAR(I215))*1)</f>
        <v/>
      </c>
      <c r="V215" s="300" t="s">
        <v>761</v>
      </c>
    </row>
    <row r="216" spans="2:22" s="300" customFormat="1" x14ac:dyDescent="0.25">
      <c r="B216" s="301" t="s">
        <v>25</v>
      </c>
      <c r="C216" s="302"/>
      <c r="D216" s="86" t="str">
        <f>INDEX(Cad_Natureza!$B$3:$C$52,MATCH('2026'!F216,Cad_Natureza!$C$3:$C$52,0),MATCH('2026'!D$2,Cad_Natureza!$B$3:$C$3,0))</f>
        <v>OPF1</v>
      </c>
      <c r="E216" s="84" t="s">
        <v>1407</v>
      </c>
      <c r="F216" s="85" t="s">
        <v>744</v>
      </c>
      <c r="G216" s="86" t="s">
        <v>25</v>
      </c>
      <c r="H216" s="87">
        <v>46077</v>
      </c>
      <c r="I216" s="87"/>
      <c r="J216" s="79" t="s">
        <v>182</v>
      </c>
      <c r="K216" s="62">
        <v>-19</v>
      </c>
      <c r="L216" s="62">
        <f t="shared" si="52"/>
        <v>440.98000000000025</v>
      </c>
      <c r="M216" s="302"/>
      <c r="N216" s="44" t="str">
        <f t="shared" si="53"/>
        <v>MCSOPF1CPF - Desp. Alimentação / Refeição</v>
      </c>
      <c r="O216" s="44" t="str">
        <f t="shared" si="54"/>
        <v>OPF1CPF - Desp. Alimentação / Refeição</v>
      </c>
      <c r="P216" s="44" t="str">
        <f t="shared" si="55"/>
        <v>MCSOPF1CPF - Desp. Alimentação / Refeição</v>
      </c>
      <c r="Q216" s="44" t="str">
        <f t="shared" si="56"/>
        <v>MCSOPF1</v>
      </c>
      <c r="R216" s="44" t="str">
        <f t="shared" si="57"/>
        <v>MCSOPF1</v>
      </c>
      <c r="S216" s="38"/>
      <c r="T216" s="304">
        <f t="shared" si="58"/>
        <v>46054</v>
      </c>
      <c r="U216" s="304" t="str">
        <f t="shared" si="59"/>
        <v/>
      </c>
      <c r="V216" s="300" t="s">
        <v>761</v>
      </c>
    </row>
    <row r="217" spans="2:22" s="300" customFormat="1" x14ac:dyDescent="0.25">
      <c r="B217" s="301" t="s">
        <v>25</v>
      </c>
      <c r="C217" s="302"/>
      <c r="D217" s="86" t="str">
        <f>INDEX(Cad_Natureza!$B$3:$C$52,MATCH('2026'!F217,Cad_Natureza!$C$3:$C$52,0),MATCH('2026'!D$2,Cad_Natureza!$B$3:$C$3,0))</f>
        <v>GAST1</v>
      </c>
      <c r="E217" s="84" t="s">
        <v>1408</v>
      </c>
      <c r="F217" s="85" t="s">
        <v>742</v>
      </c>
      <c r="G217" s="86" t="s">
        <v>25</v>
      </c>
      <c r="H217" s="87">
        <v>46077</v>
      </c>
      <c r="I217" s="87"/>
      <c r="J217" s="79" t="s">
        <v>1340</v>
      </c>
      <c r="K217" s="62">
        <v>-22</v>
      </c>
      <c r="L217" s="62">
        <f t="shared" si="52"/>
        <v>418.98000000000025</v>
      </c>
      <c r="M217" s="302"/>
      <c r="N217" s="44" t="str">
        <f t="shared" si="53"/>
        <v>MCSGAST1CPF - Desp. Lazer e Entretenimento - Bares</v>
      </c>
      <c r="O217" s="44" t="str">
        <f t="shared" si="54"/>
        <v>GAST1CPF - Desp. Lazer e Entretenimento - Bares</v>
      </c>
      <c r="P217" s="44" t="str">
        <f t="shared" si="55"/>
        <v>MCSGAST1CPF - Desp. Lazer e Entretenimento - Bares</v>
      </c>
      <c r="Q217" s="44" t="str">
        <f t="shared" si="56"/>
        <v>MCSGAST1</v>
      </c>
      <c r="R217" s="44" t="str">
        <f t="shared" si="57"/>
        <v>MCSGAST1</v>
      </c>
      <c r="S217" s="38"/>
      <c r="T217" s="304">
        <f t="shared" si="58"/>
        <v>46054</v>
      </c>
      <c r="U217" s="304" t="str">
        <f t="shared" si="59"/>
        <v/>
      </c>
      <c r="V217" s="300" t="s">
        <v>761</v>
      </c>
    </row>
    <row r="218" spans="2:22" s="300" customFormat="1" x14ac:dyDescent="0.25">
      <c r="B218" s="301" t="s">
        <v>25</v>
      </c>
      <c r="C218" s="302"/>
      <c r="D218" s="86" t="str">
        <f>INDEX(Cad_Natureza!$B$3:$C$52,MATCH('2026'!F218,Cad_Natureza!$C$3:$C$52,0),MATCH('2026'!D$2,Cad_Natureza!$B$3:$C$3,0))</f>
        <v>GAST2</v>
      </c>
      <c r="E218" s="84" t="s">
        <v>1409</v>
      </c>
      <c r="F218" s="85" t="s">
        <v>743</v>
      </c>
      <c r="G218" s="86" t="s">
        <v>25</v>
      </c>
      <c r="H218" s="87">
        <v>46077</v>
      </c>
      <c r="I218" s="87"/>
      <c r="J218" s="79" t="s">
        <v>180</v>
      </c>
      <c r="K218" s="62">
        <v>-8</v>
      </c>
      <c r="L218" s="62">
        <f t="shared" si="52"/>
        <v>410.98000000000025</v>
      </c>
      <c r="M218" s="302"/>
      <c r="N218" s="44" t="str">
        <f t="shared" si="53"/>
        <v>MCSGAST2CPF - Desp. Lazer e Entretenimento - Cigarro</v>
      </c>
      <c r="O218" s="44" t="str">
        <f t="shared" si="54"/>
        <v>GAST2CPF - Desp. Lazer e Entretenimento - Cigarro</v>
      </c>
      <c r="P218" s="44" t="str">
        <f t="shared" si="55"/>
        <v>MCSGAST2CPF - Desp. Lazer e Entretenimento - Cigarro</v>
      </c>
      <c r="Q218" s="44" t="str">
        <f t="shared" si="56"/>
        <v>MCSGAST2</v>
      </c>
      <c r="R218" s="44" t="str">
        <f t="shared" si="57"/>
        <v>MCSGAST2</v>
      </c>
      <c r="S218" s="38"/>
      <c r="T218" s="304">
        <f t="shared" si="58"/>
        <v>46054</v>
      </c>
      <c r="U218" s="304" t="str">
        <f t="shared" si="59"/>
        <v/>
      </c>
      <c r="V218" s="300" t="s">
        <v>761</v>
      </c>
    </row>
    <row r="219" spans="2:22" s="300" customFormat="1" x14ac:dyDescent="0.25">
      <c r="B219" s="301" t="s">
        <v>25</v>
      </c>
      <c r="C219" s="302"/>
      <c r="D219" s="86" t="str">
        <f>INDEX(Cad_Natureza!$B$3:$C$52,MATCH('2026'!F219,Cad_Natureza!$C$3:$C$52,0),MATCH('2026'!D$2,Cad_Natureza!$B$3:$C$3,0))</f>
        <v>OPF1</v>
      </c>
      <c r="E219" s="84" t="s">
        <v>1410</v>
      </c>
      <c r="F219" s="85" t="s">
        <v>744</v>
      </c>
      <c r="G219" s="86" t="s">
        <v>25</v>
      </c>
      <c r="H219" s="87">
        <v>46078</v>
      </c>
      <c r="I219" s="87"/>
      <c r="J219" s="79" t="s">
        <v>182</v>
      </c>
      <c r="K219" s="62">
        <v>-22</v>
      </c>
      <c r="L219" s="62">
        <f t="shared" si="52"/>
        <v>388.98000000000025</v>
      </c>
      <c r="M219" s="302"/>
      <c r="N219" s="44" t="str">
        <f t="shared" si="53"/>
        <v>MCSOPF1CPF - Desp. Alimentação / Refeição</v>
      </c>
      <c r="O219" s="44" t="str">
        <f t="shared" si="54"/>
        <v>OPF1CPF - Desp. Alimentação / Refeição</v>
      </c>
      <c r="P219" s="44" t="str">
        <f t="shared" si="55"/>
        <v>MCSOPF1CPF - Desp. Alimentação / Refeição</v>
      </c>
      <c r="Q219" s="44" t="str">
        <f t="shared" si="56"/>
        <v>MCSOPF1</v>
      </c>
      <c r="R219" s="44" t="str">
        <f t="shared" si="57"/>
        <v>MCSOPF1</v>
      </c>
      <c r="S219" s="38"/>
      <c r="T219" s="304">
        <f t="shared" si="58"/>
        <v>46054</v>
      </c>
      <c r="U219" s="304" t="str">
        <f t="shared" si="59"/>
        <v/>
      </c>
      <c r="V219" s="300" t="s">
        <v>761</v>
      </c>
    </row>
    <row r="220" spans="2:22" s="300" customFormat="1" x14ac:dyDescent="0.25">
      <c r="B220" s="301" t="s">
        <v>25</v>
      </c>
      <c r="C220" s="302"/>
      <c r="D220" s="86" t="str">
        <f>INDEX(Cad_Natureza!$B$3:$C$52,MATCH('2026'!F220,Cad_Natureza!$C$3:$C$52,0),MATCH('2026'!D$2,Cad_Natureza!$B$3:$C$3,0))</f>
        <v>OPF1</v>
      </c>
      <c r="E220" s="84" t="s">
        <v>1411</v>
      </c>
      <c r="F220" s="85" t="s">
        <v>744</v>
      </c>
      <c r="G220" s="86" t="s">
        <v>25</v>
      </c>
      <c r="H220" s="87">
        <v>46079</v>
      </c>
      <c r="I220" s="87"/>
      <c r="J220" s="79" t="s">
        <v>182</v>
      </c>
      <c r="K220" s="62">
        <v>-20</v>
      </c>
      <c r="L220" s="62">
        <f t="shared" si="52"/>
        <v>368.98000000000025</v>
      </c>
      <c r="M220" s="302"/>
      <c r="N220" s="44" t="str">
        <f t="shared" si="53"/>
        <v>MCSOPF1CPF - Desp. Alimentação / Refeição</v>
      </c>
      <c r="O220" s="44" t="str">
        <f t="shared" si="54"/>
        <v>OPF1CPF - Desp. Alimentação / Refeição</v>
      </c>
      <c r="P220" s="44" t="str">
        <f t="shared" si="55"/>
        <v>MCSOPF1CPF - Desp. Alimentação / Refeição</v>
      </c>
      <c r="Q220" s="44" t="str">
        <f t="shared" si="56"/>
        <v>MCSOPF1</v>
      </c>
      <c r="R220" s="44" t="str">
        <f t="shared" si="57"/>
        <v>MCSOPF1</v>
      </c>
      <c r="S220" s="38"/>
      <c r="T220" s="304">
        <f t="shared" si="58"/>
        <v>46054</v>
      </c>
      <c r="U220" s="304" t="str">
        <f t="shared" si="59"/>
        <v/>
      </c>
      <c r="V220" s="300" t="s">
        <v>761</v>
      </c>
    </row>
    <row r="221" spans="2:22" s="300" customFormat="1" x14ac:dyDescent="0.25">
      <c r="B221" s="301" t="s">
        <v>25</v>
      </c>
      <c r="C221" s="302"/>
      <c r="D221" s="86" t="str">
        <f>INDEX(Cad_Natureza!$B$3:$C$52,MATCH('2026'!F221,Cad_Natureza!$C$3:$C$52,0),MATCH('2026'!D$2,Cad_Natureza!$B$3:$C$3,0))</f>
        <v>PENS6</v>
      </c>
      <c r="E221" s="84" t="s">
        <v>1412</v>
      </c>
      <c r="F221" s="85" t="s">
        <v>37</v>
      </c>
      <c r="G221" s="86" t="s">
        <v>25</v>
      </c>
      <c r="H221" s="87">
        <v>46079</v>
      </c>
      <c r="I221" s="87"/>
      <c r="J221" s="78" t="s">
        <v>1112</v>
      </c>
      <c r="K221" s="62">
        <v>-7.99</v>
      </c>
      <c r="L221" s="62">
        <f t="shared" si="52"/>
        <v>360.99000000000024</v>
      </c>
      <c r="M221" s="302"/>
      <c r="N221" s="44" t="str">
        <f t="shared" si="53"/>
        <v>MCSPENS6CPF - Pensão - Farmácia e Saúde</v>
      </c>
      <c r="O221" s="44" t="str">
        <f t="shared" si="54"/>
        <v>PENS6CPF - Pensão - Farmácia e Saúde</v>
      </c>
      <c r="P221" s="44" t="str">
        <f t="shared" si="55"/>
        <v>MCSPENS6CPF - Pensão - Farmácia e Saúde</v>
      </c>
      <c r="Q221" s="44" t="str">
        <f t="shared" si="56"/>
        <v>MCSPENS6</v>
      </c>
      <c r="R221" s="44" t="str">
        <f t="shared" si="57"/>
        <v>MCSPENS6</v>
      </c>
      <c r="S221" s="38"/>
      <c r="T221" s="304">
        <f t="shared" si="58"/>
        <v>46054</v>
      </c>
      <c r="U221" s="304" t="str">
        <f t="shared" si="59"/>
        <v/>
      </c>
      <c r="V221" s="300" t="s">
        <v>731</v>
      </c>
    </row>
    <row r="222" spans="2:22" s="300" customFormat="1" x14ac:dyDescent="0.25">
      <c r="B222" s="301" t="s">
        <v>25</v>
      </c>
      <c r="C222" s="302"/>
      <c r="D222" s="86" t="str">
        <f>INDEX(Cad_Natureza!$B$3:$C$52,MATCH('2026'!F222,Cad_Natureza!$C$3:$C$52,0),MATCH('2026'!D$2,Cad_Natureza!$B$3:$C$3,0))</f>
        <v>OPF2</v>
      </c>
      <c r="E222" s="84" t="s">
        <v>1413</v>
      </c>
      <c r="F222" s="85" t="s">
        <v>741</v>
      </c>
      <c r="G222" s="86" t="s">
        <v>25</v>
      </c>
      <c r="H222" s="87">
        <v>46080</v>
      </c>
      <c r="I222" s="87"/>
      <c r="J222" s="79" t="s">
        <v>184</v>
      </c>
      <c r="K222" s="62">
        <v>-80</v>
      </c>
      <c r="L222" s="62">
        <f t="shared" si="52"/>
        <v>280.99000000000024</v>
      </c>
      <c r="M222" s="302"/>
      <c r="N222" s="44" t="str">
        <f t="shared" si="53"/>
        <v>MCSOPF2CPF - Desp. Transporte / Combustível</v>
      </c>
      <c r="O222" s="44" t="str">
        <f t="shared" si="54"/>
        <v>OPF2CPF - Desp. Transporte / Combustível</v>
      </c>
      <c r="P222" s="44" t="str">
        <f t="shared" si="55"/>
        <v>MCSOPF2CPF - Desp. Transporte / Combustível</v>
      </c>
      <c r="Q222" s="44" t="str">
        <f t="shared" si="56"/>
        <v>MCSOPF2</v>
      </c>
      <c r="R222" s="44" t="str">
        <f t="shared" si="57"/>
        <v>MCSOPF2</v>
      </c>
      <c r="S222" s="38"/>
      <c r="T222" s="304">
        <f t="shared" si="58"/>
        <v>46054</v>
      </c>
      <c r="U222" s="304" t="str">
        <f t="shared" si="59"/>
        <v/>
      </c>
      <c r="V222" s="300" t="s">
        <v>731</v>
      </c>
    </row>
    <row r="223" spans="2:22" s="300" customFormat="1" x14ac:dyDescent="0.25">
      <c r="B223" s="301" t="s">
        <v>25</v>
      </c>
      <c r="C223" s="302"/>
      <c r="D223" s="86" t="str">
        <f>INDEX(Cad_Natureza!$B$3:$C$52,MATCH('2026'!F223,Cad_Natureza!$C$3:$C$52,0),MATCH('2026'!D$2,Cad_Natureza!$B$3:$C$3,0))</f>
        <v>OPF1</v>
      </c>
      <c r="E223" s="84" t="s">
        <v>1414</v>
      </c>
      <c r="F223" s="85" t="s">
        <v>744</v>
      </c>
      <c r="G223" s="86" t="s">
        <v>25</v>
      </c>
      <c r="H223" s="87">
        <v>46080</v>
      </c>
      <c r="I223" s="87"/>
      <c r="J223" s="79" t="s">
        <v>182</v>
      </c>
      <c r="K223" s="62">
        <v>-22</v>
      </c>
      <c r="L223" s="62">
        <f t="shared" si="52"/>
        <v>258.99000000000024</v>
      </c>
      <c r="M223" s="302"/>
      <c r="N223" s="44" t="str">
        <f t="shared" si="53"/>
        <v>MCSOPF1CPF - Desp. Alimentação / Refeição</v>
      </c>
      <c r="O223" s="44" t="str">
        <f t="shared" si="54"/>
        <v>OPF1CPF - Desp. Alimentação / Refeição</v>
      </c>
      <c r="P223" s="44" t="str">
        <f t="shared" si="55"/>
        <v>MCSOPF1CPF - Desp. Alimentação / Refeição</v>
      </c>
      <c r="Q223" s="44" t="str">
        <f t="shared" si="56"/>
        <v>MCSOPF1</v>
      </c>
      <c r="R223" s="44" t="str">
        <f t="shared" si="57"/>
        <v>MCSOPF1</v>
      </c>
      <c r="S223" s="38"/>
      <c r="T223" s="304">
        <f t="shared" si="58"/>
        <v>46054</v>
      </c>
      <c r="U223" s="304" t="str">
        <f t="shared" si="59"/>
        <v/>
      </c>
      <c r="V223" s="300" t="s">
        <v>761</v>
      </c>
    </row>
    <row r="224" spans="2:22" s="300" customFormat="1" x14ac:dyDescent="0.25">
      <c r="B224" s="301" t="s">
        <v>25</v>
      </c>
      <c r="C224" s="302"/>
      <c r="D224" s="86" t="str">
        <f>INDEX(Cad_Natureza!$B$3:$C$52,MATCH('2026'!F224,Cad_Natureza!$C$3:$C$52,0),MATCH('2026'!D$2,Cad_Natureza!$B$3:$C$3,0))</f>
        <v>GAST1</v>
      </c>
      <c r="E224" s="84" t="s">
        <v>1415</v>
      </c>
      <c r="F224" s="85" t="s">
        <v>742</v>
      </c>
      <c r="G224" s="86" t="s">
        <v>25</v>
      </c>
      <c r="H224" s="87">
        <v>46083</v>
      </c>
      <c r="I224" s="87"/>
      <c r="J224" s="79" t="s">
        <v>1434</v>
      </c>
      <c r="K224" s="62">
        <v>-20</v>
      </c>
      <c r="L224" s="62">
        <f t="shared" si="52"/>
        <v>238.99000000000024</v>
      </c>
      <c r="M224" s="302"/>
      <c r="N224" s="44" t="str">
        <f t="shared" si="53"/>
        <v>MCSGAST1CPF - Desp. Lazer e Entretenimento - Bares</v>
      </c>
      <c r="O224" s="44" t="str">
        <f t="shared" si="54"/>
        <v>GAST1CPF - Desp. Lazer e Entretenimento - Bares</v>
      </c>
      <c r="P224" s="44" t="str">
        <f t="shared" si="55"/>
        <v>MCSGAST1CPF - Desp. Lazer e Entretenimento - Bares</v>
      </c>
      <c r="Q224" s="44" t="str">
        <f t="shared" si="56"/>
        <v>MCSGAST1</v>
      </c>
      <c r="R224" s="44" t="str">
        <f t="shared" si="57"/>
        <v>MCSGAST1</v>
      </c>
      <c r="S224" s="38"/>
      <c r="T224" s="304">
        <f t="shared" si="58"/>
        <v>46082</v>
      </c>
      <c r="U224" s="304" t="str">
        <f t="shared" si="59"/>
        <v/>
      </c>
      <c r="V224" s="300" t="s">
        <v>761</v>
      </c>
    </row>
    <row r="225" spans="2:22" s="291" customFormat="1" x14ac:dyDescent="0.25">
      <c r="B225" s="288" t="s">
        <v>25</v>
      </c>
      <c r="C225" s="83"/>
      <c r="D225" s="63" t="str">
        <f>INDEX(Cad_Natureza!$B$3:$C$52,MATCH('2026'!F225,Cad_Natureza!$C$3:$C$52,0),MATCH('2026'!D$2,Cad_Natureza!$B$3:$C$3,0))</f>
        <v>REC5</v>
      </c>
      <c r="E225" s="64" t="s">
        <v>1416</v>
      </c>
      <c r="F225" s="65" t="s">
        <v>740</v>
      </c>
      <c r="G225" s="63" t="s">
        <v>25</v>
      </c>
      <c r="H225" s="66">
        <v>46083</v>
      </c>
      <c r="I225" s="66"/>
      <c r="J225" s="67" t="s">
        <v>1434</v>
      </c>
      <c r="K225" s="68">
        <v>56</v>
      </c>
      <c r="L225" s="68">
        <f t="shared" si="52"/>
        <v>294.99000000000024</v>
      </c>
      <c r="M225" s="83"/>
      <c r="N225" s="44" t="str">
        <f t="shared" si="53"/>
        <v>MCSREC5CPF - Outras receitas</v>
      </c>
      <c r="O225" s="44" t="str">
        <f t="shared" si="54"/>
        <v>REC5CPF - Outras receitas</v>
      </c>
      <c r="P225" s="44" t="str">
        <f t="shared" si="55"/>
        <v>MCSREC5CPF - Outras receitas</v>
      </c>
      <c r="Q225" s="44" t="str">
        <f t="shared" si="56"/>
        <v>MCSREC5</v>
      </c>
      <c r="R225" s="44" t="str">
        <f t="shared" si="57"/>
        <v>MCSREC5</v>
      </c>
      <c r="S225" s="38"/>
      <c r="T225" s="290">
        <f t="shared" si="58"/>
        <v>46082</v>
      </c>
      <c r="U225" s="290" t="str">
        <f t="shared" si="59"/>
        <v/>
      </c>
      <c r="V225" s="291" t="s">
        <v>761</v>
      </c>
    </row>
    <row r="226" spans="2:22" s="300" customFormat="1" x14ac:dyDescent="0.25">
      <c r="B226" s="301" t="s">
        <v>25</v>
      </c>
      <c r="C226" s="302"/>
      <c r="D226" s="86" t="str">
        <f>INDEX(Cad_Natureza!$B$3:$C$52,MATCH('2026'!F226,Cad_Natureza!$C$3:$C$52,0),MATCH('2026'!D$2,Cad_Natureza!$B$3:$C$3,0))</f>
        <v>GAST1</v>
      </c>
      <c r="E226" s="84" t="s">
        <v>1417</v>
      </c>
      <c r="F226" s="85" t="s">
        <v>742</v>
      </c>
      <c r="G226" s="86" t="s">
        <v>25</v>
      </c>
      <c r="H226" s="87">
        <v>46083</v>
      </c>
      <c r="I226" s="87"/>
      <c r="J226" s="79" t="s">
        <v>1434</v>
      </c>
      <c r="K226" s="62">
        <v>-20</v>
      </c>
      <c r="L226" s="62">
        <f t="shared" si="52"/>
        <v>274.99000000000024</v>
      </c>
      <c r="M226" s="302"/>
      <c r="N226" s="44" t="str">
        <f t="shared" si="53"/>
        <v>MCSGAST1CPF - Desp. Lazer e Entretenimento - Bares</v>
      </c>
      <c r="O226" s="44" t="str">
        <f t="shared" si="54"/>
        <v>GAST1CPF - Desp. Lazer e Entretenimento - Bares</v>
      </c>
      <c r="P226" s="44" t="str">
        <f t="shared" si="55"/>
        <v>MCSGAST1CPF - Desp. Lazer e Entretenimento - Bares</v>
      </c>
      <c r="Q226" s="44" t="str">
        <f t="shared" si="56"/>
        <v>MCSGAST1</v>
      </c>
      <c r="R226" s="44" t="str">
        <f t="shared" si="57"/>
        <v>MCSGAST1</v>
      </c>
      <c r="S226" s="38"/>
      <c r="T226" s="304">
        <f t="shared" si="58"/>
        <v>46082</v>
      </c>
      <c r="U226" s="304" t="str">
        <f t="shared" si="59"/>
        <v/>
      </c>
      <c r="V226" s="300" t="s">
        <v>761</v>
      </c>
    </row>
    <row r="227" spans="2:22" s="300" customFormat="1" x14ac:dyDescent="0.25">
      <c r="B227" s="301" t="s">
        <v>25</v>
      </c>
      <c r="C227" s="302"/>
      <c r="D227" s="86" t="str">
        <f>INDEX(Cad_Natureza!$B$3:$C$52,MATCH('2026'!F227,Cad_Natureza!$C$3:$C$52,0),MATCH('2026'!D$2,Cad_Natureza!$B$3:$C$3,0))</f>
        <v>DESP1</v>
      </c>
      <c r="E227" s="84" t="s">
        <v>926</v>
      </c>
      <c r="F227" s="85" t="s">
        <v>733</v>
      </c>
      <c r="G227" s="86" t="s">
        <v>25</v>
      </c>
      <c r="H227" s="87">
        <v>46083</v>
      </c>
      <c r="I227" s="87"/>
      <c r="J227" s="79" t="s">
        <v>361</v>
      </c>
      <c r="K227" s="62">
        <v>-5.9</v>
      </c>
      <c r="L227" s="62">
        <f t="shared" si="52"/>
        <v>269.09000000000026</v>
      </c>
      <c r="M227" s="302"/>
      <c r="N227" s="44" t="str">
        <f t="shared" si="53"/>
        <v>MCSDESP1CPF - Desp. Cartão de crédito</v>
      </c>
      <c r="O227" s="44" t="str">
        <f t="shared" si="54"/>
        <v>DESP1CPF - Desp. Cartão de crédito</v>
      </c>
      <c r="P227" s="44" t="str">
        <f t="shared" si="55"/>
        <v>MCSDESP1CPF - Desp. Cartão de crédito</v>
      </c>
      <c r="Q227" s="44" t="str">
        <f t="shared" si="56"/>
        <v>MCSDESP1</v>
      </c>
      <c r="R227" s="44" t="str">
        <f t="shared" si="57"/>
        <v>MCSDESP1</v>
      </c>
      <c r="S227" s="38"/>
      <c r="T227" s="304">
        <f t="shared" si="58"/>
        <v>46082</v>
      </c>
      <c r="U227" s="304" t="str">
        <f t="shared" si="59"/>
        <v/>
      </c>
      <c r="V227" s="300" t="s">
        <v>761</v>
      </c>
    </row>
    <row r="228" spans="2:22" s="300" customFormat="1" x14ac:dyDescent="0.25">
      <c r="B228" s="301" t="s">
        <v>25</v>
      </c>
      <c r="C228" s="302"/>
      <c r="D228" s="86" t="str">
        <f>INDEX(Cad_Natureza!$B$3:$C$52,MATCH('2026'!F228,Cad_Natureza!$C$3:$C$52,0),MATCH('2026'!D$2,Cad_Natureza!$B$3:$C$3,0))</f>
        <v>DESP2</v>
      </c>
      <c r="E228" s="84" t="s">
        <v>1418</v>
      </c>
      <c r="F228" s="85" t="s">
        <v>739</v>
      </c>
      <c r="G228" s="86" t="s">
        <v>25</v>
      </c>
      <c r="H228" s="87">
        <v>46083</v>
      </c>
      <c r="I228" s="87"/>
      <c r="J228" s="79" t="s">
        <v>1126</v>
      </c>
      <c r="K228" s="62">
        <v>-91.81</v>
      </c>
      <c r="L228" s="62">
        <f t="shared" si="52"/>
        <v>177.28000000000026</v>
      </c>
      <c r="M228" s="302"/>
      <c r="N228" s="44" t="str">
        <f t="shared" si="53"/>
        <v>MCSDESP2CPF - Desp. Telefone / Internet</v>
      </c>
      <c r="O228" s="44" t="str">
        <f t="shared" si="54"/>
        <v>DESP2CPF - Desp. Telefone / Internet</v>
      </c>
      <c r="P228" s="44" t="str">
        <f t="shared" si="55"/>
        <v>MCSDESP2CPF - Desp. Telefone / Internet</v>
      </c>
      <c r="Q228" s="44" t="str">
        <f t="shared" si="56"/>
        <v>MCSDESP2</v>
      </c>
      <c r="R228" s="44" t="str">
        <f t="shared" si="57"/>
        <v>MCSDESP2</v>
      </c>
      <c r="S228" s="38"/>
      <c r="T228" s="304">
        <f t="shared" si="58"/>
        <v>46082</v>
      </c>
      <c r="U228" s="304" t="str">
        <f t="shared" si="59"/>
        <v/>
      </c>
      <c r="V228" s="300" t="s">
        <v>761</v>
      </c>
    </row>
    <row r="229" spans="2:22" s="300" customFormat="1" x14ac:dyDescent="0.25">
      <c r="B229" s="301" t="s">
        <v>25</v>
      </c>
      <c r="C229" s="302"/>
      <c r="D229" s="86" t="str">
        <f>INDEX(Cad_Natureza!$B$3:$C$52,MATCH('2026'!F229,Cad_Natureza!$C$3:$C$52,0),MATCH('2026'!D$2,Cad_Natureza!$B$3:$C$3,0))</f>
        <v>DESP2</v>
      </c>
      <c r="E229" s="84" t="s">
        <v>1418</v>
      </c>
      <c r="F229" s="85" t="s">
        <v>739</v>
      </c>
      <c r="G229" s="86" t="s">
        <v>25</v>
      </c>
      <c r="H229" s="87">
        <v>46083</v>
      </c>
      <c r="I229" s="87"/>
      <c r="J229" s="79" t="s">
        <v>1126</v>
      </c>
      <c r="K229" s="62">
        <v>-78.75</v>
      </c>
      <c r="L229" s="62">
        <f t="shared" si="52"/>
        <v>98.530000000000257</v>
      </c>
      <c r="M229" s="302"/>
      <c r="N229" s="44" t="str">
        <f t="shared" si="53"/>
        <v>MCSDESP2CPF - Desp. Telefone / Internet</v>
      </c>
      <c r="O229" s="44" t="str">
        <f t="shared" si="54"/>
        <v>DESP2CPF - Desp. Telefone / Internet</v>
      </c>
      <c r="P229" s="44" t="str">
        <f t="shared" si="55"/>
        <v>MCSDESP2CPF - Desp. Telefone / Internet</v>
      </c>
      <c r="Q229" s="44" t="str">
        <f t="shared" si="56"/>
        <v>MCSDESP2</v>
      </c>
      <c r="R229" s="44" t="str">
        <f t="shared" si="57"/>
        <v>MCSDESP2</v>
      </c>
      <c r="S229" s="38"/>
      <c r="T229" s="304">
        <f t="shared" si="58"/>
        <v>46082</v>
      </c>
      <c r="U229" s="304" t="str">
        <f t="shared" si="59"/>
        <v/>
      </c>
      <c r="V229" s="300" t="s">
        <v>731</v>
      </c>
    </row>
    <row r="230" spans="2:22" s="300" customFormat="1" x14ac:dyDescent="0.25">
      <c r="B230" s="301" t="s">
        <v>25</v>
      </c>
      <c r="C230" s="302"/>
      <c r="D230" s="86" t="str">
        <f>INDEX(Cad_Natureza!$B$3:$C$52,MATCH('2026'!F230,Cad_Natureza!$C$3:$C$52,0),MATCH('2026'!D$2,Cad_Natureza!$B$3:$C$3,0))</f>
        <v>DESP2</v>
      </c>
      <c r="E230" s="84" t="s">
        <v>1418</v>
      </c>
      <c r="F230" s="85" t="s">
        <v>739</v>
      </c>
      <c r="G230" s="86" t="s">
        <v>25</v>
      </c>
      <c r="H230" s="87">
        <v>46083</v>
      </c>
      <c r="I230" s="87"/>
      <c r="J230" s="79" t="s">
        <v>1126</v>
      </c>
      <c r="K230" s="62">
        <v>-60.72</v>
      </c>
      <c r="L230" s="62">
        <f t="shared" si="52"/>
        <v>37.810000000000258</v>
      </c>
      <c r="M230" s="302"/>
      <c r="N230" s="44" t="str">
        <f t="shared" si="0"/>
        <v>MCSDESP2CPF - Desp. Telefone / Internet</v>
      </c>
      <c r="O230" s="44" t="str">
        <f t="shared" si="1"/>
        <v>DESP2CPF - Desp. Telefone / Internet</v>
      </c>
      <c r="P230" s="44" t="str">
        <f t="shared" si="2"/>
        <v>MCSDESP2CPF - Desp. Telefone / Internet</v>
      </c>
      <c r="Q230" s="44" t="str">
        <f t="shared" si="3"/>
        <v>MCSDESP2</v>
      </c>
      <c r="R230" s="44" t="str">
        <f t="shared" si="4"/>
        <v>MCSDESP2</v>
      </c>
      <c r="S230" s="38"/>
      <c r="T230" s="304">
        <f t="shared" si="5"/>
        <v>46082</v>
      </c>
      <c r="U230" s="304" t="str">
        <f t="shared" si="6"/>
        <v/>
      </c>
      <c r="V230" s="300" t="s">
        <v>761</v>
      </c>
    </row>
    <row r="231" spans="2:22" s="300" customFormat="1" x14ac:dyDescent="0.25">
      <c r="B231" s="301" t="s">
        <v>25</v>
      </c>
      <c r="C231" s="302"/>
      <c r="D231" s="86" t="str">
        <f>INDEX(Cad_Natureza!$B$3:$C$52,MATCH('2026'!F231,Cad_Natureza!$C$3:$C$52,0),MATCH('2026'!D$2,Cad_Natureza!$B$3:$C$3,0))</f>
        <v>GAST1</v>
      </c>
      <c r="E231" s="84" t="s">
        <v>1419</v>
      </c>
      <c r="F231" s="85" t="s">
        <v>742</v>
      </c>
      <c r="G231" s="86" t="s">
        <v>25</v>
      </c>
      <c r="H231" s="87">
        <v>46083</v>
      </c>
      <c r="I231" s="87"/>
      <c r="J231" s="79" t="s">
        <v>185</v>
      </c>
      <c r="K231" s="62">
        <v>-30.94</v>
      </c>
      <c r="L231" s="62">
        <f t="shared" si="52"/>
        <v>6.8700000000002568</v>
      </c>
      <c r="M231" s="302"/>
      <c r="N231" s="44" t="str">
        <f t="shared" si="0"/>
        <v>MCSGAST1CPF - Desp. Lazer e Entretenimento - Bares</v>
      </c>
      <c r="O231" s="44" t="str">
        <f t="shared" si="1"/>
        <v>GAST1CPF - Desp. Lazer e Entretenimento - Bares</v>
      </c>
      <c r="P231" s="44" t="str">
        <f t="shared" si="2"/>
        <v>MCSGAST1CPF - Desp. Lazer e Entretenimento - Bares</v>
      </c>
      <c r="Q231" s="44" t="str">
        <f t="shared" si="3"/>
        <v>MCSGAST1</v>
      </c>
      <c r="R231" s="44" t="str">
        <f t="shared" si="4"/>
        <v>MCSGAST1</v>
      </c>
      <c r="S231" s="38"/>
      <c r="T231" s="304">
        <f t="shared" si="5"/>
        <v>46082</v>
      </c>
      <c r="U231" s="304" t="str">
        <f t="shared" si="6"/>
        <v/>
      </c>
      <c r="V231" s="300" t="s">
        <v>761</v>
      </c>
    </row>
    <row r="232" spans="2:22" s="291" customFormat="1" x14ac:dyDescent="0.25">
      <c r="B232" s="288" t="s">
        <v>25</v>
      </c>
      <c r="C232" s="83"/>
      <c r="D232" s="63" t="str">
        <f>INDEX(Cad_Natureza!$B$3:$C$52,MATCH('2026'!F232,Cad_Natureza!$C$3:$C$52,0),MATCH('2026'!D$2,Cad_Natureza!$B$3:$C$3,0))</f>
        <v>REC4</v>
      </c>
      <c r="E232" s="64" t="s">
        <v>1420</v>
      </c>
      <c r="F232" s="65" t="s">
        <v>734</v>
      </c>
      <c r="G232" s="63" t="s">
        <v>25</v>
      </c>
      <c r="H232" s="66">
        <v>46083</v>
      </c>
      <c r="I232" s="66"/>
      <c r="J232" s="67" t="s">
        <v>183</v>
      </c>
      <c r="K232" s="68">
        <v>40</v>
      </c>
      <c r="L232" s="68">
        <f t="shared" si="52"/>
        <v>46.87000000000026</v>
      </c>
      <c r="M232" s="83"/>
      <c r="N232" s="44" t="str">
        <f t="shared" si="0"/>
        <v>MCSREC4CPF - Transf. Da conta PJ para a conta PF</v>
      </c>
      <c r="O232" s="44" t="str">
        <f t="shared" si="1"/>
        <v>REC4CPF - Transf. Da conta PJ para a conta PF</v>
      </c>
      <c r="P232" s="44" t="str">
        <f t="shared" si="2"/>
        <v>MCSREC4CPF - Transf. Da conta PJ para a conta PF</v>
      </c>
      <c r="Q232" s="44" t="str">
        <f t="shared" si="3"/>
        <v>MCSREC4</v>
      </c>
      <c r="R232" s="44" t="str">
        <f t="shared" si="4"/>
        <v>MCSREC4</v>
      </c>
      <c r="S232" s="38"/>
      <c r="T232" s="290">
        <f t="shared" si="5"/>
        <v>46082</v>
      </c>
      <c r="U232" s="290" t="str">
        <f t="shared" si="6"/>
        <v/>
      </c>
      <c r="V232" s="291" t="s">
        <v>761</v>
      </c>
    </row>
    <row r="233" spans="2:22" s="300" customFormat="1" x14ac:dyDescent="0.25">
      <c r="B233" s="301" t="s">
        <v>25</v>
      </c>
      <c r="C233" s="302"/>
      <c r="D233" s="86" t="str">
        <f>INDEX(Cad_Natureza!$B$3:$C$52,MATCH('2026'!F233,Cad_Natureza!$C$3:$C$52,0),MATCH('2026'!D$2,Cad_Natureza!$B$3:$C$3,0))</f>
        <v>FIN2</v>
      </c>
      <c r="E233" s="84" t="s">
        <v>1421</v>
      </c>
      <c r="F233" s="85" t="s">
        <v>751</v>
      </c>
      <c r="G233" s="86" t="s">
        <v>25</v>
      </c>
      <c r="H233" s="87">
        <v>46084</v>
      </c>
      <c r="I233" s="87"/>
      <c r="J233" s="79" t="s">
        <v>188</v>
      </c>
      <c r="K233" s="62">
        <v>-28</v>
      </c>
      <c r="L233" s="62">
        <f t="shared" si="52"/>
        <v>18.87000000000026</v>
      </c>
      <c r="M233" s="302"/>
      <c r="N233" s="44" t="str">
        <f t="shared" ref="N233:N400" si="60">B233&amp;D233&amp;F233</f>
        <v>MCSFIN2CPF - Desp. Financeiras - Juros / Tarifas</v>
      </c>
      <c r="O233" s="44" t="str">
        <f t="shared" ref="O233:O400" si="61">D233&amp;F233</f>
        <v>FIN2CPF - Desp. Financeiras - Juros / Tarifas</v>
      </c>
      <c r="P233" s="44" t="str">
        <f t="shared" ref="P233:P400" si="62">"MCS"&amp;D233&amp;F233</f>
        <v>MCSFIN2CPF - Desp. Financeiras - Juros / Tarifas</v>
      </c>
      <c r="Q233" s="44" t="str">
        <f t="shared" ref="Q233:Q400" si="63">"MCS"&amp;D233</f>
        <v>MCSFIN2</v>
      </c>
      <c r="R233" s="44" t="str">
        <f t="shared" ref="R233:R400" si="64">B233&amp;D233</f>
        <v>MCSFIN2</v>
      </c>
      <c r="S233" s="38"/>
      <c r="T233" s="304">
        <f t="shared" ref="T233:T400" si="65">(1&amp;"/"&amp;MONTH(H233)&amp;"/"&amp;YEAR(H233))*1</f>
        <v>46082</v>
      </c>
      <c r="U233" s="304" t="str">
        <f t="shared" ref="U233:U400" si="66">IF(I233="","",(1&amp;"/"&amp;MONTH(I233)&amp;"/"&amp;YEAR(I233))*1)</f>
        <v/>
      </c>
      <c r="V233" s="300" t="s">
        <v>761</v>
      </c>
    </row>
    <row r="234" spans="2:22" s="291" customFormat="1" x14ac:dyDescent="0.25">
      <c r="B234" s="288" t="s">
        <v>25</v>
      </c>
      <c r="C234" s="83"/>
      <c r="D234" s="63" t="str">
        <f>INDEX(Cad_Natureza!$B$3:$C$52,MATCH('2026'!F234,Cad_Natureza!$C$3:$C$52,0),MATCH('2026'!D$2,Cad_Natureza!$B$3:$C$3,0))</f>
        <v>REC4</v>
      </c>
      <c r="E234" s="64" t="s">
        <v>1422</v>
      </c>
      <c r="F234" s="65" t="s">
        <v>734</v>
      </c>
      <c r="G234" s="63" t="s">
        <v>25</v>
      </c>
      <c r="H234" s="66">
        <v>46087</v>
      </c>
      <c r="I234" s="66"/>
      <c r="J234" s="67" t="s">
        <v>183</v>
      </c>
      <c r="K234" s="68">
        <v>2000</v>
      </c>
      <c r="L234" s="68">
        <f t="shared" si="52"/>
        <v>2018.8700000000003</v>
      </c>
      <c r="M234" s="83"/>
      <c r="N234" s="44" t="str">
        <f t="shared" si="60"/>
        <v>MCSREC4CPF - Transf. Da conta PJ para a conta PF</v>
      </c>
      <c r="O234" s="44" t="str">
        <f t="shared" si="61"/>
        <v>REC4CPF - Transf. Da conta PJ para a conta PF</v>
      </c>
      <c r="P234" s="44" t="str">
        <f t="shared" si="62"/>
        <v>MCSREC4CPF - Transf. Da conta PJ para a conta PF</v>
      </c>
      <c r="Q234" s="44" t="str">
        <f t="shared" si="63"/>
        <v>MCSREC4</v>
      </c>
      <c r="R234" s="44" t="str">
        <f t="shared" si="64"/>
        <v>MCSREC4</v>
      </c>
      <c r="S234" s="38"/>
      <c r="T234" s="290">
        <f t="shared" si="65"/>
        <v>46082</v>
      </c>
      <c r="U234" s="290" t="str">
        <f t="shared" si="66"/>
        <v/>
      </c>
      <c r="V234" s="291" t="s">
        <v>761</v>
      </c>
    </row>
    <row r="235" spans="2:22" s="300" customFormat="1" x14ac:dyDescent="0.25">
      <c r="B235" s="301" t="s">
        <v>25</v>
      </c>
      <c r="C235" s="302"/>
      <c r="D235" s="86" t="str">
        <f>INDEX(Cad_Natureza!$B$3:$C$52,MATCH('2026'!F235,Cad_Natureza!$C$3:$C$52,0),MATCH('2026'!D$2,Cad_Natureza!$B$3:$C$3,0))</f>
        <v>PENS3</v>
      </c>
      <c r="E235" s="84" t="s">
        <v>558</v>
      </c>
      <c r="F235" s="85" t="s">
        <v>746</v>
      </c>
      <c r="G235" s="86" t="s">
        <v>25</v>
      </c>
      <c r="H235" s="87">
        <v>46090</v>
      </c>
      <c r="I235" s="87"/>
      <c r="J235" s="78" t="s">
        <v>1435</v>
      </c>
      <c r="K235" s="62">
        <v>-507.72</v>
      </c>
      <c r="L235" s="62">
        <f t="shared" si="52"/>
        <v>1511.1500000000003</v>
      </c>
      <c r="M235" s="302"/>
      <c r="N235" s="44" t="str">
        <f t="shared" si="60"/>
        <v>MCSPENS3CPF - Pensão - Plano de saúde</v>
      </c>
      <c r="O235" s="44" t="str">
        <f t="shared" si="61"/>
        <v>PENS3CPF - Pensão - Plano de saúde</v>
      </c>
      <c r="P235" s="44" t="str">
        <f t="shared" si="62"/>
        <v>MCSPENS3CPF - Pensão - Plano de saúde</v>
      </c>
      <c r="Q235" s="44" t="str">
        <f t="shared" si="63"/>
        <v>MCSPENS3</v>
      </c>
      <c r="R235" s="44" t="str">
        <f t="shared" si="64"/>
        <v>MCSPENS3</v>
      </c>
      <c r="S235" s="38"/>
      <c r="T235" s="304">
        <f t="shared" si="65"/>
        <v>46082</v>
      </c>
      <c r="U235" s="304" t="str">
        <f t="shared" si="66"/>
        <v/>
      </c>
      <c r="V235" s="300" t="s">
        <v>761</v>
      </c>
    </row>
    <row r="236" spans="2:22" s="300" customFormat="1" x14ac:dyDescent="0.25">
      <c r="B236" s="301" t="s">
        <v>25</v>
      </c>
      <c r="C236" s="302"/>
      <c r="D236" s="86" t="str">
        <f>INDEX(Cad_Natureza!$B$3:$C$52,MATCH('2026'!F236,Cad_Natureza!$C$3:$C$52,0),MATCH('2026'!D$2,Cad_Natureza!$B$3:$C$3,0))</f>
        <v>PENS1</v>
      </c>
      <c r="E236" s="84" t="s">
        <v>1423</v>
      </c>
      <c r="F236" s="85" t="s">
        <v>717</v>
      </c>
      <c r="G236" s="86" t="s">
        <v>25</v>
      </c>
      <c r="H236" s="87">
        <v>46090</v>
      </c>
      <c r="I236" s="87"/>
      <c r="J236" s="78" t="s">
        <v>1432</v>
      </c>
      <c r="K236" s="62">
        <v>-700</v>
      </c>
      <c r="L236" s="62">
        <f t="shared" si="52"/>
        <v>811.15000000000032</v>
      </c>
      <c r="M236" s="302"/>
      <c r="N236" s="44" t="str">
        <f t="shared" si="60"/>
        <v>MCSPENS1CPF - Pensão - Aluguel</v>
      </c>
      <c r="O236" s="44" t="str">
        <f t="shared" si="61"/>
        <v>PENS1CPF - Pensão - Aluguel</v>
      </c>
      <c r="P236" s="44" t="str">
        <f t="shared" si="62"/>
        <v>MCSPENS1CPF - Pensão - Aluguel</v>
      </c>
      <c r="Q236" s="44" t="str">
        <f t="shared" si="63"/>
        <v>MCSPENS1</v>
      </c>
      <c r="R236" s="44" t="str">
        <f t="shared" si="64"/>
        <v>MCSPENS1</v>
      </c>
      <c r="S236" s="38"/>
      <c r="T236" s="304">
        <f t="shared" si="65"/>
        <v>46082</v>
      </c>
      <c r="U236" s="304" t="str">
        <f t="shared" si="66"/>
        <v/>
      </c>
      <c r="V236" s="300" t="s">
        <v>731</v>
      </c>
    </row>
    <row r="237" spans="2:22" s="291" customFormat="1" x14ac:dyDescent="0.25">
      <c r="B237" s="288" t="s">
        <v>25</v>
      </c>
      <c r="C237" s="83"/>
      <c r="D237" s="63" t="str">
        <f>INDEX(Cad_Natureza!$B$3:$C$52,MATCH('2026'!F237,Cad_Natureza!$C$3:$C$52,0),MATCH('2026'!D$2,Cad_Natureza!$B$3:$C$3,0))</f>
        <v>REC4</v>
      </c>
      <c r="E237" s="64" t="s">
        <v>1424</v>
      </c>
      <c r="F237" s="65" t="s">
        <v>734</v>
      </c>
      <c r="G237" s="63" t="s">
        <v>25</v>
      </c>
      <c r="H237" s="66">
        <v>46090</v>
      </c>
      <c r="I237" s="66"/>
      <c r="J237" s="67" t="s">
        <v>183</v>
      </c>
      <c r="K237" s="68">
        <v>3000</v>
      </c>
      <c r="L237" s="68">
        <f t="shared" si="52"/>
        <v>3811.1500000000005</v>
      </c>
      <c r="M237" s="83"/>
      <c r="N237" s="44" t="str">
        <f t="shared" si="60"/>
        <v>MCSREC4CPF - Transf. Da conta PJ para a conta PF</v>
      </c>
      <c r="O237" s="44" t="str">
        <f t="shared" si="61"/>
        <v>REC4CPF - Transf. Da conta PJ para a conta PF</v>
      </c>
      <c r="P237" s="44" t="str">
        <f t="shared" si="62"/>
        <v>MCSREC4CPF - Transf. Da conta PJ para a conta PF</v>
      </c>
      <c r="Q237" s="44" t="str">
        <f t="shared" si="63"/>
        <v>MCSREC4</v>
      </c>
      <c r="R237" s="44" t="str">
        <f t="shared" si="64"/>
        <v>MCSREC4</v>
      </c>
      <c r="S237" s="38"/>
      <c r="T237" s="290">
        <f t="shared" si="65"/>
        <v>46082</v>
      </c>
      <c r="U237" s="290" t="str">
        <f t="shared" si="66"/>
        <v/>
      </c>
      <c r="V237" s="291" t="s">
        <v>731</v>
      </c>
    </row>
    <row r="238" spans="2:22" s="300" customFormat="1" x14ac:dyDescent="0.25">
      <c r="B238" s="301" t="s">
        <v>25</v>
      </c>
      <c r="C238" s="302"/>
      <c r="D238" s="86" t="str">
        <f>INDEX(Cad_Natureza!$B$3:$C$52,MATCH('2026'!F238,Cad_Natureza!$C$3:$C$52,0),MATCH('2026'!D$2,Cad_Natureza!$B$3:$C$3,0))</f>
        <v>PENS2</v>
      </c>
      <c r="E238" s="84" t="s">
        <v>1425</v>
      </c>
      <c r="F238" s="85" t="s">
        <v>715</v>
      </c>
      <c r="G238" s="86" t="s">
        <v>25</v>
      </c>
      <c r="H238" s="87">
        <v>46090</v>
      </c>
      <c r="I238" s="87"/>
      <c r="J238" s="78" t="s">
        <v>1437</v>
      </c>
      <c r="K238" s="62">
        <v>-819.4</v>
      </c>
      <c r="L238" s="62">
        <f t="shared" si="52"/>
        <v>2991.7500000000005</v>
      </c>
      <c r="M238" s="302"/>
      <c r="N238" s="44" t="str">
        <f t="shared" si="60"/>
        <v>MCSPENS2CPF - Pensão - Energia</v>
      </c>
      <c r="O238" s="44" t="str">
        <f t="shared" si="61"/>
        <v>PENS2CPF - Pensão - Energia</v>
      </c>
      <c r="P238" s="44" t="str">
        <f t="shared" si="62"/>
        <v>MCSPENS2CPF - Pensão - Energia</v>
      </c>
      <c r="Q238" s="44" t="str">
        <f t="shared" si="63"/>
        <v>MCSPENS2</v>
      </c>
      <c r="R238" s="44" t="str">
        <f t="shared" si="64"/>
        <v>MCSPENS2</v>
      </c>
      <c r="S238" s="38"/>
      <c r="T238" s="304">
        <f t="shared" si="65"/>
        <v>46082</v>
      </c>
      <c r="U238" s="304" t="str">
        <f t="shared" si="66"/>
        <v/>
      </c>
      <c r="V238" s="300" t="s">
        <v>761</v>
      </c>
    </row>
    <row r="239" spans="2:22" s="300" customFormat="1" x14ac:dyDescent="0.25">
      <c r="B239" s="301" t="s">
        <v>25</v>
      </c>
      <c r="C239" s="302"/>
      <c r="D239" s="86" t="str">
        <f>INDEX(Cad_Natureza!$B$3:$C$52,MATCH('2026'!F239,Cad_Natureza!$C$3:$C$52,0),MATCH('2026'!D$2,Cad_Natureza!$B$3:$C$3,0))</f>
        <v>DESP2</v>
      </c>
      <c r="E239" s="84" t="s">
        <v>1438</v>
      </c>
      <c r="F239" s="85" t="s">
        <v>739</v>
      </c>
      <c r="G239" s="86" t="s">
        <v>25</v>
      </c>
      <c r="H239" s="87">
        <v>46090</v>
      </c>
      <c r="I239" s="87"/>
      <c r="J239" s="79" t="s">
        <v>1439</v>
      </c>
      <c r="K239" s="62">
        <v>-125.16</v>
      </c>
      <c r="L239" s="62">
        <f t="shared" si="52"/>
        <v>2866.5900000000006</v>
      </c>
      <c r="M239" s="302"/>
      <c r="N239" s="44" t="str">
        <f t="shared" si="60"/>
        <v>MCSDESP2CPF - Desp. Telefone / Internet</v>
      </c>
      <c r="O239" s="44" t="str">
        <f t="shared" si="61"/>
        <v>DESP2CPF - Desp. Telefone / Internet</v>
      </c>
      <c r="P239" s="44" t="str">
        <f t="shared" si="62"/>
        <v>MCSDESP2CPF - Desp. Telefone / Internet</v>
      </c>
      <c r="Q239" s="44" t="str">
        <f t="shared" si="63"/>
        <v>MCSDESP2</v>
      </c>
      <c r="R239" s="44" t="str">
        <f t="shared" si="64"/>
        <v>MCSDESP2</v>
      </c>
      <c r="S239" s="38"/>
      <c r="T239" s="304">
        <f t="shared" si="65"/>
        <v>46082</v>
      </c>
      <c r="U239" s="304" t="str">
        <f t="shared" si="66"/>
        <v/>
      </c>
      <c r="V239" s="300" t="s">
        <v>761</v>
      </c>
    </row>
    <row r="240" spans="2:22" s="300" customFormat="1" x14ac:dyDescent="0.25">
      <c r="B240" s="301" t="s">
        <v>25</v>
      </c>
      <c r="C240" s="302"/>
      <c r="D240" s="86" t="str">
        <f>INDEX(Cad_Natureza!$B$3:$C$52,MATCH('2026'!F240,Cad_Natureza!$C$3:$C$52,0),MATCH('2026'!D$2,Cad_Natureza!$B$3:$C$3,0))</f>
        <v>OUG1</v>
      </c>
      <c r="E240" s="84" t="s">
        <v>1442</v>
      </c>
      <c r="F240" s="85" t="s">
        <v>748</v>
      </c>
      <c r="G240" s="86" t="s">
        <v>25</v>
      </c>
      <c r="H240" s="87">
        <v>46090</v>
      </c>
      <c r="I240" s="87"/>
      <c r="J240" s="79" t="s">
        <v>1584</v>
      </c>
      <c r="K240" s="62">
        <v>-53.16</v>
      </c>
      <c r="L240" s="62">
        <f t="shared" si="52"/>
        <v>2813.4300000000007</v>
      </c>
      <c r="M240" s="302"/>
      <c r="N240" s="44" t="str">
        <f t="shared" si="60"/>
        <v>MCSOUG1CPF - Outros gastos</v>
      </c>
      <c r="O240" s="44" t="str">
        <f t="shared" si="61"/>
        <v>OUG1CPF - Outros gastos</v>
      </c>
      <c r="P240" s="44" t="str">
        <f t="shared" si="62"/>
        <v>MCSOUG1CPF - Outros gastos</v>
      </c>
      <c r="Q240" s="44" t="str">
        <f t="shared" si="63"/>
        <v>MCSOUG1</v>
      </c>
      <c r="R240" s="44" t="str">
        <f t="shared" si="64"/>
        <v>MCSOUG1</v>
      </c>
      <c r="S240" s="38"/>
      <c r="T240" s="304">
        <f t="shared" si="65"/>
        <v>46082</v>
      </c>
      <c r="U240" s="304" t="str">
        <f t="shared" si="66"/>
        <v/>
      </c>
      <c r="V240" s="300" t="s">
        <v>761</v>
      </c>
    </row>
    <row r="241" spans="2:22" s="300" customFormat="1" x14ac:dyDescent="0.25">
      <c r="B241" s="301" t="s">
        <v>25</v>
      </c>
      <c r="C241" s="302"/>
      <c r="D241" s="86" t="str">
        <f>INDEX(Cad_Natureza!$B$3:$C$52,MATCH('2026'!F241,Cad_Natureza!$C$3:$C$52,0),MATCH('2026'!D$2,Cad_Natureza!$B$3:$C$3,0))</f>
        <v>FIN3</v>
      </c>
      <c r="E241" s="84" t="s">
        <v>1443</v>
      </c>
      <c r="F241" s="85" t="s">
        <v>939</v>
      </c>
      <c r="G241" s="86" t="s">
        <v>25</v>
      </c>
      <c r="H241" s="87">
        <v>46091</v>
      </c>
      <c r="I241" s="87"/>
      <c r="J241" s="79" t="s">
        <v>572</v>
      </c>
      <c r="K241" s="62">
        <v>-290.26</v>
      </c>
      <c r="L241" s="62">
        <f t="shared" si="52"/>
        <v>2523.170000000001</v>
      </c>
      <c r="M241" s="302"/>
      <c r="N241" s="44" t="str">
        <f t="shared" si="60"/>
        <v>MCSFIN3CPF - Desp. Financeiras - Empréstimos bancários</v>
      </c>
      <c r="O241" s="44" t="str">
        <f t="shared" si="61"/>
        <v>FIN3CPF - Desp. Financeiras - Empréstimos bancários</v>
      </c>
      <c r="P241" s="44" t="str">
        <f t="shared" si="62"/>
        <v>MCSFIN3CPF - Desp. Financeiras - Empréstimos bancários</v>
      </c>
      <c r="Q241" s="44" t="str">
        <f t="shared" si="63"/>
        <v>MCSFIN3</v>
      </c>
      <c r="R241" s="44" t="str">
        <f t="shared" si="64"/>
        <v>MCSFIN3</v>
      </c>
      <c r="S241" s="38"/>
      <c r="T241" s="304">
        <f t="shared" si="65"/>
        <v>46082</v>
      </c>
      <c r="U241" s="304" t="str">
        <f t="shared" si="66"/>
        <v/>
      </c>
      <c r="V241" s="300" t="s">
        <v>761</v>
      </c>
    </row>
    <row r="242" spans="2:22" s="300" customFormat="1" x14ac:dyDescent="0.25">
      <c r="B242" s="301" t="s">
        <v>25</v>
      </c>
      <c r="C242" s="302"/>
      <c r="D242" s="86" t="str">
        <f>INDEX(Cad_Natureza!$B$3:$C$52,MATCH('2026'!F242,Cad_Natureza!$C$3:$C$52,0),MATCH('2026'!D$2,Cad_Natureza!$B$3:$C$3,0))</f>
        <v>FIN3</v>
      </c>
      <c r="E242" s="84" t="s">
        <v>1443</v>
      </c>
      <c r="F242" s="85" t="s">
        <v>939</v>
      </c>
      <c r="G242" s="86" t="s">
        <v>25</v>
      </c>
      <c r="H242" s="87">
        <v>46091</v>
      </c>
      <c r="I242" s="87"/>
      <c r="J242" s="79" t="s">
        <v>572</v>
      </c>
      <c r="K242" s="62">
        <v>-6.79</v>
      </c>
      <c r="L242" s="62">
        <f t="shared" si="52"/>
        <v>2516.380000000001</v>
      </c>
      <c r="M242" s="302"/>
      <c r="N242" s="44" t="str">
        <f t="shared" ref="N242:N257" si="67">B242&amp;D242&amp;F242</f>
        <v>MCSFIN3CPF - Desp. Financeiras - Empréstimos bancários</v>
      </c>
      <c r="O242" s="44" t="str">
        <f t="shared" ref="O242:O257" si="68">D242&amp;F242</f>
        <v>FIN3CPF - Desp. Financeiras - Empréstimos bancários</v>
      </c>
      <c r="P242" s="44" t="str">
        <f t="shared" ref="P242:P257" si="69">"MCS"&amp;D242&amp;F242</f>
        <v>MCSFIN3CPF - Desp. Financeiras - Empréstimos bancários</v>
      </c>
      <c r="Q242" s="44" t="str">
        <f t="shared" ref="Q242:Q257" si="70">"MCS"&amp;D242</f>
        <v>MCSFIN3</v>
      </c>
      <c r="R242" s="44" t="str">
        <f t="shared" ref="R242:R257" si="71">B242&amp;D242</f>
        <v>MCSFIN3</v>
      </c>
      <c r="S242" s="38"/>
      <c r="T242" s="304">
        <f t="shared" ref="T242:T257" si="72">(1&amp;"/"&amp;MONTH(H242)&amp;"/"&amp;YEAR(H242))*1</f>
        <v>46082</v>
      </c>
      <c r="U242" s="304" t="str">
        <f t="shared" ref="U242:U257" si="73">IF(I242="","",(1&amp;"/"&amp;MONTH(I242)&amp;"/"&amp;YEAR(I242))*1)</f>
        <v/>
      </c>
      <c r="V242" s="300" t="s">
        <v>761</v>
      </c>
    </row>
    <row r="243" spans="2:22" s="300" customFormat="1" x14ac:dyDescent="0.25">
      <c r="B243" s="301" t="s">
        <v>25</v>
      </c>
      <c r="C243" s="302"/>
      <c r="D243" s="86" t="str">
        <f>INDEX(Cad_Natureza!$B$3:$C$52,MATCH('2026'!F243,Cad_Natureza!$C$3:$C$52,0),MATCH('2026'!D$2,Cad_Natureza!$B$3:$C$3,0))</f>
        <v>OUG1</v>
      </c>
      <c r="E243" s="84" t="s">
        <v>1444</v>
      </c>
      <c r="F243" s="85" t="s">
        <v>748</v>
      </c>
      <c r="G243" s="86" t="s">
        <v>25</v>
      </c>
      <c r="H243" s="87">
        <v>46092</v>
      </c>
      <c r="I243" s="87"/>
      <c r="J243" s="79" t="s">
        <v>1583</v>
      </c>
      <c r="K243" s="62">
        <v>-40</v>
      </c>
      <c r="L243" s="62">
        <f t="shared" si="52"/>
        <v>2476.380000000001</v>
      </c>
      <c r="M243" s="302"/>
      <c r="N243" s="44" t="str">
        <f t="shared" si="67"/>
        <v>MCSOUG1CPF - Outros gastos</v>
      </c>
      <c r="O243" s="44" t="str">
        <f t="shared" si="68"/>
        <v>OUG1CPF - Outros gastos</v>
      </c>
      <c r="P243" s="44" t="str">
        <f t="shared" si="69"/>
        <v>MCSOUG1CPF - Outros gastos</v>
      </c>
      <c r="Q243" s="44" t="str">
        <f t="shared" si="70"/>
        <v>MCSOUG1</v>
      </c>
      <c r="R243" s="44" t="str">
        <f t="shared" si="71"/>
        <v>MCSOUG1</v>
      </c>
      <c r="S243" s="38"/>
      <c r="T243" s="304">
        <f t="shared" si="72"/>
        <v>46082</v>
      </c>
      <c r="U243" s="304" t="str">
        <f t="shared" si="73"/>
        <v/>
      </c>
      <c r="V243" s="300" t="s">
        <v>761</v>
      </c>
    </row>
    <row r="244" spans="2:22" s="300" customFormat="1" x14ac:dyDescent="0.25">
      <c r="B244" s="301" t="s">
        <v>25</v>
      </c>
      <c r="C244" s="302"/>
      <c r="D244" s="86" t="str">
        <f>INDEX(Cad_Natureza!$B$3:$C$52,MATCH('2026'!F244,Cad_Natureza!$C$3:$C$52,0),MATCH('2026'!D$2,Cad_Natureza!$B$3:$C$3,0))</f>
        <v>OUG1</v>
      </c>
      <c r="E244" s="84" t="s">
        <v>1445</v>
      </c>
      <c r="F244" s="85" t="s">
        <v>748</v>
      </c>
      <c r="G244" s="86" t="s">
        <v>25</v>
      </c>
      <c r="H244" s="87">
        <v>46093</v>
      </c>
      <c r="I244" s="87"/>
      <c r="J244" s="79" t="s">
        <v>354</v>
      </c>
      <c r="K244" s="62">
        <v>-20</v>
      </c>
      <c r="L244" s="62">
        <f t="shared" si="52"/>
        <v>2456.380000000001</v>
      </c>
      <c r="M244" s="302"/>
      <c r="N244" s="44" t="str">
        <f t="shared" si="67"/>
        <v>MCSOUG1CPF - Outros gastos</v>
      </c>
      <c r="O244" s="44" t="str">
        <f t="shared" si="68"/>
        <v>OUG1CPF - Outros gastos</v>
      </c>
      <c r="P244" s="44" t="str">
        <f t="shared" si="69"/>
        <v>MCSOUG1CPF - Outros gastos</v>
      </c>
      <c r="Q244" s="44" t="str">
        <f t="shared" si="70"/>
        <v>MCSOUG1</v>
      </c>
      <c r="R244" s="44" t="str">
        <f t="shared" si="71"/>
        <v>MCSOUG1</v>
      </c>
      <c r="S244" s="38"/>
      <c r="T244" s="304">
        <f t="shared" si="72"/>
        <v>46082</v>
      </c>
      <c r="U244" s="304" t="str">
        <f t="shared" si="73"/>
        <v/>
      </c>
      <c r="V244" s="300" t="s">
        <v>731</v>
      </c>
    </row>
    <row r="245" spans="2:22" s="300" customFormat="1" x14ac:dyDescent="0.25">
      <c r="B245" s="301" t="s">
        <v>25</v>
      </c>
      <c r="C245" s="302"/>
      <c r="D245" s="86" t="str">
        <f>INDEX(Cad_Natureza!$B$3:$C$52,MATCH('2026'!F245,Cad_Natureza!$C$3:$C$52,0),MATCH('2026'!D$2,Cad_Natureza!$B$3:$C$3,0))</f>
        <v>GAST1</v>
      </c>
      <c r="E245" s="84" t="s">
        <v>1446</v>
      </c>
      <c r="F245" s="85" t="s">
        <v>742</v>
      </c>
      <c r="G245" s="86" t="s">
        <v>25</v>
      </c>
      <c r="H245" s="87">
        <v>46097</v>
      </c>
      <c r="I245" s="87"/>
      <c r="J245" s="79" t="s">
        <v>185</v>
      </c>
      <c r="K245" s="62">
        <v>-10</v>
      </c>
      <c r="L245" s="62">
        <f t="shared" si="52"/>
        <v>2446.380000000001</v>
      </c>
      <c r="M245" s="302"/>
      <c r="N245" s="44" t="str">
        <f t="shared" si="67"/>
        <v>MCSGAST1CPF - Desp. Lazer e Entretenimento - Bares</v>
      </c>
      <c r="O245" s="44" t="str">
        <f t="shared" si="68"/>
        <v>GAST1CPF - Desp. Lazer e Entretenimento - Bares</v>
      </c>
      <c r="P245" s="44" t="str">
        <f t="shared" si="69"/>
        <v>MCSGAST1CPF - Desp. Lazer e Entretenimento - Bares</v>
      </c>
      <c r="Q245" s="44" t="str">
        <f t="shared" si="70"/>
        <v>MCSGAST1</v>
      </c>
      <c r="R245" s="44" t="str">
        <f t="shared" si="71"/>
        <v>MCSGAST1</v>
      </c>
      <c r="S245" s="38"/>
      <c r="T245" s="304">
        <f t="shared" si="72"/>
        <v>46082</v>
      </c>
      <c r="U245" s="304" t="str">
        <f t="shared" si="73"/>
        <v/>
      </c>
      <c r="V245" s="300" t="s">
        <v>731</v>
      </c>
    </row>
    <row r="246" spans="2:22" s="300" customFormat="1" x14ac:dyDescent="0.25">
      <c r="B246" s="301" t="s">
        <v>25</v>
      </c>
      <c r="C246" s="302"/>
      <c r="D246" s="86" t="str">
        <f>INDEX(Cad_Natureza!$B$3:$C$52,MATCH('2026'!F246,Cad_Natureza!$C$3:$C$52,0),MATCH('2026'!D$2,Cad_Natureza!$B$3:$C$3,0))</f>
        <v>OPF2</v>
      </c>
      <c r="E246" s="84" t="s">
        <v>1447</v>
      </c>
      <c r="F246" s="85" t="s">
        <v>741</v>
      </c>
      <c r="G246" s="86" t="s">
        <v>25</v>
      </c>
      <c r="H246" s="87">
        <v>46097</v>
      </c>
      <c r="I246" s="87"/>
      <c r="J246" s="79" t="s">
        <v>184</v>
      </c>
      <c r="K246" s="62">
        <v>-100</v>
      </c>
      <c r="L246" s="62">
        <f t="shared" si="52"/>
        <v>2346.380000000001</v>
      </c>
      <c r="M246" s="302"/>
      <c r="N246" s="44" t="str">
        <f t="shared" si="67"/>
        <v>MCSOPF2CPF - Desp. Transporte / Combustível</v>
      </c>
      <c r="O246" s="44" t="str">
        <f t="shared" si="68"/>
        <v>OPF2CPF - Desp. Transporte / Combustível</v>
      </c>
      <c r="P246" s="44" t="str">
        <f t="shared" si="69"/>
        <v>MCSOPF2CPF - Desp. Transporte / Combustível</v>
      </c>
      <c r="Q246" s="44" t="str">
        <f t="shared" si="70"/>
        <v>MCSOPF2</v>
      </c>
      <c r="R246" s="44" t="str">
        <f t="shared" si="71"/>
        <v>MCSOPF2</v>
      </c>
      <c r="S246" s="38"/>
      <c r="T246" s="304">
        <f t="shared" si="72"/>
        <v>46082</v>
      </c>
      <c r="U246" s="304" t="str">
        <f t="shared" si="73"/>
        <v/>
      </c>
      <c r="V246" s="300" t="s">
        <v>761</v>
      </c>
    </row>
    <row r="247" spans="2:22" s="300" customFormat="1" x14ac:dyDescent="0.25">
      <c r="B247" s="301" t="s">
        <v>25</v>
      </c>
      <c r="C247" s="302"/>
      <c r="D247" s="86" t="str">
        <f>INDEX(Cad_Natureza!$B$3:$C$52,MATCH('2026'!F247,Cad_Natureza!$C$3:$C$52,0),MATCH('2026'!D$2,Cad_Natureza!$B$3:$C$3,0))</f>
        <v>OPF2</v>
      </c>
      <c r="E247" s="84" t="s">
        <v>1448</v>
      </c>
      <c r="F247" s="85" t="s">
        <v>741</v>
      </c>
      <c r="G247" s="86" t="s">
        <v>25</v>
      </c>
      <c r="H247" s="87">
        <v>46098</v>
      </c>
      <c r="I247" s="87"/>
      <c r="J247" s="79" t="s">
        <v>1585</v>
      </c>
      <c r="K247" s="62">
        <v>-274.61</v>
      </c>
      <c r="L247" s="62">
        <f t="shared" si="52"/>
        <v>2071.7700000000009</v>
      </c>
      <c r="M247" s="302"/>
      <c r="N247" s="44" t="str">
        <f t="shared" si="67"/>
        <v>MCSOPF2CPF - Desp. Transporte / Combustível</v>
      </c>
      <c r="O247" s="44" t="str">
        <f t="shared" si="68"/>
        <v>OPF2CPF - Desp. Transporte / Combustível</v>
      </c>
      <c r="P247" s="44" t="str">
        <f t="shared" si="69"/>
        <v>MCSOPF2CPF - Desp. Transporte / Combustível</v>
      </c>
      <c r="Q247" s="44" t="str">
        <f t="shared" si="70"/>
        <v>MCSOPF2</v>
      </c>
      <c r="R247" s="44" t="str">
        <f t="shared" si="71"/>
        <v>MCSOPF2</v>
      </c>
      <c r="S247" s="38"/>
      <c r="T247" s="304">
        <f t="shared" si="72"/>
        <v>46082</v>
      </c>
      <c r="U247" s="304" t="str">
        <f t="shared" si="73"/>
        <v/>
      </c>
      <c r="V247" s="300" t="s">
        <v>761</v>
      </c>
    </row>
    <row r="248" spans="2:22" s="300" customFormat="1" x14ac:dyDescent="0.25">
      <c r="B248" s="301" t="s">
        <v>25</v>
      </c>
      <c r="C248" s="302"/>
      <c r="D248" s="86" t="str">
        <f>INDEX(Cad_Natureza!$B$3:$C$52,MATCH('2026'!F248,Cad_Natureza!$C$3:$C$52,0),MATCH('2026'!D$2,Cad_Natureza!$B$3:$C$3,0))</f>
        <v>DESP4</v>
      </c>
      <c r="E248" s="84" t="s">
        <v>1449</v>
      </c>
      <c r="F248" s="85" t="s">
        <v>753</v>
      </c>
      <c r="G248" s="86" t="s">
        <v>25</v>
      </c>
      <c r="H248" s="87">
        <v>46101</v>
      </c>
      <c r="I248" s="87"/>
      <c r="J248" s="79" t="s">
        <v>1841</v>
      </c>
      <c r="K248" s="62">
        <v>-35</v>
      </c>
      <c r="L248" s="62">
        <f t="shared" si="52"/>
        <v>2036.7700000000009</v>
      </c>
      <c r="M248" s="302"/>
      <c r="N248" s="44" t="str">
        <f t="shared" si="67"/>
        <v>MCSDESP4CPF - Desp. Moradia</v>
      </c>
      <c r="O248" s="44" t="str">
        <f t="shared" si="68"/>
        <v>DESP4CPF - Desp. Moradia</v>
      </c>
      <c r="P248" s="44" t="str">
        <f t="shared" si="69"/>
        <v>MCSDESP4CPF - Desp. Moradia</v>
      </c>
      <c r="Q248" s="44" t="str">
        <f t="shared" si="70"/>
        <v>MCSDESP4</v>
      </c>
      <c r="R248" s="44" t="str">
        <f t="shared" si="71"/>
        <v>MCSDESP4</v>
      </c>
      <c r="S248" s="38"/>
      <c r="T248" s="304">
        <f t="shared" si="72"/>
        <v>46082</v>
      </c>
      <c r="U248" s="304" t="str">
        <f t="shared" si="73"/>
        <v/>
      </c>
      <c r="V248" s="300" t="s">
        <v>761</v>
      </c>
    </row>
    <row r="249" spans="2:22" s="300" customFormat="1" x14ac:dyDescent="0.25">
      <c r="B249" s="301" t="s">
        <v>25</v>
      </c>
      <c r="C249" s="302"/>
      <c r="D249" s="86" t="str">
        <f>INDEX(Cad_Natureza!$B$3:$C$52,MATCH('2026'!F249,Cad_Natureza!$C$3:$C$52,0),MATCH('2026'!D$2,Cad_Natureza!$B$3:$C$3,0))</f>
        <v>GAST1</v>
      </c>
      <c r="E249" s="84" t="s">
        <v>1450</v>
      </c>
      <c r="F249" s="85" t="s">
        <v>742</v>
      </c>
      <c r="G249" s="86" t="s">
        <v>25</v>
      </c>
      <c r="H249" s="87">
        <v>46101</v>
      </c>
      <c r="I249" s="87"/>
      <c r="J249" s="79" t="s">
        <v>185</v>
      </c>
      <c r="K249" s="62">
        <v>-6.5</v>
      </c>
      <c r="L249" s="62">
        <f t="shared" si="52"/>
        <v>2030.2700000000009</v>
      </c>
      <c r="M249" s="302"/>
      <c r="N249" s="44" t="str">
        <f t="shared" si="67"/>
        <v>MCSGAST1CPF - Desp. Lazer e Entretenimento - Bares</v>
      </c>
      <c r="O249" s="44" t="str">
        <f t="shared" si="68"/>
        <v>GAST1CPF - Desp. Lazer e Entretenimento - Bares</v>
      </c>
      <c r="P249" s="44" t="str">
        <f t="shared" si="69"/>
        <v>MCSGAST1CPF - Desp. Lazer e Entretenimento - Bares</v>
      </c>
      <c r="Q249" s="44" t="str">
        <f t="shared" si="70"/>
        <v>MCSGAST1</v>
      </c>
      <c r="R249" s="44" t="str">
        <f t="shared" si="71"/>
        <v>MCSGAST1</v>
      </c>
      <c r="S249" s="38"/>
      <c r="T249" s="304">
        <f t="shared" si="72"/>
        <v>46082</v>
      </c>
      <c r="U249" s="304" t="str">
        <f t="shared" si="73"/>
        <v/>
      </c>
      <c r="V249" s="300" t="s">
        <v>761</v>
      </c>
    </row>
    <row r="250" spans="2:22" s="300" customFormat="1" x14ac:dyDescent="0.25">
      <c r="B250" s="301" t="s">
        <v>25</v>
      </c>
      <c r="C250" s="302"/>
      <c r="D250" s="86" t="str">
        <f>INDEX(Cad_Natureza!$B$3:$C$52,MATCH('2026'!F250,Cad_Natureza!$C$3:$C$52,0),MATCH('2026'!D$2,Cad_Natureza!$B$3:$C$3,0))</f>
        <v>GAST1</v>
      </c>
      <c r="E250" s="84" t="s">
        <v>1451</v>
      </c>
      <c r="F250" s="85" t="s">
        <v>742</v>
      </c>
      <c r="G250" s="86" t="s">
        <v>25</v>
      </c>
      <c r="H250" s="87">
        <v>46101</v>
      </c>
      <c r="I250" s="87"/>
      <c r="J250" s="79" t="s">
        <v>185</v>
      </c>
      <c r="K250" s="62">
        <v>-5</v>
      </c>
      <c r="L250" s="62">
        <f t="shared" si="52"/>
        <v>2025.2700000000009</v>
      </c>
      <c r="M250" s="302"/>
      <c r="N250" s="44" t="str">
        <f t="shared" si="67"/>
        <v>MCSGAST1CPF - Desp. Lazer e Entretenimento - Bares</v>
      </c>
      <c r="O250" s="44" t="str">
        <f t="shared" si="68"/>
        <v>GAST1CPF - Desp. Lazer e Entretenimento - Bares</v>
      </c>
      <c r="P250" s="44" t="str">
        <f t="shared" si="69"/>
        <v>MCSGAST1CPF - Desp. Lazer e Entretenimento - Bares</v>
      </c>
      <c r="Q250" s="44" t="str">
        <f t="shared" si="70"/>
        <v>MCSGAST1</v>
      </c>
      <c r="R250" s="44" t="str">
        <f t="shared" si="71"/>
        <v>MCSGAST1</v>
      </c>
      <c r="S250" s="38"/>
      <c r="T250" s="304">
        <f t="shared" si="72"/>
        <v>46082</v>
      </c>
      <c r="U250" s="304" t="str">
        <f t="shared" si="73"/>
        <v/>
      </c>
      <c r="V250" s="300" t="s">
        <v>761</v>
      </c>
    </row>
    <row r="251" spans="2:22" s="300" customFormat="1" x14ac:dyDescent="0.25">
      <c r="B251" s="301" t="s">
        <v>25</v>
      </c>
      <c r="C251" s="302"/>
      <c r="D251" s="86" t="str">
        <f>INDEX(Cad_Natureza!$B$3:$C$52,MATCH('2026'!F251,Cad_Natureza!$C$3:$C$52,0),MATCH('2026'!D$2,Cad_Natureza!$B$3:$C$3,0))</f>
        <v>GAST1</v>
      </c>
      <c r="E251" s="84" t="s">
        <v>1452</v>
      </c>
      <c r="F251" s="85" t="s">
        <v>742</v>
      </c>
      <c r="G251" s="86" t="s">
        <v>25</v>
      </c>
      <c r="H251" s="87">
        <v>46101</v>
      </c>
      <c r="I251" s="87"/>
      <c r="J251" s="79" t="s">
        <v>185</v>
      </c>
      <c r="K251" s="62">
        <v>-15</v>
      </c>
      <c r="L251" s="62">
        <f t="shared" si="52"/>
        <v>2010.2700000000009</v>
      </c>
      <c r="M251" s="302"/>
      <c r="N251" s="44" t="str">
        <f t="shared" si="67"/>
        <v>MCSGAST1CPF - Desp. Lazer e Entretenimento - Bares</v>
      </c>
      <c r="O251" s="44" t="str">
        <f t="shared" si="68"/>
        <v>GAST1CPF - Desp. Lazer e Entretenimento - Bares</v>
      </c>
      <c r="P251" s="44" t="str">
        <f t="shared" si="69"/>
        <v>MCSGAST1CPF - Desp. Lazer e Entretenimento - Bares</v>
      </c>
      <c r="Q251" s="44" t="str">
        <f t="shared" si="70"/>
        <v>MCSGAST1</v>
      </c>
      <c r="R251" s="44" t="str">
        <f t="shared" si="71"/>
        <v>MCSGAST1</v>
      </c>
      <c r="S251" s="38"/>
      <c r="T251" s="304">
        <f t="shared" si="72"/>
        <v>46082</v>
      </c>
      <c r="U251" s="304" t="str">
        <f t="shared" si="73"/>
        <v/>
      </c>
      <c r="V251" s="300" t="s">
        <v>761</v>
      </c>
    </row>
    <row r="252" spans="2:22" s="300" customFormat="1" x14ac:dyDescent="0.25">
      <c r="B252" s="301" t="s">
        <v>25</v>
      </c>
      <c r="C252" s="302"/>
      <c r="D252" s="86" t="str">
        <f>INDEX(Cad_Natureza!$B$3:$C$52,MATCH('2026'!F252,Cad_Natureza!$C$3:$C$52,0),MATCH('2026'!D$2,Cad_Natureza!$B$3:$C$3,0))</f>
        <v>GAST1</v>
      </c>
      <c r="E252" s="84" t="s">
        <v>1453</v>
      </c>
      <c r="F252" s="85" t="s">
        <v>742</v>
      </c>
      <c r="G252" s="86" t="s">
        <v>25</v>
      </c>
      <c r="H252" s="87">
        <v>46101</v>
      </c>
      <c r="I252" s="87"/>
      <c r="J252" s="79" t="s">
        <v>185</v>
      </c>
      <c r="K252" s="62">
        <v>-6</v>
      </c>
      <c r="L252" s="62">
        <f t="shared" si="52"/>
        <v>2004.2700000000009</v>
      </c>
      <c r="M252" s="302"/>
      <c r="N252" s="44" t="str">
        <f t="shared" si="67"/>
        <v>MCSGAST1CPF - Desp. Lazer e Entretenimento - Bares</v>
      </c>
      <c r="O252" s="44" t="str">
        <f t="shared" si="68"/>
        <v>GAST1CPF - Desp. Lazer e Entretenimento - Bares</v>
      </c>
      <c r="P252" s="44" t="str">
        <f t="shared" si="69"/>
        <v>MCSGAST1CPF - Desp. Lazer e Entretenimento - Bares</v>
      </c>
      <c r="Q252" s="44" t="str">
        <f t="shared" si="70"/>
        <v>MCSGAST1</v>
      </c>
      <c r="R252" s="44" t="str">
        <f t="shared" si="71"/>
        <v>MCSGAST1</v>
      </c>
      <c r="S252" s="38"/>
      <c r="T252" s="304">
        <f t="shared" si="72"/>
        <v>46082</v>
      </c>
      <c r="U252" s="304" t="str">
        <f t="shared" si="73"/>
        <v/>
      </c>
      <c r="V252" s="300" t="s">
        <v>761</v>
      </c>
    </row>
    <row r="253" spans="2:22" s="300" customFormat="1" x14ac:dyDescent="0.25">
      <c r="B253" s="301" t="s">
        <v>25</v>
      </c>
      <c r="C253" s="302"/>
      <c r="D253" s="86" t="str">
        <f>INDEX(Cad_Natureza!$B$3:$C$52,MATCH('2026'!F253,Cad_Natureza!$C$3:$C$52,0),MATCH('2026'!D$2,Cad_Natureza!$B$3:$C$3,0))</f>
        <v>GAST1</v>
      </c>
      <c r="E253" s="84" t="s">
        <v>1453</v>
      </c>
      <c r="F253" s="85" t="s">
        <v>742</v>
      </c>
      <c r="G253" s="86" t="s">
        <v>25</v>
      </c>
      <c r="H253" s="87">
        <v>46101</v>
      </c>
      <c r="I253" s="87"/>
      <c r="J253" s="79" t="s">
        <v>185</v>
      </c>
      <c r="K253" s="62">
        <v>-6</v>
      </c>
      <c r="L253" s="62">
        <f t="shared" si="52"/>
        <v>1998.2700000000009</v>
      </c>
      <c r="M253" s="302"/>
      <c r="N253" s="44" t="str">
        <f t="shared" si="67"/>
        <v>MCSGAST1CPF - Desp. Lazer e Entretenimento - Bares</v>
      </c>
      <c r="O253" s="44" t="str">
        <f t="shared" si="68"/>
        <v>GAST1CPF - Desp. Lazer e Entretenimento - Bares</v>
      </c>
      <c r="P253" s="44" t="str">
        <f t="shared" si="69"/>
        <v>MCSGAST1CPF - Desp. Lazer e Entretenimento - Bares</v>
      </c>
      <c r="Q253" s="44" t="str">
        <f t="shared" si="70"/>
        <v>MCSGAST1</v>
      </c>
      <c r="R253" s="44" t="str">
        <f t="shared" si="71"/>
        <v>MCSGAST1</v>
      </c>
      <c r="S253" s="38"/>
      <c r="T253" s="304">
        <f t="shared" si="72"/>
        <v>46082</v>
      </c>
      <c r="U253" s="304" t="str">
        <f t="shared" si="73"/>
        <v/>
      </c>
      <c r="V253" s="300" t="s">
        <v>731</v>
      </c>
    </row>
    <row r="254" spans="2:22" s="300" customFormat="1" x14ac:dyDescent="0.25">
      <c r="B254" s="301" t="s">
        <v>25</v>
      </c>
      <c r="C254" s="302"/>
      <c r="D254" s="86" t="str">
        <f>INDEX(Cad_Natureza!$B$3:$C$52,MATCH('2026'!F254,Cad_Natureza!$C$3:$C$52,0),MATCH('2026'!D$2,Cad_Natureza!$B$3:$C$3,0))</f>
        <v>GAST1</v>
      </c>
      <c r="E254" s="84" t="s">
        <v>1454</v>
      </c>
      <c r="F254" s="85" t="s">
        <v>742</v>
      </c>
      <c r="G254" s="86" t="s">
        <v>25</v>
      </c>
      <c r="H254" s="87">
        <v>46104</v>
      </c>
      <c r="I254" s="87"/>
      <c r="J254" s="79" t="s">
        <v>185</v>
      </c>
      <c r="K254" s="62">
        <v>-15</v>
      </c>
      <c r="L254" s="62">
        <f t="shared" si="52"/>
        <v>1983.2700000000009</v>
      </c>
      <c r="M254" s="302"/>
      <c r="N254" s="44" t="str">
        <f t="shared" si="67"/>
        <v>MCSGAST1CPF - Desp. Lazer e Entretenimento - Bares</v>
      </c>
      <c r="O254" s="44" t="str">
        <f t="shared" si="68"/>
        <v>GAST1CPF - Desp. Lazer e Entretenimento - Bares</v>
      </c>
      <c r="P254" s="44" t="str">
        <f t="shared" si="69"/>
        <v>MCSGAST1CPF - Desp. Lazer e Entretenimento - Bares</v>
      </c>
      <c r="Q254" s="44" t="str">
        <f t="shared" si="70"/>
        <v>MCSGAST1</v>
      </c>
      <c r="R254" s="44" t="str">
        <f t="shared" si="71"/>
        <v>MCSGAST1</v>
      </c>
      <c r="S254" s="38"/>
      <c r="T254" s="304">
        <f t="shared" si="72"/>
        <v>46082</v>
      </c>
      <c r="U254" s="304" t="str">
        <f t="shared" si="73"/>
        <v/>
      </c>
      <c r="V254" s="300" t="s">
        <v>731</v>
      </c>
    </row>
    <row r="255" spans="2:22" s="300" customFormat="1" x14ac:dyDescent="0.25">
      <c r="B255" s="301" t="s">
        <v>25</v>
      </c>
      <c r="C255" s="302"/>
      <c r="D255" s="86" t="str">
        <f>INDEX(Cad_Natureza!$B$3:$C$52,MATCH('2026'!F255,Cad_Natureza!$C$3:$C$52,0),MATCH('2026'!D$2,Cad_Natureza!$B$3:$C$3,0))</f>
        <v>GAST1</v>
      </c>
      <c r="E255" s="84" t="s">
        <v>1454</v>
      </c>
      <c r="F255" s="85" t="s">
        <v>742</v>
      </c>
      <c r="G255" s="86" t="s">
        <v>25</v>
      </c>
      <c r="H255" s="87">
        <v>46104</v>
      </c>
      <c r="I255" s="87"/>
      <c r="J255" s="79" t="s">
        <v>185</v>
      </c>
      <c r="K255" s="62">
        <v>-10</v>
      </c>
      <c r="L255" s="62">
        <f t="shared" si="52"/>
        <v>1973.2700000000009</v>
      </c>
      <c r="M255" s="302"/>
      <c r="N255" s="44" t="str">
        <f t="shared" si="67"/>
        <v>MCSGAST1CPF - Desp. Lazer e Entretenimento - Bares</v>
      </c>
      <c r="O255" s="44" t="str">
        <f t="shared" si="68"/>
        <v>GAST1CPF - Desp. Lazer e Entretenimento - Bares</v>
      </c>
      <c r="P255" s="44" t="str">
        <f t="shared" si="69"/>
        <v>MCSGAST1CPF - Desp. Lazer e Entretenimento - Bares</v>
      </c>
      <c r="Q255" s="44" t="str">
        <f t="shared" si="70"/>
        <v>MCSGAST1</v>
      </c>
      <c r="R255" s="44" t="str">
        <f t="shared" si="71"/>
        <v>MCSGAST1</v>
      </c>
      <c r="S255" s="38"/>
      <c r="T255" s="304">
        <f t="shared" si="72"/>
        <v>46082</v>
      </c>
      <c r="U255" s="304" t="str">
        <f t="shared" si="73"/>
        <v/>
      </c>
      <c r="V255" s="300" t="s">
        <v>761</v>
      </c>
    </row>
    <row r="256" spans="2:22" s="300" customFormat="1" x14ac:dyDescent="0.25">
      <c r="B256" s="301" t="s">
        <v>25</v>
      </c>
      <c r="C256" s="302"/>
      <c r="D256" s="86" t="str">
        <f>INDEX(Cad_Natureza!$B$3:$C$52,MATCH('2026'!F256,Cad_Natureza!$C$3:$C$52,0),MATCH('2026'!D$2,Cad_Natureza!$B$3:$C$3,0))</f>
        <v>GAST1</v>
      </c>
      <c r="E256" s="84" t="s">
        <v>1454</v>
      </c>
      <c r="F256" s="85" t="s">
        <v>742</v>
      </c>
      <c r="G256" s="86" t="s">
        <v>25</v>
      </c>
      <c r="H256" s="87">
        <v>46104</v>
      </c>
      <c r="I256" s="87"/>
      <c r="J256" s="79" t="s">
        <v>185</v>
      </c>
      <c r="K256" s="62">
        <v>-10</v>
      </c>
      <c r="L256" s="62">
        <f t="shared" si="52"/>
        <v>1963.2700000000009</v>
      </c>
      <c r="M256" s="302"/>
      <c r="N256" s="44" t="str">
        <f t="shared" si="67"/>
        <v>MCSGAST1CPF - Desp. Lazer e Entretenimento - Bares</v>
      </c>
      <c r="O256" s="44" t="str">
        <f t="shared" si="68"/>
        <v>GAST1CPF - Desp. Lazer e Entretenimento - Bares</v>
      </c>
      <c r="P256" s="44" t="str">
        <f t="shared" si="69"/>
        <v>MCSGAST1CPF - Desp. Lazer e Entretenimento - Bares</v>
      </c>
      <c r="Q256" s="44" t="str">
        <f t="shared" si="70"/>
        <v>MCSGAST1</v>
      </c>
      <c r="R256" s="44" t="str">
        <f t="shared" si="71"/>
        <v>MCSGAST1</v>
      </c>
      <c r="S256" s="38"/>
      <c r="T256" s="304">
        <f t="shared" si="72"/>
        <v>46082</v>
      </c>
      <c r="U256" s="304" t="str">
        <f t="shared" si="73"/>
        <v/>
      </c>
      <c r="V256" s="300" t="s">
        <v>761</v>
      </c>
    </row>
    <row r="257" spans="2:22" s="300" customFormat="1" x14ac:dyDescent="0.25">
      <c r="B257" s="301" t="s">
        <v>25</v>
      </c>
      <c r="C257" s="302"/>
      <c r="D257" s="86" t="str">
        <f>INDEX(Cad_Natureza!$B$3:$C$52,MATCH('2026'!F257,Cad_Natureza!$C$3:$C$52,0),MATCH('2026'!D$2,Cad_Natureza!$B$3:$C$3,0))</f>
        <v>GAST1</v>
      </c>
      <c r="E257" s="84" t="s">
        <v>1454</v>
      </c>
      <c r="F257" s="85" t="s">
        <v>742</v>
      </c>
      <c r="G257" s="86" t="s">
        <v>25</v>
      </c>
      <c r="H257" s="87">
        <v>46104</v>
      </c>
      <c r="I257" s="87"/>
      <c r="J257" s="79" t="s">
        <v>185</v>
      </c>
      <c r="K257" s="62">
        <v>-36</v>
      </c>
      <c r="L257" s="62">
        <f t="shared" si="52"/>
        <v>1927.2700000000009</v>
      </c>
      <c r="M257" s="302"/>
      <c r="N257" s="44" t="str">
        <f t="shared" si="67"/>
        <v>MCSGAST1CPF - Desp. Lazer e Entretenimento - Bares</v>
      </c>
      <c r="O257" s="44" t="str">
        <f t="shared" si="68"/>
        <v>GAST1CPF - Desp. Lazer e Entretenimento - Bares</v>
      </c>
      <c r="P257" s="44" t="str">
        <f t="shared" si="69"/>
        <v>MCSGAST1CPF - Desp. Lazer e Entretenimento - Bares</v>
      </c>
      <c r="Q257" s="44" t="str">
        <f t="shared" si="70"/>
        <v>MCSGAST1</v>
      </c>
      <c r="R257" s="44" t="str">
        <f t="shared" si="71"/>
        <v>MCSGAST1</v>
      </c>
      <c r="S257" s="38"/>
      <c r="T257" s="304">
        <f t="shared" si="72"/>
        <v>46082</v>
      </c>
      <c r="U257" s="304" t="str">
        <f t="shared" si="73"/>
        <v/>
      </c>
      <c r="V257" s="300" t="s">
        <v>761</v>
      </c>
    </row>
    <row r="258" spans="2:22" s="300" customFormat="1" x14ac:dyDescent="0.25">
      <c r="B258" s="301" t="s">
        <v>25</v>
      </c>
      <c r="C258" s="302"/>
      <c r="D258" s="86" t="str">
        <f>INDEX(Cad_Natureza!$B$3:$C$52,MATCH('2026'!F258,Cad_Natureza!$C$3:$C$52,0),MATCH('2026'!D$2,Cad_Natureza!$B$3:$C$3,0))</f>
        <v>DESP4</v>
      </c>
      <c r="E258" s="84" t="s">
        <v>1455</v>
      </c>
      <c r="F258" s="85" t="s">
        <v>753</v>
      </c>
      <c r="G258" s="86" t="s">
        <v>25</v>
      </c>
      <c r="H258" s="87">
        <v>46104</v>
      </c>
      <c r="I258" s="87"/>
      <c r="J258" s="79" t="s">
        <v>1330</v>
      </c>
      <c r="K258" s="62">
        <v>-286.68</v>
      </c>
      <c r="L258" s="62">
        <f t="shared" si="52"/>
        <v>1640.5900000000008</v>
      </c>
      <c r="M258" s="302"/>
      <c r="N258" s="44" t="str">
        <f t="shared" si="60"/>
        <v>MCSDESP4CPF - Desp. Moradia</v>
      </c>
      <c r="O258" s="44" t="str">
        <f t="shared" si="61"/>
        <v>DESP4CPF - Desp. Moradia</v>
      </c>
      <c r="P258" s="44" t="str">
        <f t="shared" si="62"/>
        <v>MCSDESP4CPF - Desp. Moradia</v>
      </c>
      <c r="Q258" s="44" t="str">
        <f t="shared" si="63"/>
        <v>MCSDESP4</v>
      </c>
      <c r="R258" s="44" t="str">
        <f t="shared" si="64"/>
        <v>MCSDESP4</v>
      </c>
      <c r="S258" s="38"/>
      <c r="T258" s="304">
        <f t="shared" si="65"/>
        <v>46082</v>
      </c>
      <c r="U258" s="304" t="str">
        <f t="shared" si="66"/>
        <v/>
      </c>
      <c r="V258" s="300" t="s">
        <v>761</v>
      </c>
    </row>
    <row r="259" spans="2:22" s="300" customFormat="1" x14ac:dyDescent="0.25">
      <c r="B259" s="301" t="s">
        <v>25</v>
      </c>
      <c r="C259" s="302"/>
      <c r="D259" s="86" t="str">
        <f>INDEX(Cad_Natureza!$B$3:$C$52,MATCH('2026'!F259,Cad_Natureza!$C$3:$C$52,0),MATCH('2026'!D$2,Cad_Natureza!$B$3:$C$3,0))</f>
        <v>PENS6</v>
      </c>
      <c r="E259" s="84" t="s">
        <v>1456</v>
      </c>
      <c r="F259" s="85" t="s">
        <v>37</v>
      </c>
      <c r="G259" s="86" t="s">
        <v>25</v>
      </c>
      <c r="H259" s="87">
        <v>46104</v>
      </c>
      <c r="I259" s="87"/>
      <c r="J259" s="78" t="s">
        <v>196</v>
      </c>
      <c r="K259" s="62">
        <v>-20</v>
      </c>
      <c r="L259" s="62">
        <f t="shared" si="52"/>
        <v>1620.5900000000008</v>
      </c>
      <c r="M259" s="302"/>
      <c r="N259" s="44" t="str">
        <f t="shared" si="60"/>
        <v>MCSPENS6CPF - Pensão - Farmácia e Saúde</v>
      </c>
      <c r="O259" s="44" t="str">
        <f t="shared" si="61"/>
        <v>PENS6CPF - Pensão - Farmácia e Saúde</v>
      </c>
      <c r="P259" s="44" t="str">
        <f t="shared" si="62"/>
        <v>MCSPENS6CPF - Pensão - Farmácia e Saúde</v>
      </c>
      <c r="Q259" s="44" t="str">
        <f t="shared" si="63"/>
        <v>MCSPENS6</v>
      </c>
      <c r="R259" s="44" t="str">
        <f t="shared" si="64"/>
        <v>MCSPENS6</v>
      </c>
      <c r="S259" s="38"/>
      <c r="T259" s="304">
        <f t="shared" si="65"/>
        <v>46082</v>
      </c>
      <c r="U259" s="304" t="str">
        <f t="shared" si="66"/>
        <v/>
      </c>
      <c r="V259" s="300" t="s">
        <v>761</v>
      </c>
    </row>
    <row r="260" spans="2:22" s="300" customFormat="1" x14ac:dyDescent="0.25">
      <c r="B260" s="301" t="s">
        <v>25</v>
      </c>
      <c r="C260" s="302"/>
      <c r="D260" s="86" t="str">
        <f>INDEX(Cad_Natureza!$B$3:$C$52,MATCH('2026'!F260,Cad_Natureza!$C$3:$C$52,0),MATCH('2026'!D$2,Cad_Natureza!$B$3:$C$3,0))</f>
        <v>OPF2</v>
      </c>
      <c r="E260" s="84" t="s">
        <v>1457</v>
      </c>
      <c r="F260" s="85" t="s">
        <v>741</v>
      </c>
      <c r="G260" s="86" t="s">
        <v>25</v>
      </c>
      <c r="H260" s="87">
        <v>46104</v>
      </c>
      <c r="I260" s="87"/>
      <c r="J260" s="79" t="s">
        <v>184</v>
      </c>
      <c r="K260" s="62">
        <v>-100.59</v>
      </c>
      <c r="L260" s="62">
        <f t="shared" ref="L260:L323" si="74">L259+K260</f>
        <v>1520.0000000000009</v>
      </c>
      <c r="M260" s="302"/>
      <c r="N260" s="44" t="str">
        <f t="shared" si="60"/>
        <v>MCSOPF2CPF - Desp. Transporte / Combustível</v>
      </c>
      <c r="O260" s="44" t="str">
        <f t="shared" si="61"/>
        <v>OPF2CPF - Desp. Transporte / Combustível</v>
      </c>
      <c r="P260" s="44" t="str">
        <f t="shared" si="62"/>
        <v>MCSOPF2CPF - Desp. Transporte / Combustível</v>
      </c>
      <c r="Q260" s="44" t="str">
        <f t="shared" si="63"/>
        <v>MCSOPF2</v>
      </c>
      <c r="R260" s="44" t="str">
        <f t="shared" si="64"/>
        <v>MCSOPF2</v>
      </c>
      <c r="S260" s="38"/>
      <c r="T260" s="304">
        <f t="shared" si="65"/>
        <v>46082</v>
      </c>
      <c r="U260" s="304" t="str">
        <f t="shared" si="66"/>
        <v/>
      </c>
      <c r="V260" s="300" t="s">
        <v>731</v>
      </c>
    </row>
    <row r="261" spans="2:22" s="300" customFormat="1" x14ac:dyDescent="0.25">
      <c r="B261" s="301" t="s">
        <v>25</v>
      </c>
      <c r="C261" s="302"/>
      <c r="D261" s="86" t="str">
        <f>INDEX(Cad_Natureza!$B$3:$C$52,MATCH('2026'!F261,Cad_Natureza!$C$3:$C$52,0),MATCH('2026'!D$2,Cad_Natureza!$B$3:$C$3,0))</f>
        <v>GAST1</v>
      </c>
      <c r="E261" s="84" t="s">
        <v>1458</v>
      </c>
      <c r="F261" s="85" t="s">
        <v>742</v>
      </c>
      <c r="G261" s="86" t="s">
        <v>25</v>
      </c>
      <c r="H261" s="87">
        <v>46104</v>
      </c>
      <c r="I261" s="87"/>
      <c r="J261" s="79" t="s">
        <v>185</v>
      </c>
      <c r="K261" s="62">
        <v>-5</v>
      </c>
      <c r="L261" s="62">
        <f t="shared" si="74"/>
        <v>1515.0000000000009</v>
      </c>
      <c r="M261" s="302"/>
      <c r="N261" s="44" t="str">
        <f t="shared" si="60"/>
        <v>MCSGAST1CPF - Desp. Lazer e Entretenimento - Bares</v>
      </c>
      <c r="O261" s="44" t="str">
        <f t="shared" si="61"/>
        <v>GAST1CPF - Desp. Lazer e Entretenimento - Bares</v>
      </c>
      <c r="P261" s="44" t="str">
        <f t="shared" si="62"/>
        <v>MCSGAST1CPF - Desp. Lazer e Entretenimento - Bares</v>
      </c>
      <c r="Q261" s="44" t="str">
        <f t="shared" si="63"/>
        <v>MCSGAST1</v>
      </c>
      <c r="R261" s="44" t="str">
        <f t="shared" si="64"/>
        <v>MCSGAST1</v>
      </c>
      <c r="S261" s="38"/>
      <c r="T261" s="304">
        <f t="shared" si="65"/>
        <v>46082</v>
      </c>
      <c r="U261" s="304" t="str">
        <f t="shared" si="66"/>
        <v/>
      </c>
      <c r="V261" s="300" t="s">
        <v>731</v>
      </c>
    </row>
    <row r="262" spans="2:22" s="300" customFormat="1" x14ac:dyDescent="0.25">
      <c r="B262" s="301" t="s">
        <v>25</v>
      </c>
      <c r="C262" s="302"/>
      <c r="D262" s="86" t="str">
        <f>INDEX(Cad_Natureza!$B$3:$C$52,MATCH('2026'!F262,Cad_Natureza!$C$3:$C$52,0),MATCH('2026'!D$2,Cad_Natureza!$B$3:$C$3,0))</f>
        <v>GAST1</v>
      </c>
      <c r="E262" s="84" t="s">
        <v>1459</v>
      </c>
      <c r="F262" s="85" t="s">
        <v>742</v>
      </c>
      <c r="G262" s="86" t="s">
        <v>25</v>
      </c>
      <c r="H262" s="87">
        <v>46104</v>
      </c>
      <c r="I262" s="87"/>
      <c r="J262" s="79" t="s">
        <v>185</v>
      </c>
      <c r="K262" s="62">
        <v>-5</v>
      </c>
      <c r="L262" s="62">
        <f t="shared" si="74"/>
        <v>1510.0000000000009</v>
      </c>
      <c r="M262" s="302"/>
      <c r="N262" s="44" t="str">
        <f t="shared" si="60"/>
        <v>MCSGAST1CPF - Desp. Lazer e Entretenimento - Bares</v>
      </c>
      <c r="O262" s="44" t="str">
        <f t="shared" si="61"/>
        <v>GAST1CPF - Desp. Lazer e Entretenimento - Bares</v>
      </c>
      <c r="P262" s="44" t="str">
        <f t="shared" si="62"/>
        <v>MCSGAST1CPF - Desp. Lazer e Entretenimento - Bares</v>
      </c>
      <c r="Q262" s="44" t="str">
        <f t="shared" si="63"/>
        <v>MCSGAST1</v>
      </c>
      <c r="R262" s="44" t="str">
        <f t="shared" si="64"/>
        <v>MCSGAST1</v>
      </c>
      <c r="S262" s="38"/>
      <c r="T262" s="304">
        <f t="shared" si="65"/>
        <v>46082</v>
      </c>
      <c r="U262" s="304" t="str">
        <f t="shared" si="66"/>
        <v/>
      </c>
      <c r="V262" s="300" t="s">
        <v>761</v>
      </c>
    </row>
    <row r="263" spans="2:22" s="300" customFormat="1" x14ac:dyDescent="0.25">
      <c r="B263" s="301" t="s">
        <v>25</v>
      </c>
      <c r="C263" s="302"/>
      <c r="D263" s="86" t="str">
        <f>INDEX(Cad_Natureza!$B$3:$C$52,MATCH('2026'!F263,Cad_Natureza!$C$3:$C$52,0),MATCH('2026'!D$2,Cad_Natureza!$B$3:$C$3,0))</f>
        <v>GAST1</v>
      </c>
      <c r="E263" s="84" t="s">
        <v>1460</v>
      </c>
      <c r="F263" s="85" t="s">
        <v>742</v>
      </c>
      <c r="G263" s="86" t="s">
        <v>25</v>
      </c>
      <c r="H263" s="87">
        <v>46104</v>
      </c>
      <c r="I263" s="87"/>
      <c r="J263" s="79" t="s">
        <v>185</v>
      </c>
      <c r="K263" s="62">
        <v>-4.9000000000000004</v>
      </c>
      <c r="L263" s="62">
        <f t="shared" si="74"/>
        <v>1505.1000000000008</v>
      </c>
      <c r="M263" s="302"/>
      <c r="N263" s="44" t="str">
        <f t="shared" si="60"/>
        <v>MCSGAST1CPF - Desp. Lazer e Entretenimento - Bares</v>
      </c>
      <c r="O263" s="44" t="str">
        <f t="shared" si="61"/>
        <v>GAST1CPF - Desp. Lazer e Entretenimento - Bares</v>
      </c>
      <c r="P263" s="44" t="str">
        <f t="shared" si="62"/>
        <v>MCSGAST1CPF - Desp. Lazer e Entretenimento - Bares</v>
      </c>
      <c r="Q263" s="44" t="str">
        <f t="shared" si="63"/>
        <v>MCSGAST1</v>
      </c>
      <c r="R263" s="44" t="str">
        <f t="shared" si="64"/>
        <v>MCSGAST1</v>
      </c>
      <c r="S263" s="38"/>
      <c r="T263" s="304">
        <f t="shared" si="65"/>
        <v>46082</v>
      </c>
      <c r="U263" s="304" t="str">
        <f t="shared" si="66"/>
        <v/>
      </c>
      <c r="V263" s="300" t="s">
        <v>761</v>
      </c>
    </row>
    <row r="264" spans="2:22" s="300" customFormat="1" x14ac:dyDescent="0.25">
      <c r="B264" s="301" t="s">
        <v>25</v>
      </c>
      <c r="C264" s="302"/>
      <c r="D264" s="86" t="str">
        <f>INDEX(Cad_Natureza!$B$3:$C$52,MATCH('2026'!F264,Cad_Natureza!$C$3:$C$52,0),MATCH('2026'!D$2,Cad_Natureza!$B$3:$C$3,0))</f>
        <v>OPF2</v>
      </c>
      <c r="E264" s="84" t="s">
        <v>1461</v>
      </c>
      <c r="F264" s="85" t="s">
        <v>741</v>
      </c>
      <c r="G264" s="86" t="s">
        <v>25</v>
      </c>
      <c r="H264" s="87">
        <v>46107</v>
      </c>
      <c r="I264" s="87"/>
      <c r="J264" s="79" t="s">
        <v>184</v>
      </c>
      <c r="K264" s="62">
        <v>-100</v>
      </c>
      <c r="L264" s="62">
        <f t="shared" si="74"/>
        <v>1405.1000000000008</v>
      </c>
      <c r="M264" s="302"/>
      <c r="N264" s="44" t="str">
        <f t="shared" si="60"/>
        <v>MCSOPF2CPF - Desp. Transporte / Combustível</v>
      </c>
      <c r="O264" s="44" t="str">
        <f t="shared" si="61"/>
        <v>OPF2CPF - Desp. Transporte / Combustível</v>
      </c>
      <c r="P264" s="44" t="str">
        <f t="shared" si="62"/>
        <v>MCSOPF2CPF - Desp. Transporte / Combustível</v>
      </c>
      <c r="Q264" s="44" t="str">
        <f t="shared" si="63"/>
        <v>MCSOPF2</v>
      </c>
      <c r="R264" s="44" t="str">
        <f t="shared" si="64"/>
        <v>MCSOPF2</v>
      </c>
      <c r="S264" s="38"/>
      <c r="T264" s="304">
        <f t="shared" si="65"/>
        <v>46082</v>
      </c>
      <c r="U264" s="304" t="str">
        <f t="shared" si="66"/>
        <v/>
      </c>
      <c r="V264" s="300" t="s">
        <v>761</v>
      </c>
    </row>
    <row r="265" spans="2:22" s="300" customFormat="1" x14ac:dyDescent="0.25">
      <c r="B265" s="301" t="s">
        <v>25</v>
      </c>
      <c r="C265" s="302"/>
      <c r="D265" s="86" t="str">
        <f>INDEX(Cad_Natureza!$B$3:$C$52,MATCH('2026'!F265,Cad_Natureza!$C$3:$C$52,0),MATCH('2026'!D$2,Cad_Natureza!$B$3:$C$3,0))</f>
        <v>OUG1</v>
      </c>
      <c r="E265" s="84" t="s">
        <v>1462</v>
      </c>
      <c r="F265" s="85" t="s">
        <v>748</v>
      </c>
      <c r="G265" s="86" t="s">
        <v>25</v>
      </c>
      <c r="H265" s="87">
        <v>46108</v>
      </c>
      <c r="I265" s="87"/>
      <c r="J265" s="79" t="s">
        <v>1586</v>
      </c>
      <c r="K265" s="62">
        <v>-59.02</v>
      </c>
      <c r="L265" s="62">
        <f t="shared" si="74"/>
        <v>1346.0800000000008</v>
      </c>
      <c r="M265" s="302"/>
      <c r="N265" s="44" t="str">
        <f t="shared" si="60"/>
        <v>MCSOUG1CPF - Outros gastos</v>
      </c>
      <c r="O265" s="44" t="str">
        <f t="shared" si="61"/>
        <v>OUG1CPF - Outros gastos</v>
      </c>
      <c r="P265" s="44" t="str">
        <f t="shared" si="62"/>
        <v>MCSOUG1CPF - Outros gastos</v>
      </c>
      <c r="Q265" s="44" t="str">
        <f t="shared" si="63"/>
        <v>MCSOUG1</v>
      </c>
      <c r="R265" s="44" t="str">
        <f t="shared" si="64"/>
        <v>MCSOUG1</v>
      </c>
      <c r="S265" s="38"/>
      <c r="T265" s="304">
        <f t="shared" si="65"/>
        <v>46082</v>
      </c>
      <c r="U265" s="304" t="str">
        <f t="shared" si="66"/>
        <v/>
      </c>
      <c r="V265" s="300" t="s">
        <v>761</v>
      </c>
    </row>
    <row r="266" spans="2:22" s="300" customFormat="1" x14ac:dyDescent="0.25">
      <c r="B266" s="301" t="s">
        <v>25</v>
      </c>
      <c r="C266" s="302"/>
      <c r="D266" s="86" t="str">
        <f>INDEX(Cad_Natureza!$B$3:$C$52,MATCH('2026'!F266,Cad_Natureza!$C$3:$C$52,0),MATCH('2026'!D$2,Cad_Natureza!$B$3:$C$3,0))</f>
        <v>DESP2</v>
      </c>
      <c r="E266" s="84" t="s">
        <v>1463</v>
      </c>
      <c r="F266" s="85" t="s">
        <v>739</v>
      </c>
      <c r="G266" s="86" t="s">
        <v>25</v>
      </c>
      <c r="H266" s="87">
        <v>46111</v>
      </c>
      <c r="I266" s="87"/>
      <c r="J266" s="79" t="s">
        <v>1126</v>
      </c>
      <c r="K266" s="62">
        <v>-91.55</v>
      </c>
      <c r="L266" s="62">
        <f t="shared" si="74"/>
        <v>1254.5300000000009</v>
      </c>
      <c r="M266" s="302"/>
      <c r="N266" s="44" t="str">
        <f t="shared" si="60"/>
        <v>MCSDESP2CPF - Desp. Telefone / Internet</v>
      </c>
      <c r="O266" s="44" t="str">
        <f t="shared" si="61"/>
        <v>DESP2CPF - Desp. Telefone / Internet</v>
      </c>
      <c r="P266" s="44" t="str">
        <f t="shared" si="62"/>
        <v>MCSDESP2CPF - Desp. Telefone / Internet</v>
      </c>
      <c r="Q266" s="44" t="str">
        <f t="shared" si="63"/>
        <v>MCSDESP2</v>
      </c>
      <c r="R266" s="44" t="str">
        <f t="shared" si="64"/>
        <v>MCSDESP2</v>
      </c>
      <c r="S266" s="38"/>
      <c r="T266" s="304">
        <f t="shared" si="65"/>
        <v>46082</v>
      </c>
      <c r="U266" s="304" t="str">
        <f t="shared" si="66"/>
        <v/>
      </c>
      <c r="V266" s="300" t="s">
        <v>761</v>
      </c>
    </row>
    <row r="267" spans="2:22" s="300" customFormat="1" x14ac:dyDescent="0.25">
      <c r="B267" s="301" t="s">
        <v>25</v>
      </c>
      <c r="C267" s="302"/>
      <c r="D267" s="86" t="str">
        <f>INDEX(Cad_Natureza!$B$3:$C$52,MATCH('2026'!F267,Cad_Natureza!$C$3:$C$52,0),MATCH('2026'!D$2,Cad_Natureza!$B$3:$C$3,0))</f>
        <v>FIN1</v>
      </c>
      <c r="E267" s="84" t="s">
        <v>1464</v>
      </c>
      <c r="F267" s="85" t="s">
        <v>713</v>
      </c>
      <c r="G267" s="86" t="s">
        <v>25</v>
      </c>
      <c r="H267" s="87">
        <v>46111</v>
      </c>
      <c r="I267" s="87"/>
      <c r="J267" s="79" t="s">
        <v>1587</v>
      </c>
      <c r="K267" s="62">
        <v>-20</v>
      </c>
      <c r="L267" s="62">
        <f t="shared" si="74"/>
        <v>1234.5300000000009</v>
      </c>
      <c r="M267" s="302"/>
      <c r="N267" s="44" t="str">
        <f t="shared" si="60"/>
        <v>MCSFIN1CPF - Desp. Financeiras - Empréstimos</v>
      </c>
      <c r="O267" s="44" t="str">
        <f t="shared" si="61"/>
        <v>FIN1CPF - Desp. Financeiras - Empréstimos</v>
      </c>
      <c r="P267" s="44" t="str">
        <f t="shared" si="62"/>
        <v>MCSFIN1CPF - Desp. Financeiras - Empréstimos</v>
      </c>
      <c r="Q267" s="44" t="str">
        <f t="shared" si="63"/>
        <v>MCSFIN1</v>
      </c>
      <c r="R267" s="44" t="str">
        <f t="shared" si="64"/>
        <v>MCSFIN1</v>
      </c>
      <c r="S267" s="38"/>
      <c r="T267" s="304">
        <f t="shared" si="65"/>
        <v>46082</v>
      </c>
      <c r="U267" s="304" t="str">
        <f t="shared" si="66"/>
        <v/>
      </c>
      <c r="V267" s="300" t="s">
        <v>761</v>
      </c>
    </row>
    <row r="268" spans="2:22" s="300" customFormat="1" x14ac:dyDescent="0.25">
      <c r="B268" s="301" t="s">
        <v>25</v>
      </c>
      <c r="C268" s="302"/>
      <c r="D268" s="86" t="str">
        <f>INDEX(Cad_Natureza!$B$3:$C$52,MATCH('2026'!F268,Cad_Natureza!$C$3:$C$52,0),MATCH('2026'!D$2,Cad_Natureza!$B$3:$C$3,0))</f>
        <v>OUG1</v>
      </c>
      <c r="E268" s="84" t="s">
        <v>1465</v>
      </c>
      <c r="F268" s="85" t="s">
        <v>748</v>
      </c>
      <c r="G268" s="86" t="s">
        <v>25</v>
      </c>
      <c r="H268" s="87">
        <v>46111</v>
      </c>
      <c r="I268" s="87"/>
      <c r="J268" s="79" t="s">
        <v>1583</v>
      </c>
      <c r="K268" s="62">
        <v>-20</v>
      </c>
      <c r="L268" s="62">
        <f t="shared" si="74"/>
        <v>1214.5300000000009</v>
      </c>
      <c r="M268" s="302"/>
      <c r="N268" s="44" t="str">
        <f t="shared" si="60"/>
        <v>MCSOUG1CPF - Outros gastos</v>
      </c>
      <c r="O268" s="44" t="str">
        <f t="shared" si="61"/>
        <v>OUG1CPF - Outros gastos</v>
      </c>
      <c r="P268" s="44" t="str">
        <f t="shared" si="62"/>
        <v>MCSOUG1CPF - Outros gastos</v>
      </c>
      <c r="Q268" s="44" t="str">
        <f t="shared" si="63"/>
        <v>MCSOUG1</v>
      </c>
      <c r="R268" s="44" t="str">
        <f t="shared" si="64"/>
        <v>MCSOUG1</v>
      </c>
      <c r="S268" s="38"/>
      <c r="T268" s="304">
        <f t="shared" si="65"/>
        <v>46082</v>
      </c>
      <c r="U268" s="304" t="str">
        <f t="shared" si="66"/>
        <v/>
      </c>
      <c r="V268" s="300" t="s">
        <v>761</v>
      </c>
    </row>
    <row r="269" spans="2:22" s="300" customFormat="1" x14ac:dyDescent="0.25">
      <c r="B269" s="301" t="s">
        <v>25</v>
      </c>
      <c r="C269" s="302"/>
      <c r="D269" s="86" t="str">
        <f>INDEX(Cad_Natureza!$B$3:$C$52,MATCH('2026'!F269,Cad_Natureza!$C$3:$C$52,0),MATCH('2026'!D$2,Cad_Natureza!$B$3:$C$3,0))</f>
        <v>FIN1</v>
      </c>
      <c r="E269" s="84" t="s">
        <v>1466</v>
      </c>
      <c r="F269" s="85" t="s">
        <v>713</v>
      </c>
      <c r="G269" s="86" t="s">
        <v>25</v>
      </c>
      <c r="H269" s="87">
        <v>46111</v>
      </c>
      <c r="I269" s="87"/>
      <c r="J269" s="79" t="s">
        <v>1588</v>
      </c>
      <c r="K269" s="62">
        <v>-150</v>
      </c>
      <c r="L269" s="62">
        <f t="shared" si="74"/>
        <v>1064.5300000000009</v>
      </c>
      <c r="M269" s="302"/>
      <c r="N269" s="44" t="str">
        <f t="shared" si="60"/>
        <v>MCSFIN1CPF - Desp. Financeiras - Empréstimos</v>
      </c>
      <c r="O269" s="44" t="str">
        <f t="shared" si="61"/>
        <v>FIN1CPF - Desp. Financeiras - Empréstimos</v>
      </c>
      <c r="P269" s="44" t="str">
        <f t="shared" si="62"/>
        <v>MCSFIN1CPF - Desp. Financeiras - Empréstimos</v>
      </c>
      <c r="Q269" s="44" t="str">
        <f t="shared" si="63"/>
        <v>MCSFIN1</v>
      </c>
      <c r="R269" s="44" t="str">
        <f t="shared" si="64"/>
        <v>MCSFIN1</v>
      </c>
      <c r="S269" s="38"/>
      <c r="T269" s="304">
        <f t="shared" si="65"/>
        <v>46082</v>
      </c>
      <c r="U269" s="304" t="str">
        <f t="shared" si="66"/>
        <v/>
      </c>
      <c r="V269" s="300" t="s">
        <v>731</v>
      </c>
    </row>
    <row r="270" spans="2:22" s="300" customFormat="1" x14ac:dyDescent="0.25">
      <c r="B270" s="301" t="s">
        <v>25</v>
      </c>
      <c r="C270" s="302"/>
      <c r="D270" s="86" t="str">
        <f>INDEX(Cad_Natureza!$B$3:$C$52,MATCH('2026'!F270,Cad_Natureza!$C$3:$C$52,0),MATCH('2026'!D$2,Cad_Natureza!$B$3:$C$3,0))</f>
        <v>OPF2</v>
      </c>
      <c r="E270" s="84" t="s">
        <v>1467</v>
      </c>
      <c r="F270" s="85" t="s">
        <v>741</v>
      </c>
      <c r="G270" s="86" t="s">
        <v>25</v>
      </c>
      <c r="H270" s="87">
        <v>46111</v>
      </c>
      <c r="I270" s="87"/>
      <c r="J270" s="79" t="s">
        <v>184</v>
      </c>
      <c r="K270" s="62">
        <v>-100</v>
      </c>
      <c r="L270" s="62">
        <f t="shared" si="74"/>
        <v>964.53000000000088</v>
      </c>
      <c r="M270" s="302"/>
      <c r="N270" s="44" t="str">
        <f t="shared" si="60"/>
        <v>MCSOPF2CPF - Desp. Transporte / Combustível</v>
      </c>
      <c r="O270" s="44" t="str">
        <f t="shared" si="61"/>
        <v>OPF2CPF - Desp. Transporte / Combustível</v>
      </c>
      <c r="P270" s="44" t="str">
        <f t="shared" si="62"/>
        <v>MCSOPF2CPF - Desp. Transporte / Combustível</v>
      </c>
      <c r="Q270" s="44" t="str">
        <f t="shared" si="63"/>
        <v>MCSOPF2</v>
      </c>
      <c r="R270" s="44" t="str">
        <f t="shared" si="64"/>
        <v>MCSOPF2</v>
      </c>
      <c r="S270" s="38"/>
      <c r="T270" s="304">
        <f t="shared" si="65"/>
        <v>46082</v>
      </c>
      <c r="U270" s="304" t="str">
        <f t="shared" si="66"/>
        <v/>
      </c>
      <c r="V270" s="300" t="s">
        <v>731</v>
      </c>
    </row>
    <row r="271" spans="2:22" s="300" customFormat="1" x14ac:dyDescent="0.25">
      <c r="B271" s="301" t="s">
        <v>25</v>
      </c>
      <c r="C271" s="302"/>
      <c r="D271" s="86" t="str">
        <f>INDEX(Cad_Natureza!$B$3:$C$52,MATCH('2026'!F271,Cad_Natureza!$C$3:$C$52,0),MATCH('2026'!D$2,Cad_Natureza!$B$3:$C$3,0))</f>
        <v>PENS5</v>
      </c>
      <c r="E271" s="84" t="s">
        <v>1468</v>
      </c>
      <c r="F271" s="85" t="s">
        <v>716</v>
      </c>
      <c r="G271" s="86" t="s">
        <v>25</v>
      </c>
      <c r="H271" s="87">
        <v>46111</v>
      </c>
      <c r="I271" s="87"/>
      <c r="J271" s="79" t="s">
        <v>1589</v>
      </c>
      <c r="K271" s="62">
        <v>-284.98</v>
      </c>
      <c r="L271" s="62">
        <f t="shared" si="74"/>
        <v>679.55000000000086</v>
      </c>
      <c r="M271" s="302"/>
      <c r="N271" s="44" t="str">
        <f t="shared" si="60"/>
        <v>MCSPENS5CPF - Pensão - Água</v>
      </c>
      <c r="O271" s="44" t="str">
        <f t="shared" si="61"/>
        <v>PENS5CPF - Pensão - Água</v>
      </c>
      <c r="P271" s="44" t="str">
        <f t="shared" si="62"/>
        <v>MCSPENS5CPF - Pensão - Água</v>
      </c>
      <c r="Q271" s="44" t="str">
        <f t="shared" si="63"/>
        <v>MCSPENS5</v>
      </c>
      <c r="R271" s="44" t="str">
        <f t="shared" si="64"/>
        <v>MCSPENS5</v>
      </c>
      <c r="S271" s="38"/>
      <c r="T271" s="304">
        <f t="shared" si="65"/>
        <v>46082</v>
      </c>
      <c r="U271" s="304" t="str">
        <f t="shared" si="66"/>
        <v/>
      </c>
      <c r="V271" s="300" t="s">
        <v>761</v>
      </c>
    </row>
    <row r="272" spans="2:22" s="300" customFormat="1" x14ac:dyDescent="0.25">
      <c r="B272" s="301" t="s">
        <v>25</v>
      </c>
      <c r="C272" s="302"/>
      <c r="D272" s="86" t="str">
        <f>INDEX(Cad_Natureza!$B$3:$C$52,MATCH('2026'!F272,Cad_Natureza!$C$3:$C$52,0),MATCH('2026'!D$2,Cad_Natureza!$B$3:$C$3,0))</f>
        <v>PENS6</v>
      </c>
      <c r="E272" s="84" t="s">
        <v>1469</v>
      </c>
      <c r="F272" s="85" t="s">
        <v>37</v>
      </c>
      <c r="G272" s="86" t="s">
        <v>25</v>
      </c>
      <c r="H272" s="87">
        <v>46111</v>
      </c>
      <c r="I272" s="87"/>
      <c r="J272" s="78" t="s">
        <v>568</v>
      </c>
      <c r="K272" s="62">
        <v>-35.99</v>
      </c>
      <c r="L272" s="62">
        <f t="shared" si="74"/>
        <v>643.56000000000085</v>
      </c>
      <c r="M272" s="302"/>
      <c r="N272" s="44" t="str">
        <f t="shared" si="60"/>
        <v>MCSPENS6CPF - Pensão - Farmácia e Saúde</v>
      </c>
      <c r="O272" s="44" t="str">
        <f t="shared" si="61"/>
        <v>PENS6CPF - Pensão - Farmácia e Saúde</v>
      </c>
      <c r="P272" s="44" t="str">
        <f t="shared" si="62"/>
        <v>MCSPENS6CPF - Pensão - Farmácia e Saúde</v>
      </c>
      <c r="Q272" s="44" t="str">
        <f t="shared" si="63"/>
        <v>MCSPENS6</v>
      </c>
      <c r="R272" s="44" t="str">
        <f t="shared" si="64"/>
        <v>MCSPENS6</v>
      </c>
      <c r="S272" s="38"/>
      <c r="T272" s="304">
        <f t="shared" si="65"/>
        <v>46082</v>
      </c>
      <c r="U272" s="304" t="str">
        <f t="shared" si="66"/>
        <v/>
      </c>
      <c r="V272" s="300" t="s">
        <v>761</v>
      </c>
    </row>
    <row r="273" spans="2:22" s="300" customFormat="1" x14ac:dyDescent="0.25">
      <c r="B273" s="301" t="s">
        <v>25</v>
      </c>
      <c r="C273" s="302"/>
      <c r="D273" s="86" t="str">
        <f>INDEX(Cad_Natureza!$B$3:$C$52,MATCH('2026'!F273,Cad_Natureza!$C$3:$C$52,0),MATCH('2026'!D$2,Cad_Natureza!$B$3:$C$3,0))</f>
        <v>DESP4</v>
      </c>
      <c r="E273" s="84" t="s">
        <v>1470</v>
      </c>
      <c r="F273" s="85" t="s">
        <v>753</v>
      </c>
      <c r="G273" s="86" t="s">
        <v>25</v>
      </c>
      <c r="H273" s="87">
        <v>46111</v>
      </c>
      <c r="I273" s="87"/>
      <c r="J273" s="79" t="s">
        <v>1330</v>
      </c>
      <c r="K273" s="62">
        <v>-25.99</v>
      </c>
      <c r="L273" s="62">
        <f t="shared" si="74"/>
        <v>617.57000000000085</v>
      </c>
      <c r="M273" s="302"/>
      <c r="N273" s="44" t="str">
        <f t="shared" si="60"/>
        <v>MCSDESP4CPF - Desp. Moradia</v>
      </c>
      <c r="O273" s="44" t="str">
        <f t="shared" si="61"/>
        <v>DESP4CPF - Desp. Moradia</v>
      </c>
      <c r="P273" s="44" t="str">
        <f t="shared" si="62"/>
        <v>MCSDESP4CPF - Desp. Moradia</v>
      </c>
      <c r="Q273" s="44" t="str">
        <f t="shared" si="63"/>
        <v>MCSDESP4</v>
      </c>
      <c r="R273" s="44" t="str">
        <f t="shared" si="64"/>
        <v>MCSDESP4</v>
      </c>
      <c r="S273" s="38"/>
      <c r="T273" s="304">
        <f t="shared" si="65"/>
        <v>46082</v>
      </c>
      <c r="U273" s="304" t="str">
        <f t="shared" si="66"/>
        <v/>
      </c>
      <c r="V273" s="300" t="s">
        <v>761</v>
      </c>
    </row>
    <row r="274" spans="2:22" s="300" customFormat="1" x14ac:dyDescent="0.25">
      <c r="B274" s="301" t="s">
        <v>25</v>
      </c>
      <c r="C274" s="302"/>
      <c r="D274" s="86" t="str">
        <f>INDEX(Cad_Natureza!$B$3:$C$52,MATCH('2026'!F274,Cad_Natureza!$C$3:$C$52,0),MATCH('2026'!D$2,Cad_Natureza!$B$3:$C$3,0))</f>
        <v>OPF1</v>
      </c>
      <c r="E274" s="84" t="s">
        <v>1471</v>
      </c>
      <c r="F274" s="85" t="s">
        <v>744</v>
      </c>
      <c r="G274" s="86" t="s">
        <v>25</v>
      </c>
      <c r="H274" s="87">
        <v>46112</v>
      </c>
      <c r="I274" s="87"/>
      <c r="J274" s="79" t="s">
        <v>182</v>
      </c>
      <c r="K274" s="62">
        <v>-24</v>
      </c>
      <c r="L274" s="62">
        <f t="shared" si="74"/>
        <v>593.57000000000085</v>
      </c>
      <c r="M274" s="302"/>
      <c r="N274" s="44" t="str">
        <f t="shared" si="60"/>
        <v>MCSOPF1CPF - Desp. Alimentação / Refeição</v>
      </c>
      <c r="O274" s="44" t="str">
        <f t="shared" si="61"/>
        <v>OPF1CPF - Desp. Alimentação / Refeição</v>
      </c>
      <c r="P274" s="44" t="str">
        <f t="shared" si="62"/>
        <v>MCSOPF1CPF - Desp. Alimentação / Refeição</v>
      </c>
      <c r="Q274" s="44" t="str">
        <f t="shared" si="63"/>
        <v>MCSOPF1</v>
      </c>
      <c r="R274" s="44" t="str">
        <f t="shared" si="64"/>
        <v>MCSOPF1</v>
      </c>
      <c r="S274" s="38"/>
      <c r="T274" s="304">
        <f t="shared" si="65"/>
        <v>46082</v>
      </c>
      <c r="U274" s="304" t="str">
        <f t="shared" si="66"/>
        <v/>
      </c>
      <c r="V274" s="300" t="s">
        <v>761</v>
      </c>
    </row>
    <row r="275" spans="2:22" s="300" customFormat="1" x14ac:dyDescent="0.25">
      <c r="B275" s="301" t="s">
        <v>25</v>
      </c>
      <c r="C275" s="302"/>
      <c r="D275" s="86" t="str">
        <f>INDEX(Cad_Natureza!$B$3:$C$52,MATCH('2026'!F275,Cad_Natureza!$C$3:$C$52,0),MATCH('2026'!D$2,Cad_Natureza!$B$3:$C$3,0))</f>
        <v>GAST1</v>
      </c>
      <c r="E275" s="84" t="s">
        <v>1472</v>
      </c>
      <c r="F275" s="85" t="s">
        <v>742</v>
      </c>
      <c r="G275" s="86" t="s">
        <v>25</v>
      </c>
      <c r="H275" s="87">
        <v>46112</v>
      </c>
      <c r="I275" s="87"/>
      <c r="J275" s="79" t="s">
        <v>185</v>
      </c>
      <c r="K275" s="62">
        <v>-16</v>
      </c>
      <c r="L275" s="62">
        <f t="shared" si="74"/>
        <v>577.57000000000085</v>
      </c>
      <c r="M275" s="302"/>
      <c r="N275" s="44" t="str">
        <f t="shared" si="60"/>
        <v>MCSGAST1CPF - Desp. Lazer e Entretenimento - Bares</v>
      </c>
      <c r="O275" s="44" t="str">
        <f t="shared" si="61"/>
        <v>GAST1CPF - Desp. Lazer e Entretenimento - Bares</v>
      </c>
      <c r="P275" s="44" t="str">
        <f t="shared" si="62"/>
        <v>MCSGAST1CPF - Desp. Lazer e Entretenimento - Bares</v>
      </c>
      <c r="Q275" s="44" t="str">
        <f t="shared" si="63"/>
        <v>MCSGAST1</v>
      </c>
      <c r="R275" s="44" t="str">
        <f t="shared" si="64"/>
        <v>MCSGAST1</v>
      </c>
      <c r="S275" s="38"/>
      <c r="T275" s="304">
        <f t="shared" si="65"/>
        <v>46082</v>
      </c>
      <c r="U275" s="304" t="str">
        <f t="shared" si="66"/>
        <v/>
      </c>
      <c r="V275" s="300" t="s">
        <v>731</v>
      </c>
    </row>
    <row r="276" spans="2:22" s="300" customFormat="1" x14ac:dyDescent="0.25">
      <c r="B276" s="301" t="s">
        <v>25</v>
      </c>
      <c r="C276" s="302"/>
      <c r="D276" s="86" t="str">
        <f>INDEX(Cad_Natureza!$B$3:$C$52,MATCH('2026'!F276,Cad_Natureza!$C$3:$C$52,0),MATCH('2026'!D$2,Cad_Natureza!$B$3:$C$3,0))</f>
        <v>GAST1</v>
      </c>
      <c r="E276" s="84" t="s">
        <v>1473</v>
      </c>
      <c r="F276" s="85" t="s">
        <v>742</v>
      </c>
      <c r="G276" s="86" t="s">
        <v>25</v>
      </c>
      <c r="H276" s="87">
        <v>46112</v>
      </c>
      <c r="I276" s="87"/>
      <c r="J276" s="79" t="s">
        <v>185</v>
      </c>
      <c r="K276" s="62">
        <v>-30</v>
      </c>
      <c r="L276" s="62">
        <f t="shared" si="74"/>
        <v>547.57000000000085</v>
      </c>
      <c r="M276" s="302"/>
      <c r="N276" s="44" t="str">
        <f t="shared" si="60"/>
        <v>MCSGAST1CPF - Desp. Lazer e Entretenimento - Bares</v>
      </c>
      <c r="O276" s="44" t="str">
        <f t="shared" si="61"/>
        <v>GAST1CPF - Desp. Lazer e Entretenimento - Bares</v>
      </c>
      <c r="P276" s="44" t="str">
        <f t="shared" si="62"/>
        <v>MCSGAST1CPF - Desp. Lazer e Entretenimento - Bares</v>
      </c>
      <c r="Q276" s="44" t="str">
        <f t="shared" si="63"/>
        <v>MCSGAST1</v>
      </c>
      <c r="R276" s="44" t="str">
        <f t="shared" si="64"/>
        <v>MCSGAST1</v>
      </c>
      <c r="S276" s="38"/>
      <c r="T276" s="304">
        <f t="shared" si="65"/>
        <v>46082</v>
      </c>
      <c r="U276" s="304" t="str">
        <f t="shared" si="66"/>
        <v/>
      </c>
      <c r="V276" s="300" t="s">
        <v>731</v>
      </c>
    </row>
    <row r="277" spans="2:22" s="300" customFormat="1" x14ac:dyDescent="0.25">
      <c r="B277" s="301" t="s">
        <v>25</v>
      </c>
      <c r="C277" s="302"/>
      <c r="D277" s="86" t="str">
        <f>INDEX(Cad_Natureza!$B$3:$C$52,MATCH('2026'!F277,Cad_Natureza!$C$3:$C$52,0),MATCH('2026'!D$2,Cad_Natureza!$B$3:$C$3,0))</f>
        <v>GAST1</v>
      </c>
      <c r="E277" s="84" t="s">
        <v>1474</v>
      </c>
      <c r="F277" s="85" t="s">
        <v>742</v>
      </c>
      <c r="G277" s="86" t="s">
        <v>25</v>
      </c>
      <c r="H277" s="87">
        <v>46112</v>
      </c>
      <c r="I277" s="87"/>
      <c r="J277" s="79" t="s">
        <v>1590</v>
      </c>
      <c r="K277" s="62">
        <v>-81.5</v>
      </c>
      <c r="L277" s="62">
        <f t="shared" si="74"/>
        <v>466.07000000000085</v>
      </c>
      <c r="M277" s="302"/>
      <c r="N277" s="44" t="str">
        <f t="shared" si="60"/>
        <v>MCSGAST1CPF - Desp. Lazer e Entretenimento - Bares</v>
      </c>
      <c r="O277" s="44" t="str">
        <f t="shared" si="61"/>
        <v>GAST1CPF - Desp. Lazer e Entretenimento - Bares</v>
      </c>
      <c r="P277" s="44" t="str">
        <f t="shared" si="62"/>
        <v>MCSGAST1CPF - Desp. Lazer e Entretenimento - Bares</v>
      </c>
      <c r="Q277" s="44" t="str">
        <f t="shared" si="63"/>
        <v>MCSGAST1</v>
      </c>
      <c r="R277" s="44" t="str">
        <f t="shared" si="64"/>
        <v>MCSGAST1</v>
      </c>
      <c r="S277" s="38"/>
      <c r="T277" s="304">
        <f t="shared" si="65"/>
        <v>46082</v>
      </c>
      <c r="U277" s="304" t="str">
        <f t="shared" si="66"/>
        <v/>
      </c>
      <c r="V277" s="300" t="s">
        <v>761</v>
      </c>
    </row>
    <row r="278" spans="2:22" s="300" customFormat="1" x14ac:dyDescent="0.25">
      <c r="B278" s="301" t="s">
        <v>25</v>
      </c>
      <c r="C278" s="302"/>
      <c r="D278" s="86" t="str">
        <f>INDEX(Cad_Natureza!$B$3:$C$52,MATCH('2026'!F278,Cad_Natureza!$C$3:$C$52,0),MATCH('2026'!D$2,Cad_Natureza!$B$3:$C$3,0))</f>
        <v>GAST1</v>
      </c>
      <c r="E278" s="84" t="s">
        <v>1475</v>
      </c>
      <c r="F278" s="85" t="s">
        <v>742</v>
      </c>
      <c r="G278" s="86" t="s">
        <v>25</v>
      </c>
      <c r="H278" s="87">
        <v>46113</v>
      </c>
      <c r="I278" s="87"/>
      <c r="J278" s="79" t="s">
        <v>185</v>
      </c>
      <c r="K278" s="62">
        <v>-30</v>
      </c>
      <c r="L278" s="62">
        <f t="shared" si="74"/>
        <v>436.07000000000085</v>
      </c>
      <c r="M278" s="302"/>
      <c r="N278" s="44" t="str">
        <f t="shared" si="60"/>
        <v>MCSGAST1CPF - Desp. Lazer e Entretenimento - Bares</v>
      </c>
      <c r="O278" s="44" t="str">
        <f t="shared" si="61"/>
        <v>GAST1CPF - Desp. Lazer e Entretenimento - Bares</v>
      </c>
      <c r="P278" s="44" t="str">
        <f t="shared" si="62"/>
        <v>MCSGAST1CPF - Desp. Lazer e Entretenimento - Bares</v>
      </c>
      <c r="Q278" s="44" t="str">
        <f t="shared" si="63"/>
        <v>MCSGAST1</v>
      </c>
      <c r="R278" s="44" t="str">
        <f t="shared" si="64"/>
        <v>MCSGAST1</v>
      </c>
      <c r="S278" s="38"/>
      <c r="T278" s="304">
        <f t="shared" si="65"/>
        <v>46113</v>
      </c>
      <c r="U278" s="304" t="str">
        <f t="shared" si="66"/>
        <v/>
      </c>
      <c r="V278" s="300" t="s">
        <v>761</v>
      </c>
    </row>
    <row r="279" spans="2:22" s="300" customFormat="1" x14ac:dyDescent="0.25">
      <c r="B279" s="301" t="s">
        <v>25</v>
      </c>
      <c r="C279" s="302"/>
      <c r="D279" s="86" t="str">
        <f>INDEX(Cad_Natureza!$B$3:$C$52,MATCH('2026'!F279,Cad_Natureza!$C$3:$C$52,0),MATCH('2026'!D$2,Cad_Natureza!$B$3:$C$3,0))</f>
        <v>OPF2</v>
      </c>
      <c r="E279" s="84" t="s">
        <v>1476</v>
      </c>
      <c r="F279" s="85" t="s">
        <v>741</v>
      </c>
      <c r="G279" s="86" t="s">
        <v>25</v>
      </c>
      <c r="H279" s="87">
        <v>46114</v>
      </c>
      <c r="I279" s="87"/>
      <c r="J279" s="79" t="s">
        <v>184</v>
      </c>
      <c r="K279" s="62">
        <v>-100</v>
      </c>
      <c r="L279" s="62">
        <f t="shared" si="74"/>
        <v>336.07000000000085</v>
      </c>
      <c r="M279" s="302"/>
      <c r="N279" s="44" t="str">
        <f t="shared" si="60"/>
        <v>MCSOPF2CPF - Desp. Transporte / Combustível</v>
      </c>
      <c r="O279" s="44" t="str">
        <f t="shared" si="61"/>
        <v>OPF2CPF - Desp. Transporte / Combustível</v>
      </c>
      <c r="P279" s="44" t="str">
        <f t="shared" si="62"/>
        <v>MCSOPF2CPF - Desp. Transporte / Combustível</v>
      </c>
      <c r="Q279" s="44" t="str">
        <f t="shared" si="63"/>
        <v>MCSOPF2</v>
      </c>
      <c r="R279" s="44" t="str">
        <f t="shared" si="64"/>
        <v>MCSOPF2</v>
      </c>
      <c r="S279" s="38"/>
      <c r="T279" s="304">
        <f t="shared" si="65"/>
        <v>46113</v>
      </c>
      <c r="U279" s="304" t="str">
        <f t="shared" si="66"/>
        <v/>
      </c>
      <c r="V279" s="300" t="s">
        <v>761</v>
      </c>
    </row>
    <row r="280" spans="2:22" s="300" customFormat="1" x14ac:dyDescent="0.25">
      <c r="B280" s="301" t="s">
        <v>25</v>
      </c>
      <c r="C280" s="302"/>
      <c r="D280" s="86" t="str">
        <f>INDEX(Cad_Natureza!$B$3:$C$52,MATCH('2026'!F280,Cad_Natureza!$C$3:$C$52,0),MATCH('2026'!D$2,Cad_Natureza!$B$3:$C$3,0))</f>
        <v>OPF1</v>
      </c>
      <c r="E280" s="84" t="s">
        <v>1477</v>
      </c>
      <c r="F280" s="85" t="s">
        <v>744</v>
      </c>
      <c r="G280" s="86" t="s">
        <v>25</v>
      </c>
      <c r="H280" s="87">
        <v>46114</v>
      </c>
      <c r="I280" s="87"/>
      <c r="J280" s="79" t="s">
        <v>182</v>
      </c>
      <c r="K280" s="62">
        <v>-24</v>
      </c>
      <c r="L280" s="62">
        <f t="shared" si="74"/>
        <v>312.07000000000085</v>
      </c>
      <c r="M280" s="302"/>
      <c r="N280" s="44" t="str">
        <f t="shared" si="60"/>
        <v>MCSOPF1CPF - Desp. Alimentação / Refeição</v>
      </c>
      <c r="O280" s="44" t="str">
        <f t="shared" si="61"/>
        <v>OPF1CPF - Desp. Alimentação / Refeição</v>
      </c>
      <c r="P280" s="44" t="str">
        <f t="shared" si="62"/>
        <v>MCSOPF1CPF - Desp. Alimentação / Refeição</v>
      </c>
      <c r="Q280" s="44" t="str">
        <f t="shared" si="63"/>
        <v>MCSOPF1</v>
      </c>
      <c r="R280" s="44" t="str">
        <f t="shared" si="64"/>
        <v>MCSOPF1</v>
      </c>
      <c r="S280" s="38"/>
      <c r="T280" s="304">
        <f t="shared" si="65"/>
        <v>46113</v>
      </c>
      <c r="U280" s="304" t="str">
        <f t="shared" si="66"/>
        <v/>
      </c>
      <c r="V280" s="300" t="s">
        <v>761</v>
      </c>
    </row>
    <row r="281" spans="2:22" s="291" customFormat="1" x14ac:dyDescent="0.25">
      <c r="B281" s="288" t="s">
        <v>25</v>
      </c>
      <c r="C281" s="83"/>
      <c r="D281" s="63" t="str">
        <f>INDEX(Cad_Natureza!$B$3:$C$52,MATCH('2026'!F281,Cad_Natureza!$C$3:$C$52,0),MATCH('2026'!D$2,Cad_Natureza!$B$3:$C$3,0))</f>
        <v>REC4</v>
      </c>
      <c r="E281" s="64" t="s">
        <v>1478</v>
      </c>
      <c r="F281" s="65" t="s">
        <v>734</v>
      </c>
      <c r="G281" s="63" t="s">
        <v>25</v>
      </c>
      <c r="H281" s="66">
        <v>46114</v>
      </c>
      <c r="I281" s="66"/>
      <c r="J281" s="67" t="s">
        <v>183</v>
      </c>
      <c r="K281" s="68">
        <v>1000</v>
      </c>
      <c r="L281" s="68">
        <f t="shared" si="74"/>
        <v>1312.0700000000008</v>
      </c>
      <c r="M281" s="83"/>
      <c r="N281" s="44" t="str">
        <f t="shared" si="60"/>
        <v>MCSREC4CPF - Transf. Da conta PJ para a conta PF</v>
      </c>
      <c r="O281" s="44" t="str">
        <f t="shared" si="61"/>
        <v>REC4CPF - Transf. Da conta PJ para a conta PF</v>
      </c>
      <c r="P281" s="44" t="str">
        <f t="shared" si="62"/>
        <v>MCSREC4CPF - Transf. Da conta PJ para a conta PF</v>
      </c>
      <c r="Q281" s="44" t="str">
        <f t="shared" si="63"/>
        <v>MCSREC4</v>
      </c>
      <c r="R281" s="44" t="str">
        <f t="shared" si="64"/>
        <v>MCSREC4</v>
      </c>
      <c r="S281" s="38"/>
      <c r="T281" s="290">
        <f t="shared" si="65"/>
        <v>46113</v>
      </c>
      <c r="U281" s="290" t="str">
        <f t="shared" si="66"/>
        <v/>
      </c>
      <c r="V281" s="291" t="s">
        <v>761</v>
      </c>
    </row>
    <row r="282" spans="2:22" s="300" customFormat="1" x14ac:dyDescent="0.25">
      <c r="B282" s="301" t="s">
        <v>25</v>
      </c>
      <c r="C282" s="302"/>
      <c r="D282" s="86" t="str">
        <f>INDEX(Cad_Natureza!$B$3:$C$52,MATCH('2026'!F282,Cad_Natureza!$C$3:$C$52,0),MATCH('2026'!D$2,Cad_Natureza!$B$3:$C$3,0))</f>
        <v>GAST1</v>
      </c>
      <c r="E282" s="84" t="s">
        <v>1479</v>
      </c>
      <c r="F282" s="85" t="s">
        <v>742</v>
      </c>
      <c r="G282" s="86" t="s">
        <v>25</v>
      </c>
      <c r="H282" s="87">
        <v>46114</v>
      </c>
      <c r="I282" s="87"/>
      <c r="J282" s="79" t="s">
        <v>1590</v>
      </c>
      <c r="K282" s="62">
        <v>-52</v>
      </c>
      <c r="L282" s="62">
        <f t="shared" si="74"/>
        <v>1260.0700000000008</v>
      </c>
      <c r="M282" s="302"/>
      <c r="N282" s="44" t="str">
        <f t="shared" si="60"/>
        <v>MCSGAST1CPF - Desp. Lazer e Entretenimento - Bares</v>
      </c>
      <c r="O282" s="44" t="str">
        <f t="shared" si="61"/>
        <v>GAST1CPF - Desp. Lazer e Entretenimento - Bares</v>
      </c>
      <c r="P282" s="44" t="str">
        <f t="shared" si="62"/>
        <v>MCSGAST1CPF - Desp. Lazer e Entretenimento - Bares</v>
      </c>
      <c r="Q282" s="44" t="str">
        <f t="shared" si="63"/>
        <v>MCSGAST1</v>
      </c>
      <c r="R282" s="44" t="str">
        <f t="shared" si="64"/>
        <v>MCSGAST1</v>
      </c>
      <c r="S282" s="38"/>
      <c r="T282" s="304">
        <f t="shared" si="65"/>
        <v>46113</v>
      </c>
      <c r="U282" s="304" t="str">
        <f t="shared" si="66"/>
        <v/>
      </c>
      <c r="V282" s="300" t="s">
        <v>761</v>
      </c>
    </row>
    <row r="283" spans="2:22" s="300" customFormat="1" x14ac:dyDescent="0.25">
      <c r="B283" s="301" t="s">
        <v>25</v>
      </c>
      <c r="C283" s="302"/>
      <c r="D283" s="86" t="str">
        <f>INDEX(Cad_Natureza!$B$3:$C$52,MATCH('2026'!F283,Cad_Natureza!$C$3:$C$52,0),MATCH('2026'!D$2,Cad_Natureza!$B$3:$C$3,0))</f>
        <v>FIN2</v>
      </c>
      <c r="E283" s="84" t="s">
        <v>1480</v>
      </c>
      <c r="F283" s="85" t="s">
        <v>751</v>
      </c>
      <c r="G283" s="86" t="s">
        <v>25</v>
      </c>
      <c r="H283" s="87">
        <v>46114</v>
      </c>
      <c r="I283" s="87"/>
      <c r="J283" s="79" t="s">
        <v>188</v>
      </c>
      <c r="K283" s="62">
        <v>-28</v>
      </c>
      <c r="L283" s="62">
        <f t="shared" si="74"/>
        <v>1232.0700000000008</v>
      </c>
      <c r="M283" s="302"/>
      <c r="N283" s="44" t="str">
        <f t="shared" si="60"/>
        <v>MCSFIN2CPF - Desp. Financeiras - Juros / Tarifas</v>
      </c>
      <c r="O283" s="44" t="str">
        <f t="shared" si="61"/>
        <v>FIN2CPF - Desp. Financeiras - Juros / Tarifas</v>
      </c>
      <c r="P283" s="44" t="str">
        <f t="shared" si="62"/>
        <v>MCSFIN2CPF - Desp. Financeiras - Juros / Tarifas</v>
      </c>
      <c r="Q283" s="44" t="str">
        <f t="shared" si="63"/>
        <v>MCSFIN2</v>
      </c>
      <c r="R283" s="44" t="str">
        <f t="shared" si="64"/>
        <v>MCSFIN2</v>
      </c>
      <c r="S283" s="38"/>
      <c r="T283" s="304">
        <f t="shared" si="65"/>
        <v>46113</v>
      </c>
      <c r="U283" s="304" t="str">
        <f t="shared" si="66"/>
        <v/>
      </c>
      <c r="V283" s="300" t="s">
        <v>761</v>
      </c>
    </row>
    <row r="284" spans="2:22" s="300" customFormat="1" x14ac:dyDescent="0.25">
      <c r="B284" s="301" t="s">
        <v>25</v>
      </c>
      <c r="C284" s="302"/>
      <c r="D284" s="86" t="str">
        <f>INDEX(Cad_Natureza!$B$3:$C$52,MATCH('2026'!F284,Cad_Natureza!$C$3:$C$52,0),MATCH('2026'!D$2,Cad_Natureza!$B$3:$C$3,0))</f>
        <v>GAST1</v>
      </c>
      <c r="E284" s="84" t="s">
        <v>1479</v>
      </c>
      <c r="F284" s="85" t="s">
        <v>742</v>
      </c>
      <c r="G284" s="86" t="s">
        <v>25</v>
      </c>
      <c r="H284" s="87">
        <v>46114</v>
      </c>
      <c r="I284" s="87"/>
      <c r="J284" s="79" t="s">
        <v>1590</v>
      </c>
      <c r="K284" s="62">
        <v>-116.5</v>
      </c>
      <c r="L284" s="62">
        <f t="shared" si="74"/>
        <v>1115.5700000000008</v>
      </c>
      <c r="M284" s="302"/>
      <c r="N284" s="44" t="str">
        <f t="shared" si="60"/>
        <v>MCSGAST1CPF - Desp. Lazer e Entretenimento - Bares</v>
      </c>
      <c r="O284" s="44" t="str">
        <f t="shared" si="61"/>
        <v>GAST1CPF - Desp. Lazer e Entretenimento - Bares</v>
      </c>
      <c r="P284" s="44" t="str">
        <f t="shared" si="62"/>
        <v>MCSGAST1CPF - Desp. Lazer e Entretenimento - Bares</v>
      </c>
      <c r="Q284" s="44" t="str">
        <f t="shared" si="63"/>
        <v>MCSGAST1</v>
      </c>
      <c r="R284" s="44" t="str">
        <f t="shared" si="64"/>
        <v>MCSGAST1</v>
      </c>
      <c r="S284" s="38"/>
      <c r="T284" s="304">
        <f t="shared" si="65"/>
        <v>46113</v>
      </c>
      <c r="U284" s="304" t="str">
        <f t="shared" si="66"/>
        <v/>
      </c>
      <c r="V284" s="300" t="s">
        <v>731</v>
      </c>
    </row>
    <row r="285" spans="2:22" s="300" customFormat="1" x14ac:dyDescent="0.25">
      <c r="B285" s="301" t="s">
        <v>25</v>
      </c>
      <c r="C285" s="302"/>
      <c r="D285" s="86" t="str">
        <f>INDEX(Cad_Natureza!$B$3:$C$52,MATCH('2026'!F285,Cad_Natureza!$C$3:$C$52,0),MATCH('2026'!D$2,Cad_Natureza!$B$3:$C$3,0))</f>
        <v>OUG1</v>
      </c>
      <c r="E285" s="84" t="s">
        <v>1481</v>
      </c>
      <c r="F285" s="85" t="s">
        <v>748</v>
      </c>
      <c r="G285" s="86" t="s">
        <v>25</v>
      </c>
      <c r="H285" s="87">
        <v>46118</v>
      </c>
      <c r="I285" s="87"/>
      <c r="J285" s="79" t="s">
        <v>1591</v>
      </c>
      <c r="K285" s="62">
        <v>-189.98</v>
      </c>
      <c r="L285" s="62">
        <f t="shared" si="74"/>
        <v>925.59000000000083</v>
      </c>
      <c r="M285" s="302"/>
      <c r="N285" s="44" t="str">
        <f t="shared" si="60"/>
        <v>MCSOUG1CPF - Outros gastos</v>
      </c>
      <c r="O285" s="44" t="str">
        <f t="shared" si="61"/>
        <v>OUG1CPF - Outros gastos</v>
      </c>
      <c r="P285" s="44" t="str">
        <f t="shared" si="62"/>
        <v>MCSOUG1CPF - Outros gastos</v>
      </c>
      <c r="Q285" s="44" t="str">
        <f t="shared" si="63"/>
        <v>MCSOUG1</v>
      </c>
      <c r="R285" s="44" t="str">
        <f t="shared" si="64"/>
        <v>MCSOUG1</v>
      </c>
      <c r="S285" s="38"/>
      <c r="T285" s="304">
        <f t="shared" si="65"/>
        <v>46113</v>
      </c>
      <c r="U285" s="304" t="str">
        <f t="shared" si="66"/>
        <v/>
      </c>
      <c r="V285" s="300" t="s">
        <v>731</v>
      </c>
    </row>
    <row r="286" spans="2:22" s="300" customFormat="1" x14ac:dyDescent="0.25">
      <c r="B286" s="301" t="s">
        <v>25</v>
      </c>
      <c r="C286" s="302"/>
      <c r="D286" s="86" t="str">
        <f>INDEX(Cad_Natureza!$B$3:$C$52,MATCH('2026'!F286,Cad_Natureza!$C$3:$C$52,0),MATCH('2026'!D$2,Cad_Natureza!$B$3:$C$3,0))</f>
        <v>GAST1</v>
      </c>
      <c r="E286" s="84" t="s">
        <v>1482</v>
      </c>
      <c r="F286" s="85" t="s">
        <v>742</v>
      </c>
      <c r="G286" s="86" t="s">
        <v>25</v>
      </c>
      <c r="H286" s="87">
        <v>46118</v>
      </c>
      <c r="I286" s="87"/>
      <c r="J286" s="79" t="s">
        <v>185</v>
      </c>
      <c r="K286" s="62">
        <v>-69</v>
      </c>
      <c r="L286" s="62">
        <f t="shared" si="74"/>
        <v>856.59000000000083</v>
      </c>
      <c r="M286" s="302"/>
      <c r="N286" s="44" t="str">
        <f t="shared" ref="N286:N315" si="75">B286&amp;D286&amp;F286</f>
        <v>MCSGAST1CPF - Desp. Lazer e Entretenimento - Bares</v>
      </c>
      <c r="O286" s="44" t="str">
        <f t="shared" ref="O286:O315" si="76">D286&amp;F286</f>
        <v>GAST1CPF - Desp. Lazer e Entretenimento - Bares</v>
      </c>
      <c r="P286" s="44" t="str">
        <f t="shared" ref="P286:P315" si="77">"MCS"&amp;D286&amp;F286</f>
        <v>MCSGAST1CPF - Desp. Lazer e Entretenimento - Bares</v>
      </c>
      <c r="Q286" s="44" t="str">
        <f t="shared" ref="Q286:Q315" si="78">"MCS"&amp;D286</f>
        <v>MCSGAST1</v>
      </c>
      <c r="R286" s="44" t="str">
        <f t="shared" ref="R286:R315" si="79">B286&amp;D286</f>
        <v>MCSGAST1</v>
      </c>
      <c r="S286" s="38"/>
      <c r="T286" s="304">
        <f t="shared" ref="T286:T315" si="80">(1&amp;"/"&amp;MONTH(H286)&amp;"/"&amp;YEAR(H286))*1</f>
        <v>46113</v>
      </c>
      <c r="U286" s="304" t="str">
        <f t="shared" ref="U286:U315" si="81">IF(I286="","",(1&amp;"/"&amp;MONTH(I286)&amp;"/"&amp;YEAR(I286))*1)</f>
        <v/>
      </c>
      <c r="V286" s="300" t="s">
        <v>761</v>
      </c>
    </row>
    <row r="287" spans="2:22" s="300" customFormat="1" x14ac:dyDescent="0.25">
      <c r="B287" s="301" t="s">
        <v>25</v>
      </c>
      <c r="C287" s="302"/>
      <c r="D287" s="86" t="str">
        <f>INDEX(Cad_Natureza!$B$3:$C$52,MATCH('2026'!F287,Cad_Natureza!$C$3:$C$52,0),MATCH('2026'!D$2,Cad_Natureza!$B$3:$C$3,0))</f>
        <v>DESP2</v>
      </c>
      <c r="E287" s="84" t="s">
        <v>1483</v>
      </c>
      <c r="F287" s="85" t="s">
        <v>739</v>
      </c>
      <c r="G287" s="86" t="s">
        <v>25</v>
      </c>
      <c r="H287" s="87">
        <v>46118</v>
      </c>
      <c r="I287" s="87"/>
      <c r="J287" s="79" t="s">
        <v>1592</v>
      </c>
      <c r="K287" s="62">
        <v>-125.21</v>
      </c>
      <c r="L287" s="62">
        <f t="shared" si="74"/>
        <v>731.38000000000079</v>
      </c>
      <c r="M287" s="302"/>
      <c r="N287" s="44" t="str">
        <f t="shared" si="75"/>
        <v>MCSDESP2CPF - Desp. Telefone / Internet</v>
      </c>
      <c r="O287" s="44" t="str">
        <f t="shared" si="76"/>
        <v>DESP2CPF - Desp. Telefone / Internet</v>
      </c>
      <c r="P287" s="44" t="str">
        <f t="shared" si="77"/>
        <v>MCSDESP2CPF - Desp. Telefone / Internet</v>
      </c>
      <c r="Q287" s="44" t="str">
        <f t="shared" si="78"/>
        <v>MCSDESP2</v>
      </c>
      <c r="R287" s="44" t="str">
        <f t="shared" si="79"/>
        <v>MCSDESP2</v>
      </c>
      <c r="S287" s="38"/>
      <c r="T287" s="304">
        <f t="shared" si="80"/>
        <v>46113</v>
      </c>
      <c r="U287" s="304" t="str">
        <f t="shared" si="81"/>
        <v/>
      </c>
      <c r="V287" s="300" t="s">
        <v>761</v>
      </c>
    </row>
    <row r="288" spans="2:22" s="300" customFormat="1" x14ac:dyDescent="0.25">
      <c r="B288" s="301" t="s">
        <v>25</v>
      </c>
      <c r="C288" s="302"/>
      <c r="D288" s="86" t="str">
        <f>INDEX(Cad_Natureza!$B$3:$C$52,MATCH('2026'!F288,Cad_Natureza!$C$3:$C$52,0),MATCH('2026'!D$2,Cad_Natureza!$B$3:$C$3,0))</f>
        <v>OUG1</v>
      </c>
      <c r="E288" s="84" t="s">
        <v>1484</v>
      </c>
      <c r="F288" s="85" t="s">
        <v>748</v>
      </c>
      <c r="G288" s="86" t="s">
        <v>25</v>
      </c>
      <c r="H288" s="87">
        <v>46118</v>
      </c>
      <c r="I288" s="87"/>
      <c r="J288" s="79" t="s">
        <v>1593</v>
      </c>
      <c r="K288" s="62">
        <v>-59.99</v>
      </c>
      <c r="L288" s="62">
        <f t="shared" si="74"/>
        <v>671.39000000000078</v>
      </c>
      <c r="M288" s="302"/>
      <c r="N288" s="44" t="str">
        <f t="shared" si="75"/>
        <v>MCSOUG1CPF - Outros gastos</v>
      </c>
      <c r="O288" s="44" t="str">
        <f t="shared" si="76"/>
        <v>OUG1CPF - Outros gastos</v>
      </c>
      <c r="P288" s="44" t="str">
        <f t="shared" si="77"/>
        <v>MCSOUG1CPF - Outros gastos</v>
      </c>
      <c r="Q288" s="44" t="str">
        <f t="shared" si="78"/>
        <v>MCSOUG1</v>
      </c>
      <c r="R288" s="44" t="str">
        <f t="shared" si="79"/>
        <v>MCSOUG1</v>
      </c>
      <c r="S288" s="38"/>
      <c r="T288" s="304">
        <f t="shared" si="80"/>
        <v>46113</v>
      </c>
      <c r="U288" s="304" t="str">
        <f t="shared" si="81"/>
        <v/>
      </c>
      <c r="V288" s="300" t="s">
        <v>761</v>
      </c>
    </row>
    <row r="289" spans="2:22" s="300" customFormat="1" x14ac:dyDescent="0.25">
      <c r="B289" s="301" t="s">
        <v>25</v>
      </c>
      <c r="C289" s="302"/>
      <c r="D289" s="86" t="str">
        <f>INDEX(Cad_Natureza!$B$3:$C$52,MATCH('2026'!F289,Cad_Natureza!$C$3:$C$52,0),MATCH('2026'!D$2,Cad_Natureza!$B$3:$C$3,0))</f>
        <v>OUG1</v>
      </c>
      <c r="E289" s="84" t="s">
        <v>1485</v>
      </c>
      <c r="F289" s="85" t="s">
        <v>748</v>
      </c>
      <c r="G289" s="86" t="s">
        <v>25</v>
      </c>
      <c r="H289" s="87">
        <v>46118</v>
      </c>
      <c r="I289" s="87"/>
      <c r="J289" s="79" t="s">
        <v>1593</v>
      </c>
      <c r="K289" s="62">
        <v>-45.79</v>
      </c>
      <c r="L289" s="62">
        <f t="shared" si="74"/>
        <v>625.60000000000082</v>
      </c>
      <c r="M289" s="302"/>
      <c r="N289" s="44" t="str">
        <f t="shared" si="75"/>
        <v>MCSOUG1CPF - Outros gastos</v>
      </c>
      <c r="O289" s="44" t="str">
        <f t="shared" si="76"/>
        <v>OUG1CPF - Outros gastos</v>
      </c>
      <c r="P289" s="44" t="str">
        <f t="shared" si="77"/>
        <v>MCSOUG1CPF - Outros gastos</v>
      </c>
      <c r="Q289" s="44" t="str">
        <f t="shared" si="78"/>
        <v>MCSOUG1</v>
      </c>
      <c r="R289" s="44" t="str">
        <f t="shared" si="79"/>
        <v>MCSOUG1</v>
      </c>
      <c r="S289" s="38"/>
      <c r="T289" s="304">
        <f t="shared" si="80"/>
        <v>46113</v>
      </c>
      <c r="U289" s="304" t="str">
        <f t="shared" si="81"/>
        <v/>
      </c>
      <c r="V289" s="300" t="s">
        <v>761</v>
      </c>
    </row>
    <row r="290" spans="2:22" s="300" customFormat="1" x14ac:dyDescent="0.25">
      <c r="B290" s="301" t="s">
        <v>25</v>
      </c>
      <c r="C290" s="302"/>
      <c r="D290" s="86" t="str">
        <f>INDEX(Cad_Natureza!$B$3:$C$52,MATCH('2026'!F290,Cad_Natureza!$C$3:$C$52,0),MATCH('2026'!D$2,Cad_Natureza!$B$3:$C$3,0))</f>
        <v>OUG1</v>
      </c>
      <c r="E290" s="84" t="s">
        <v>1486</v>
      </c>
      <c r="F290" s="85" t="s">
        <v>748</v>
      </c>
      <c r="G290" s="86" t="s">
        <v>25</v>
      </c>
      <c r="H290" s="87">
        <v>46118</v>
      </c>
      <c r="I290" s="87"/>
      <c r="J290" s="79" t="s">
        <v>1593</v>
      </c>
      <c r="K290" s="62">
        <v>-110.38</v>
      </c>
      <c r="L290" s="62">
        <f t="shared" si="74"/>
        <v>515.22000000000082</v>
      </c>
      <c r="M290" s="302"/>
      <c r="N290" s="44" t="str">
        <f t="shared" si="75"/>
        <v>MCSOUG1CPF - Outros gastos</v>
      </c>
      <c r="O290" s="44" t="str">
        <f t="shared" si="76"/>
        <v>OUG1CPF - Outros gastos</v>
      </c>
      <c r="P290" s="44" t="str">
        <f t="shared" si="77"/>
        <v>MCSOUG1CPF - Outros gastos</v>
      </c>
      <c r="Q290" s="44" t="str">
        <f t="shared" si="78"/>
        <v>MCSOUG1</v>
      </c>
      <c r="R290" s="44" t="str">
        <f t="shared" si="79"/>
        <v>MCSOUG1</v>
      </c>
      <c r="S290" s="38"/>
      <c r="T290" s="304">
        <f t="shared" si="80"/>
        <v>46113</v>
      </c>
      <c r="U290" s="304" t="str">
        <f t="shared" si="81"/>
        <v/>
      </c>
      <c r="V290" s="300" t="s">
        <v>731</v>
      </c>
    </row>
    <row r="291" spans="2:22" s="300" customFormat="1" x14ac:dyDescent="0.25">
      <c r="B291" s="301" t="s">
        <v>25</v>
      </c>
      <c r="C291" s="302"/>
      <c r="D291" s="86" t="str">
        <f>INDEX(Cad_Natureza!$B$3:$C$52,MATCH('2026'!F291,Cad_Natureza!$C$3:$C$52,0),MATCH('2026'!D$2,Cad_Natureza!$B$3:$C$3,0))</f>
        <v>OPF2</v>
      </c>
      <c r="E291" s="84" t="s">
        <v>1487</v>
      </c>
      <c r="F291" s="85" t="s">
        <v>741</v>
      </c>
      <c r="G291" s="86" t="s">
        <v>25</v>
      </c>
      <c r="H291" s="87">
        <v>46118</v>
      </c>
      <c r="I291" s="87"/>
      <c r="J291" s="79" t="s">
        <v>184</v>
      </c>
      <c r="K291" s="62">
        <v>-80</v>
      </c>
      <c r="L291" s="62">
        <f t="shared" si="74"/>
        <v>435.22000000000082</v>
      </c>
      <c r="M291" s="302"/>
      <c r="N291" s="44" t="str">
        <f t="shared" si="75"/>
        <v>MCSOPF2CPF - Desp. Transporte / Combustível</v>
      </c>
      <c r="O291" s="44" t="str">
        <f t="shared" si="76"/>
        <v>OPF2CPF - Desp. Transporte / Combustível</v>
      </c>
      <c r="P291" s="44" t="str">
        <f t="shared" si="77"/>
        <v>MCSOPF2CPF - Desp. Transporte / Combustível</v>
      </c>
      <c r="Q291" s="44" t="str">
        <f t="shared" si="78"/>
        <v>MCSOPF2</v>
      </c>
      <c r="R291" s="44" t="str">
        <f t="shared" si="79"/>
        <v>MCSOPF2</v>
      </c>
      <c r="S291" s="38"/>
      <c r="T291" s="304">
        <f t="shared" si="80"/>
        <v>46113</v>
      </c>
      <c r="U291" s="304" t="str">
        <f t="shared" si="81"/>
        <v/>
      </c>
      <c r="V291" s="300" t="s">
        <v>731</v>
      </c>
    </row>
    <row r="292" spans="2:22" s="300" customFormat="1" x14ac:dyDescent="0.25">
      <c r="B292" s="301" t="s">
        <v>25</v>
      </c>
      <c r="C292" s="302"/>
      <c r="D292" s="86" t="str">
        <f>INDEX(Cad_Natureza!$B$3:$C$52,MATCH('2026'!F292,Cad_Natureza!$C$3:$C$52,0),MATCH('2026'!D$2,Cad_Natureza!$B$3:$C$3,0))</f>
        <v>GAST1</v>
      </c>
      <c r="E292" s="84" t="s">
        <v>1488</v>
      </c>
      <c r="F292" s="85" t="s">
        <v>742</v>
      </c>
      <c r="G292" s="86" t="s">
        <v>25</v>
      </c>
      <c r="H292" s="87">
        <v>46118</v>
      </c>
      <c r="I292" s="87"/>
      <c r="J292" s="79" t="s">
        <v>1590</v>
      </c>
      <c r="K292" s="62">
        <v>-26</v>
      </c>
      <c r="L292" s="62">
        <f t="shared" si="74"/>
        <v>409.22000000000082</v>
      </c>
      <c r="M292" s="302"/>
      <c r="N292" s="44" t="str">
        <f t="shared" si="75"/>
        <v>MCSGAST1CPF - Desp. Lazer e Entretenimento - Bares</v>
      </c>
      <c r="O292" s="44" t="str">
        <f t="shared" si="76"/>
        <v>GAST1CPF - Desp. Lazer e Entretenimento - Bares</v>
      </c>
      <c r="P292" s="44" t="str">
        <f t="shared" si="77"/>
        <v>MCSGAST1CPF - Desp. Lazer e Entretenimento - Bares</v>
      </c>
      <c r="Q292" s="44" t="str">
        <f t="shared" si="78"/>
        <v>MCSGAST1</v>
      </c>
      <c r="R292" s="44" t="str">
        <f t="shared" si="79"/>
        <v>MCSGAST1</v>
      </c>
      <c r="S292" s="38"/>
      <c r="T292" s="304">
        <f t="shared" si="80"/>
        <v>46113</v>
      </c>
      <c r="U292" s="304" t="str">
        <f t="shared" si="81"/>
        <v/>
      </c>
      <c r="V292" s="300" t="s">
        <v>761</v>
      </c>
    </row>
    <row r="293" spans="2:22" s="300" customFormat="1" x14ac:dyDescent="0.25">
      <c r="B293" s="301" t="s">
        <v>25</v>
      </c>
      <c r="C293" s="302"/>
      <c r="D293" s="86" t="str">
        <f>INDEX(Cad_Natureza!$B$3:$C$52,MATCH('2026'!F293,Cad_Natureza!$C$3:$C$52,0),MATCH('2026'!D$2,Cad_Natureza!$B$3:$C$3,0))</f>
        <v>GAST1</v>
      </c>
      <c r="E293" s="84" t="s">
        <v>1489</v>
      </c>
      <c r="F293" s="85" t="s">
        <v>742</v>
      </c>
      <c r="G293" s="86" t="s">
        <v>25</v>
      </c>
      <c r="H293" s="87">
        <v>46118</v>
      </c>
      <c r="I293" s="87"/>
      <c r="J293" s="79" t="s">
        <v>185</v>
      </c>
      <c r="K293" s="62">
        <v>-20</v>
      </c>
      <c r="L293" s="62">
        <f t="shared" si="74"/>
        <v>389.22000000000082</v>
      </c>
      <c r="M293" s="302"/>
      <c r="N293" s="44" t="str">
        <f t="shared" si="75"/>
        <v>MCSGAST1CPF - Desp. Lazer e Entretenimento - Bares</v>
      </c>
      <c r="O293" s="44" t="str">
        <f t="shared" si="76"/>
        <v>GAST1CPF - Desp. Lazer e Entretenimento - Bares</v>
      </c>
      <c r="P293" s="44" t="str">
        <f t="shared" si="77"/>
        <v>MCSGAST1CPF - Desp. Lazer e Entretenimento - Bares</v>
      </c>
      <c r="Q293" s="44" t="str">
        <f t="shared" si="78"/>
        <v>MCSGAST1</v>
      </c>
      <c r="R293" s="44" t="str">
        <f t="shared" si="79"/>
        <v>MCSGAST1</v>
      </c>
      <c r="S293" s="38"/>
      <c r="T293" s="304">
        <f t="shared" si="80"/>
        <v>46113</v>
      </c>
      <c r="U293" s="304" t="str">
        <f t="shared" si="81"/>
        <v/>
      </c>
      <c r="V293" s="300" t="s">
        <v>761</v>
      </c>
    </row>
    <row r="294" spans="2:22" s="300" customFormat="1" x14ac:dyDescent="0.25">
      <c r="B294" s="301" t="s">
        <v>25</v>
      </c>
      <c r="C294" s="302"/>
      <c r="D294" s="86" t="str">
        <f>INDEX(Cad_Natureza!$B$3:$C$52,MATCH('2026'!F294,Cad_Natureza!$C$3:$C$52,0),MATCH('2026'!D$2,Cad_Natureza!$B$3:$C$3,0))</f>
        <v>GAST1</v>
      </c>
      <c r="E294" s="84" t="s">
        <v>1490</v>
      </c>
      <c r="F294" s="85" t="s">
        <v>742</v>
      </c>
      <c r="G294" s="86" t="s">
        <v>25</v>
      </c>
      <c r="H294" s="87">
        <v>46118</v>
      </c>
      <c r="I294" s="87"/>
      <c r="J294" s="79" t="s">
        <v>185</v>
      </c>
      <c r="K294" s="62">
        <v>-50</v>
      </c>
      <c r="L294" s="62">
        <f t="shared" si="74"/>
        <v>339.22000000000082</v>
      </c>
      <c r="M294" s="302"/>
      <c r="N294" s="44" t="str">
        <f t="shared" si="75"/>
        <v>MCSGAST1CPF - Desp. Lazer e Entretenimento - Bares</v>
      </c>
      <c r="O294" s="44" t="str">
        <f t="shared" si="76"/>
        <v>GAST1CPF - Desp. Lazer e Entretenimento - Bares</v>
      </c>
      <c r="P294" s="44" t="str">
        <f t="shared" si="77"/>
        <v>MCSGAST1CPF - Desp. Lazer e Entretenimento - Bares</v>
      </c>
      <c r="Q294" s="44" t="str">
        <f t="shared" si="78"/>
        <v>MCSGAST1</v>
      </c>
      <c r="R294" s="44" t="str">
        <f t="shared" si="79"/>
        <v>MCSGAST1</v>
      </c>
      <c r="S294" s="38"/>
      <c r="T294" s="304">
        <f t="shared" si="80"/>
        <v>46113</v>
      </c>
      <c r="U294" s="304" t="str">
        <f t="shared" si="81"/>
        <v/>
      </c>
      <c r="V294" s="300" t="s">
        <v>761</v>
      </c>
    </row>
    <row r="295" spans="2:22" s="300" customFormat="1" x14ac:dyDescent="0.25">
      <c r="B295" s="301" t="s">
        <v>25</v>
      </c>
      <c r="C295" s="302"/>
      <c r="D295" s="86" t="str">
        <f>INDEX(Cad_Natureza!$B$3:$C$52,MATCH('2026'!F295,Cad_Natureza!$C$3:$C$52,0),MATCH('2026'!D$2,Cad_Natureza!$B$3:$C$3,0))</f>
        <v>GAST1</v>
      </c>
      <c r="E295" s="84" t="s">
        <v>1490</v>
      </c>
      <c r="F295" s="85" t="s">
        <v>742</v>
      </c>
      <c r="G295" s="86" t="s">
        <v>25</v>
      </c>
      <c r="H295" s="87">
        <v>46118</v>
      </c>
      <c r="I295" s="87"/>
      <c r="J295" s="79" t="s">
        <v>185</v>
      </c>
      <c r="K295" s="62">
        <v>-39</v>
      </c>
      <c r="L295" s="62">
        <f t="shared" si="74"/>
        <v>300.22000000000082</v>
      </c>
      <c r="M295" s="302"/>
      <c r="N295" s="44" t="str">
        <f t="shared" si="75"/>
        <v>MCSGAST1CPF - Desp. Lazer e Entretenimento - Bares</v>
      </c>
      <c r="O295" s="44" t="str">
        <f t="shared" si="76"/>
        <v>GAST1CPF - Desp. Lazer e Entretenimento - Bares</v>
      </c>
      <c r="P295" s="44" t="str">
        <f t="shared" si="77"/>
        <v>MCSGAST1CPF - Desp. Lazer e Entretenimento - Bares</v>
      </c>
      <c r="Q295" s="44" t="str">
        <f t="shared" si="78"/>
        <v>MCSGAST1</v>
      </c>
      <c r="R295" s="44" t="str">
        <f t="shared" si="79"/>
        <v>MCSGAST1</v>
      </c>
      <c r="S295" s="38"/>
      <c r="T295" s="304">
        <f t="shared" si="80"/>
        <v>46113</v>
      </c>
      <c r="U295" s="304" t="str">
        <f t="shared" si="81"/>
        <v/>
      </c>
      <c r="V295" s="300" t="s">
        <v>761</v>
      </c>
    </row>
    <row r="296" spans="2:22" s="300" customFormat="1" x14ac:dyDescent="0.25">
      <c r="B296" s="301" t="s">
        <v>25</v>
      </c>
      <c r="C296" s="302"/>
      <c r="D296" s="86" t="str">
        <f>INDEX(Cad_Natureza!$B$3:$C$52,MATCH('2026'!F296,Cad_Natureza!$C$3:$C$52,0),MATCH('2026'!D$2,Cad_Natureza!$B$3:$C$3,0))</f>
        <v>DESP4</v>
      </c>
      <c r="E296" s="84" t="s">
        <v>1491</v>
      </c>
      <c r="F296" s="85" t="s">
        <v>753</v>
      </c>
      <c r="G296" s="86" t="s">
        <v>25</v>
      </c>
      <c r="H296" s="87">
        <v>46118</v>
      </c>
      <c r="I296" s="87"/>
      <c r="J296" s="79" t="s">
        <v>1330</v>
      </c>
      <c r="K296" s="62">
        <v>-300</v>
      </c>
      <c r="L296" s="62">
        <f t="shared" si="74"/>
        <v>0.22000000000082309</v>
      </c>
      <c r="M296" s="302"/>
      <c r="N296" s="44" t="str">
        <f t="shared" si="75"/>
        <v>MCSDESP4CPF - Desp. Moradia</v>
      </c>
      <c r="O296" s="44" t="str">
        <f t="shared" si="76"/>
        <v>DESP4CPF - Desp. Moradia</v>
      </c>
      <c r="P296" s="44" t="str">
        <f t="shared" si="77"/>
        <v>MCSDESP4CPF - Desp. Moradia</v>
      </c>
      <c r="Q296" s="44" t="str">
        <f t="shared" si="78"/>
        <v>MCSDESP4</v>
      </c>
      <c r="R296" s="44" t="str">
        <f t="shared" si="79"/>
        <v>MCSDESP4</v>
      </c>
      <c r="S296" s="38"/>
      <c r="T296" s="304">
        <f t="shared" si="80"/>
        <v>46113</v>
      </c>
      <c r="U296" s="304" t="str">
        <f t="shared" si="81"/>
        <v/>
      </c>
      <c r="V296" s="300" t="s">
        <v>761</v>
      </c>
    </row>
    <row r="297" spans="2:22" s="291" customFormat="1" x14ac:dyDescent="0.25">
      <c r="B297" s="288" t="s">
        <v>25</v>
      </c>
      <c r="C297" s="83"/>
      <c r="D297" s="63" t="str">
        <f>INDEX(Cad_Natureza!$B$3:$C$52,MATCH('2026'!F297,Cad_Natureza!$C$3:$C$52,0),MATCH('2026'!D$2,Cad_Natureza!$B$3:$C$3,0))</f>
        <v>REC4</v>
      </c>
      <c r="E297" s="64" t="s">
        <v>1492</v>
      </c>
      <c r="F297" s="65" t="s">
        <v>734</v>
      </c>
      <c r="G297" s="63" t="s">
        <v>25</v>
      </c>
      <c r="H297" s="66">
        <v>46118</v>
      </c>
      <c r="I297" s="66"/>
      <c r="J297" s="67" t="s">
        <v>183</v>
      </c>
      <c r="K297" s="68">
        <v>1000</v>
      </c>
      <c r="L297" s="68">
        <f t="shared" si="74"/>
        <v>1000.2200000000008</v>
      </c>
      <c r="M297" s="83"/>
      <c r="N297" s="44" t="str">
        <f t="shared" si="75"/>
        <v>MCSREC4CPF - Transf. Da conta PJ para a conta PF</v>
      </c>
      <c r="O297" s="44" t="str">
        <f t="shared" si="76"/>
        <v>REC4CPF - Transf. Da conta PJ para a conta PF</v>
      </c>
      <c r="P297" s="44" t="str">
        <f t="shared" si="77"/>
        <v>MCSREC4CPF - Transf. Da conta PJ para a conta PF</v>
      </c>
      <c r="Q297" s="44" t="str">
        <f t="shared" si="78"/>
        <v>MCSREC4</v>
      </c>
      <c r="R297" s="44" t="str">
        <f t="shared" si="79"/>
        <v>MCSREC4</v>
      </c>
      <c r="S297" s="38"/>
      <c r="T297" s="290">
        <f t="shared" si="80"/>
        <v>46113</v>
      </c>
      <c r="U297" s="290" t="str">
        <f t="shared" si="81"/>
        <v/>
      </c>
      <c r="V297" s="291" t="s">
        <v>761</v>
      </c>
    </row>
    <row r="298" spans="2:22" s="300" customFormat="1" x14ac:dyDescent="0.25">
      <c r="B298" s="301" t="s">
        <v>25</v>
      </c>
      <c r="C298" s="302"/>
      <c r="D298" s="86" t="str">
        <f>INDEX(Cad_Natureza!$B$3:$C$52,MATCH('2026'!F298,Cad_Natureza!$C$3:$C$52,0),MATCH('2026'!D$2,Cad_Natureza!$B$3:$C$3,0))</f>
        <v>OUG1</v>
      </c>
      <c r="E298" s="84" t="s">
        <v>1493</v>
      </c>
      <c r="F298" s="85" t="s">
        <v>748</v>
      </c>
      <c r="G298" s="86" t="s">
        <v>25</v>
      </c>
      <c r="H298" s="87">
        <v>46118</v>
      </c>
      <c r="I298" s="87"/>
      <c r="J298" s="79" t="s">
        <v>1594</v>
      </c>
      <c r="K298" s="62">
        <v>-25</v>
      </c>
      <c r="L298" s="62">
        <f t="shared" si="74"/>
        <v>975.22000000000082</v>
      </c>
      <c r="M298" s="302"/>
      <c r="N298" s="44" t="str">
        <f t="shared" si="75"/>
        <v>MCSOUG1CPF - Outros gastos</v>
      </c>
      <c r="O298" s="44" t="str">
        <f t="shared" si="76"/>
        <v>OUG1CPF - Outros gastos</v>
      </c>
      <c r="P298" s="44" t="str">
        <f t="shared" si="77"/>
        <v>MCSOUG1CPF - Outros gastos</v>
      </c>
      <c r="Q298" s="44" t="str">
        <f t="shared" si="78"/>
        <v>MCSOUG1</v>
      </c>
      <c r="R298" s="44" t="str">
        <f t="shared" si="79"/>
        <v>MCSOUG1</v>
      </c>
      <c r="S298" s="38"/>
      <c r="T298" s="304">
        <f t="shared" si="80"/>
        <v>46113</v>
      </c>
      <c r="U298" s="304" t="str">
        <f t="shared" si="81"/>
        <v/>
      </c>
      <c r="V298" s="300" t="s">
        <v>761</v>
      </c>
    </row>
    <row r="299" spans="2:22" s="300" customFormat="1" x14ac:dyDescent="0.25">
      <c r="B299" s="301" t="s">
        <v>25</v>
      </c>
      <c r="C299" s="302"/>
      <c r="D299" s="86" t="str">
        <f>INDEX(Cad_Natureza!$B$3:$C$52,MATCH('2026'!F299,Cad_Natureza!$C$3:$C$52,0),MATCH('2026'!D$2,Cad_Natureza!$B$3:$C$3,0))</f>
        <v>GAST2</v>
      </c>
      <c r="E299" s="84" t="s">
        <v>1494</v>
      </c>
      <c r="F299" s="85" t="s">
        <v>743</v>
      </c>
      <c r="G299" s="86" t="s">
        <v>25</v>
      </c>
      <c r="H299" s="87">
        <v>46118</v>
      </c>
      <c r="I299" s="87"/>
      <c r="J299" s="79" t="s">
        <v>180</v>
      </c>
      <c r="K299" s="62">
        <v>-35</v>
      </c>
      <c r="L299" s="62">
        <f t="shared" si="74"/>
        <v>940.22000000000082</v>
      </c>
      <c r="M299" s="302"/>
      <c r="N299" s="44" t="str">
        <f t="shared" si="75"/>
        <v>MCSGAST2CPF - Desp. Lazer e Entretenimento - Cigarro</v>
      </c>
      <c r="O299" s="44" t="str">
        <f t="shared" si="76"/>
        <v>GAST2CPF - Desp. Lazer e Entretenimento - Cigarro</v>
      </c>
      <c r="P299" s="44" t="str">
        <f t="shared" si="77"/>
        <v>MCSGAST2CPF - Desp. Lazer e Entretenimento - Cigarro</v>
      </c>
      <c r="Q299" s="44" t="str">
        <f t="shared" si="78"/>
        <v>MCSGAST2</v>
      </c>
      <c r="R299" s="44" t="str">
        <f t="shared" si="79"/>
        <v>MCSGAST2</v>
      </c>
      <c r="S299" s="38"/>
      <c r="T299" s="304">
        <f t="shared" si="80"/>
        <v>46113</v>
      </c>
      <c r="U299" s="304" t="str">
        <f t="shared" si="81"/>
        <v/>
      </c>
      <c r="V299" s="300" t="s">
        <v>731</v>
      </c>
    </row>
    <row r="300" spans="2:22" s="300" customFormat="1" x14ac:dyDescent="0.25">
      <c r="B300" s="301" t="s">
        <v>25</v>
      </c>
      <c r="C300" s="302"/>
      <c r="D300" s="86" t="str">
        <f>INDEX(Cad_Natureza!$B$3:$C$52,MATCH('2026'!F300,Cad_Natureza!$C$3:$C$52,0),MATCH('2026'!D$2,Cad_Natureza!$B$3:$C$3,0))</f>
        <v>GAST1</v>
      </c>
      <c r="E300" s="84" t="s">
        <v>1495</v>
      </c>
      <c r="F300" s="85" t="s">
        <v>742</v>
      </c>
      <c r="G300" s="86" t="s">
        <v>25</v>
      </c>
      <c r="H300" s="87">
        <v>46118</v>
      </c>
      <c r="I300" s="87"/>
      <c r="J300" s="79" t="s">
        <v>1595</v>
      </c>
      <c r="K300" s="62">
        <v>-5.5</v>
      </c>
      <c r="L300" s="62">
        <f t="shared" si="74"/>
        <v>934.72000000000082</v>
      </c>
      <c r="M300" s="302"/>
      <c r="N300" s="44" t="str">
        <f t="shared" si="75"/>
        <v>MCSGAST1CPF - Desp. Lazer e Entretenimento - Bares</v>
      </c>
      <c r="O300" s="44" t="str">
        <f t="shared" si="76"/>
        <v>GAST1CPF - Desp. Lazer e Entretenimento - Bares</v>
      </c>
      <c r="P300" s="44" t="str">
        <f t="shared" si="77"/>
        <v>MCSGAST1CPF - Desp. Lazer e Entretenimento - Bares</v>
      </c>
      <c r="Q300" s="44" t="str">
        <f t="shared" si="78"/>
        <v>MCSGAST1</v>
      </c>
      <c r="R300" s="44" t="str">
        <f t="shared" si="79"/>
        <v>MCSGAST1</v>
      </c>
      <c r="S300" s="38"/>
      <c r="T300" s="304">
        <f t="shared" si="80"/>
        <v>46113</v>
      </c>
      <c r="U300" s="304" t="str">
        <f t="shared" si="81"/>
        <v/>
      </c>
      <c r="V300" s="300" t="s">
        <v>731</v>
      </c>
    </row>
    <row r="301" spans="2:22" s="300" customFormat="1" x14ac:dyDescent="0.25">
      <c r="B301" s="301" t="s">
        <v>25</v>
      </c>
      <c r="C301" s="302"/>
      <c r="D301" s="86" t="str">
        <f>INDEX(Cad_Natureza!$B$3:$C$52,MATCH('2026'!F301,Cad_Natureza!$C$3:$C$52,0),MATCH('2026'!D$2,Cad_Natureza!$B$3:$C$3,0))</f>
        <v>GAST1</v>
      </c>
      <c r="E301" s="84" t="s">
        <v>1496</v>
      </c>
      <c r="F301" s="85" t="s">
        <v>742</v>
      </c>
      <c r="G301" s="86" t="s">
        <v>25</v>
      </c>
      <c r="H301" s="87">
        <v>46118</v>
      </c>
      <c r="I301" s="87"/>
      <c r="J301" s="79" t="s">
        <v>185</v>
      </c>
      <c r="K301" s="62">
        <v>-25</v>
      </c>
      <c r="L301" s="62">
        <f t="shared" si="74"/>
        <v>909.72000000000082</v>
      </c>
      <c r="M301" s="302"/>
      <c r="N301" s="44" t="str">
        <f t="shared" si="75"/>
        <v>MCSGAST1CPF - Desp. Lazer e Entretenimento - Bares</v>
      </c>
      <c r="O301" s="44" t="str">
        <f t="shared" si="76"/>
        <v>GAST1CPF - Desp. Lazer e Entretenimento - Bares</v>
      </c>
      <c r="P301" s="44" t="str">
        <f t="shared" si="77"/>
        <v>MCSGAST1CPF - Desp. Lazer e Entretenimento - Bares</v>
      </c>
      <c r="Q301" s="44" t="str">
        <f t="shared" si="78"/>
        <v>MCSGAST1</v>
      </c>
      <c r="R301" s="44" t="str">
        <f t="shared" si="79"/>
        <v>MCSGAST1</v>
      </c>
      <c r="S301" s="38"/>
      <c r="T301" s="304">
        <f t="shared" si="80"/>
        <v>46113</v>
      </c>
      <c r="U301" s="304" t="str">
        <f t="shared" si="81"/>
        <v/>
      </c>
      <c r="V301" s="300" t="s">
        <v>761</v>
      </c>
    </row>
    <row r="302" spans="2:22" s="300" customFormat="1" x14ac:dyDescent="0.25">
      <c r="B302" s="301" t="s">
        <v>25</v>
      </c>
      <c r="C302" s="302"/>
      <c r="D302" s="86" t="str">
        <f>INDEX(Cad_Natureza!$B$3:$C$52,MATCH('2026'!F302,Cad_Natureza!$C$3:$C$52,0),MATCH('2026'!D$2,Cad_Natureza!$B$3:$C$3,0))</f>
        <v>OPF1</v>
      </c>
      <c r="E302" s="84" t="s">
        <v>1497</v>
      </c>
      <c r="F302" s="85" t="s">
        <v>744</v>
      </c>
      <c r="G302" s="86" t="s">
        <v>25</v>
      </c>
      <c r="H302" s="87">
        <v>46119</v>
      </c>
      <c r="I302" s="87"/>
      <c r="J302" s="79" t="s">
        <v>182</v>
      </c>
      <c r="K302" s="62">
        <v>-20</v>
      </c>
      <c r="L302" s="62">
        <f t="shared" si="74"/>
        <v>889.72000000000082</v>
      </c>
      <c r="M302" s="302"/>
      <c r="N302" s="44" t="str">
        <f t="shared" si="75"/>
        <v>MCSOPF1CPF - Desp. Alimentação / Refeição</v>
      </c>
      <c r="O302" s="44" t="str">
        <f t="shared" si="76"/>
        <v>OPF1CPF - Desp. Alimentação / Refeição</v>
      </c>
      <c r="P302" s="44" t="str">
        <f t="shared" si="77"/>
        <v>MCSOPF1CPF - Desp. Alimentação / Refeição</v>
      </c>
      <c r="Q302" s="44" t="str">
        <f t="shared" si="78"/>
        <v>MCSOPF1</v>
      </c>
      <c r="R302" s="44" t="str">
        <f t="shared" si="79"/>
        <v>MCSOPF1</v>
      </c>
      <c r="S302" s="38"/>
      <c r="T302" s="304">
        <f t="shared" si="80"/>
        <v>46113</v>
      </c>
      <c r="U302" s="304" t="str">
        <f t="shared" si="81"/>
        <v/>
      </c>
      <c r="V302" s="300" t="s">
        <v>761</v>
      </c>
    </row>
    <row r="303" spans="2:22" s="300" customFormat="1" x14ac:dyDescent="0.25">
      <c r="B303" s="301" t="s">
        <v>25</v>
      </c>
      <c r="C303" s="302"/>
      <c r="D303" s="86" t="str">
        <f>INDEX(Cad_Natureza!$B$3:$C$52,MATCH('2026'!F303,Cad_Natureza!$C$3:$C$52,0),MATCH('2026'!D$2,Cad_Natureza!$B$3:$C$3,0))</f>
        <v>PENS3</v>
      </c>
      <c r="E303" s="84" t="s">
        <v>558</v>
      </c>
      <c r="F303" s="85" t="s">
        <v>746</v>
      </c>
      <c r="G303" s="86" t="s">
        <v>25</v>
      </c>
      <c r="H303" s="87">
        <v>46120</v>
      </c>
      <c r="I303" s="87"/>
      <c r="J303" s="78" t="s">
        <v>1596</v>
      </c>
      <c r="K303" s="62">
        <v>-535.39</v>
      </c>
      <c r="L303" s="62">
        <f t="shared" si="74"/>
        <v>354.33000000000084</v>
      </c>
      <c r="M303" s="302"/>
      <c r="N303" s="44" t="str">
        <f t="shared" si="75"/>
        <v>MCSPENS3CPF - Pensão - Plano de saúde</v>
      </c>
      <c r="O303" s="44" t="str">
        <f t="shared" si="76"/>
        <v>PENS3CPF - Pensão - Plano de saúde</v>
      </c>
      <c r="P303" s="44" t="str">
        <f t="shared" si="77"/>
        <v>MCSPENS3CPF - Pensão - Plano de saúde</v>
      </c>
      <c r="Q303" s="44" t="str">
        <f t="shared" si="78"/>
        <v>MCSPENS3</v>
      </c>
      <c r="R303" s="44" t="str">
        <f t="shared" si="79"/>
        <v>MCSPENS3</v>
      </c>
      <c r="S303" s="38"/>
      <c r="T303" s="304">
        <f t="shared" si="80"/>
        <v>46113</v>
      </c>
      <c r="U303" s="304" t="str">
        <f t="shared" si="81"/>
        <v/>
      </c>
      <c r="V303" s="300" t="s">
        <v>761</v>
      </c>
    </row>
    <row r="304" spans="2:22" s="300" customFormat="1" x14ac:dyDescent="0.25">
      <c r="B304" s="301" t="s">
        <v>25</v>
      </c>
      <c r="C304" s="302"/>
      <c r="D304" s="86" t="str">
        <f>INDEX(Cad_Natureza!$B$3:$C$52,MATCH('2026'!F304,Cad_Natureza!$C$3:$C$52,0),MATCH('2026'!D$2,Cad_Natureza!$B$3:$C$3,0))</f>
        <v>OPF1</v>
      </c>
      <c r="E304" s="84" t="s">
        <v>1498</v>
      </c>
      <c r="F304" s="85" t="s">
        <v>744</v>
      </c>
      <c r="G304" s="86" t="s">
        <v>25</v>
      </c>
      <c r="H304" s="87">
        <v>46120</v>
      </c>
      <c r="I304" s="87"/>
      <c r="J304" s="79" t="s">
        <v>182</v>
      </c>
      <c r="K304" s="62">
        <v>-24</v>
      </c>
      <c r="L304" s="62">
        <f t="shared" si="74"/>
        <v>330.33000000000084</v>
      </c>
      <c r="M304" s="302"/>
      <c r="N304" s="44" t="str">
        <f t="shared" si="75"/>
        <v>MCSOPF1CPF - Desp. Alimentação / Refeição</v>
      </c>
      <c r="O304" s="44" t="str">
        <f t="shared" si="76"/>
        <v>OPF1CPF - Desp. Alimentação / Refeição</v>
      </c>
      <c r="P304" s="44" t="str">
        <f t="shared" si="77"/>
        <v>MCSOPF1CPF - Desp. Alimentação / Refeição</v>
      </c>
      <c r="Q304" s="44" t="str">
        <f t="shared" si="78"/>
        <v>MCSOPF1</v>
      </c>
      <c r="R304" s="44" t="str">
        <f t="shared" si="79"/>
        <v>MCSOPF1</v>
      </c>
      <c r="S304" s="38"/>
      <c r="T304" s="304">
        <f t="shared" si="80"/>
        <v>46113</v>
      </c>
      <c r="U304" s="304" t="str">
        <f t="shared" si="81"/>
        <v/>
      </c>
      <c r="V304" s="300" t="s">
        <v>761</v>
      </c>
    </row>
    <row r="305" spans="2:22" s="300" customFormat="1" x14ac:dyDescent="0.25">
      <c r="B305" s="301" t="s">
        <v>25</v>
      </c>
      <c r="C305" s="302"/>
      <c r="D305" s="86" t="str">
        <f>INDEX(Cad_Natureza!$B$3:$C$52,MATCH('2026'!F305,Cad_Natureza!$C$3:$C$52,0),MATCH('2026'!D$2,Cad_Natureza!$B$3:$C$3,0))</f>
        <v>OPF2</v>
      </c>
      <c r="E305" s="84" t="s">
        <v>1499</v>
      </c>
      <c r="F305" s="85" t="s">
        <v>741</v>
      </c>
      <c r="G305" s="86" t="s">
        <v>25</v>
      </c>
      <c r="H305" s="87">
        <v>46120</v>
      </c>
      <c r="I305" s="87"/>
      <c r="J305" s="79" t="s">
        <v>184</v>
      </c>
      <c r="K305" s="62">
        <v>-100</v>
      </c>
      <c r="L305" s="62">
        <f t="shared" si="74"/>
        <v>230.33000000000084</v>
      </c>
      <c r="M305" s="302"/>
      <c r="N305" s="44" t="str">
        <f t="shared" si="75"/>
        <v>MCSOPF2CPF - Desp. Transporte / Combustível</v>
      </c>
      <c r="O305" s="44" t="str">
        <f t="shared" si="76"/>
        <v>OPF2CPF - Desp. Transporte / Combustível</v>
      </c>
      <c r="P305" s="44" t="str">
        <f t="shared" si="77"/>
        <v>MCSOPF2CPF - Desp. Transporte / Combustível</v>
      </c>
      <c r="Q305" s="44" t="str">
        <f t="shared" si="78"/>
        <v>MCSOPF2</v>
      </c>
      <c r="R305" s="44" t="str">
        <f t="shared" si="79"/>
        <v>MCSOPF2</v>
      </c>
      <c r="S305" s="38"/>
      <c r="T305" s="304">
        <f t="shared" si="80"/>
        <v>46113</v>
      </c>
      <c r="U305" s="304" t="str">
        <f t="shared" si="81"/>
        <v/>
      </c>
      <c r="V305" s="300" t="s">
        <v>731</v>
      </c>
    </row>
    <row r="306" spans="2:22" s="300" customFormat="1" x14ac:dyDescent="0.25">
      <c r="B306" s="301" t="s">
        <v>25</v>
      </c>
      <c r="C306" s="302"/>
      <c r="D306" s="86" t="str">
        <f>INDEX(Cad_Natureza!$B$3:$C$52,MATCH('2026'!F306,Cad_Natureza!$C$3:$C$52,0),MATCH('2026'!D$2,Cad_Natureza!$B$3:$C$3,0))</f>
        <v>OPF1</v>
      </c>
      <c r="E306" s="84" t="s">
        <v>1500</v>
      </c>
      <c r="F306" s="85" t="s">
        <v>744</v>
      </c>
      <c r="G306" s="86" t="s">
        <v>25</v>
      </c>
      <c r="H306" s="87">
        <v>46121</v>
      </c>
      <c r="I306" s="87"/>
      <c r="J306" s="79" t="s">
        <v>182</v>
      </c>
      <c r="K306" s="62">
        <v>-20</v>
      </c>
      <c r="L306" s="62">
        <f t="shared" si="74"/>
        <v>210.33000000000084</v>
      </c>
      <c r="M306" s="302"/>
      <c r="N306" s="44" t="str">
        <f t="shared" si="75"/>
        <v>MCSOPF1CPF - Desp. Alimentação / Refeição</v>
      </c>
      <c r="O306" s="44" t="str">
        <f t="shared" si="76"/>
        <v>OPF1CPF - Desp. Alimentação / Refeição</v>
      </c>
      <c r="P306" s="44" t="str">
        <f t="shared" si="77"/>
        <v>MCSOPF1CPF - Desp. Alimentação / Refeição</v>
      </c>
      <c r="Q306" s="44" t="str">
        <f t="shared" si="78"/>
        <v>MCSOPF1</v>
      </c>
      <c r="R306" s="44" t="str">
        <f t="shared" si="79"/>
        <v>MCSOPF1</v>
      </c>
      <c r="S306" s="38"/>
      <c r="T306" s="304">
        <f t="shared" si="80"/>
        <v>46113</v>
      </c>
      <c r="U306" s="304" t="str">
        <f t="shared" si="81"/>
        <v/>
      </c>
      <c r="V306" s="300" t="s">
        <v>731</v>
      </c>
    </row>
    <row r="307" spans="2:22" s="300" customFormat="1" x14ac:dyDescent="0.25">
      <c r="B307" s="301" t="s">
        <v>25</v>
      </c>
      <c r="C307" s="302"/>
      <c r="D307" s="86" t="str">
        <f>INDEX(Cad_Natureza!$B$3:$C$52,MATCH('2026'!F307,Cad_Natureza!$C$3:$C$52,0),MATCH('2026'!D$2,Cad_Natureza!$B$3:$C$3,0))</f>
        <v>OUG1</v>
      </c>
      <c r="E307" s="84" t="s">
        <v>1501</v>
      </c>
      <c r="F307" s="85" t="s">
        <v>748</v>
      </c>
      <c r="G307" s="86" t="s">
        <v>25</v>
      </c>
      <c r="H307" s="87">
        <v>46121</v>
      </c>
      <c r="I307" s="87"/>
      <c r="J307" s="79" t="s">
        <v>354</v>
      </c>
      <c r="K307" s="62">
        <v>-20</v>
      </c>
      <c r="L307" s="62">
        <f t="shared" si="74"/>
        <v>190.33000000000084</v>
      </c>
      <c r="M307" s="302"/>
      <c r="N307" s="44" t="str">
        <f t="shared" si="75"/>
        <v>MCSOUG1CPF - Outros gastos</v>
      </c>
      <c r="O307" s="44" t="str">
        <f t="shared" si="76"/>
        <v>OUG1CPF - Outros gastos</v>
      </c>
      <c r="P307" s="44" t="str">
        <f t="shared" si="77"/>
        <v>MCSOUG1CPF - Outros gastos</v>
      </c>
      <c r="Q307" s="44" t="str">
        <f t="shared" si="78"/>
        <v>MCSOUG1</v>
      </c>
      <c r="R307" s="44" t="str">
        <f t="shared" si="79"/>
        <v>MCSOUG1</v>
      </c>
      <c r="S307" s="38"/>
      <c r="T307" s="304">
        <f t="shared" si="80"/>
        <v>46113</v>
      </c>
      <c r="U307" s="304" t="str">
        <f t="shared" si="81"/>
        <v/>
      </c>
      <c r="V307" s="300" t="s">
        <v>761</v>
      </c>
    </row>
    <row r="308" spans="2:22" s="300" customFormat="1" x14ac:dyDescent="0.25">
      <c r="B308" s="301" t="s">
        <v>25</v>
      </c>
      <c r="C308" s="302"/>
      <c r="D308" s="86" t="str">
        <f>INDEX(Cad_Natureza!$B$3:$C$52,MATCH('2026'!F308,Cad_Natureza!$C$3:$C$52,0),MATCH('2026'!D$2,Cad_Natureza!$B$3:$C$3,0))</f>
        <v>OUG1</v>
      </c>
      <c r="E308" s="84" t="s">
        <v>1502</v>
      </c>
      <c r="F308" s="85" t="s">
        <v>748</v>
      </c>
      <c r="G308" s="86" t="s">
        <v>25</v>
      </c>
      <c r="H308" s="87">
        <v>46121</v>
      </c>
      <c r="I308" s="87"/>
      <c r="J308" s="79" t="s">
        <v>1120</v>
      </c>
      <c r="K308" s="62">
        <v>-95</v>
      </c>
      <c r="L308" s="62">
        <f t="shared" si="74"/>
        <v>95.330000000000837</v>
      </c>
      <c r="M308" s="302"/>
      <c r="N308" s="44" t="str">
        <f t="shared" si="75"/>
        <v>MCSOUG1CPF - Outros gastos</v>
      </c>
      <c r="O308" s="44" t="str">
        <f t="shared" si="76"/>
        <v>OUG1CPF - Outros gastos</v>
      </c>
      <c r="P308" s="44" t="str">
        <f t="shared" si="77"/>
        <v>MCSOUG1CPF - Outros gastos</v>
      </c>
      <c r="Q308" s="44" t="str">
        <f t="shared" si="78"/>
        <v>MCSOUG1</v>
      </c>
      <c r="R308" s="44" t="str">
        <f t="shared" si="79"/>
        <v>MCSOUG1</v>
      </c>
      <c r="S308" s="38"/>
      <c r="T308" s="304">
        <f t="shared" si="80"/>
        <v>46113</v>
      </c>
      <c r="U308" s="304" t="str">
        <f t="shared" si="81"/>
        <v/>
      </c>
      <c r="V308" s="300" t="s">
        <v>761</v>
      </c>
    </row>
    <row r="309" spans="2:22" s="300" customFormat="1" x14ac:dyDescent="0.25">
      <c r="B309" s="301" t="s">
        <v>25</v>
      </c>
      <c r="C309" s="302"/>
      <c r="D309" s="86" t="str">
        <f>INDEX(Cad_Natureza!$B$3:$C$52,MATCH('2026'!F309,Cad_Natureza!$C$3:$C$52,0),MATCH('2026'!D$2,Cad_Natureza!$B$3:$C$3,0))</f>
        <v>DESP4</v>
      </c>
      <c r="E309" s="84" t="s">
        <v>1503</v>
      </c>
      <c r="F309" s="85" t="s">
        <v>753</v>
      </c>
      <c r="G309" s="86" t="s">
        <v>25</v>
      </c>
      <c r="H309" s="87">
        <v>46121</v>
      </c>
      <c r="I309" s="87"/>
      <c r="J309" s="79" t="s">
        <v>1841</v>
      </c>
      <c r="K309" s="62">
        <v>-18</v>
      </c>
      <c r="L309" s="62">
        <f t="shared" si="74"/>
        <v>77.330000000000837</v>
      </c>
      <c r="M309" s="302"/>
      <c r="N309" s="44" t="str">
        <f t="shared" si="75"/>
        <v>MCSDESP4CPF - Desp. Moradia</v>
      </c>
      <c r="O309" s="44" t="str">
        <f t="shared" si="76"/>
        <v>DESP4CPF - Desp. Moradia</v>
      </c>
      <c r="P309" s="44" t="str">
        <f t="shared" si="77"/>
        <v>MCSDESP4CPF - Desp. Moradia</v>
      </c>
      <c r="Q309" s="44" t="str">
        <f t="shared" si="78"/>
        <v>MCSDESP4</v>
      </c>
      <c r="R309" s="44" t="str">
        <f t="shared" si="79"/>
        <v>MCSDESP4</v>
      </c>
      <c r="S309" s="38"/>
      <c r="T309" s="304">
        <f t="shared" si="80"/>
        <v>46113</v>
      </c>
      <c r="U309" s="304" t="str">
        <f t="shared" si="81"/>
        <v/>
      </c>
      <c r="V309" s="300" t="s">
        <v>761</v>
      </c>
    </row>
    <row r="310" spans="2:22" s="300" customFormat="1" x14ac:dyDescent="0.25">
      <c r="B310" s="301" t="s">
        <v>25</v>
      </c>
      <c r="C310" s="302"/>
      <c r="D310" s="86" t="str">
        <f>INDEX(Cad_Natureza!$B$3:$C$52,MATCH('2026'!F310,Cad_Natureza!$C$3:$C$52,0),MATCH('2026'!D$2,Cad_Natureza!$B$3:$C$3,0))</f>
        <v>FIN3</v>
      </c>
      <c r="E310" s="84" t="s">
        <v>1504</v>
      </c>
      <c r="F310" s="85" t="s">
        <v>939</v>
      </c>
      <c r="G310" s="86" t="s">
        <v>25</v>
      </c>
      <c r="H310" s="87">
        <v>46122</v>
      </c>
      <c r="I310" s="87"/>
      <c r="J310" s="79" t="s">
        <v>572</v>
      </c>
      <c r="K310" s="62">
        <v>-77.33</v>
      </c>
      <c r="L310" s="62">
        <f t="shared" si="74"/>
        <v>8.3844042819691822E-13</v>
      </c>
      <c r="M310" s="302"/>
      <c r="N310" s="44" t="str">
        <f t="shared" si="75"/>
        <v>MCSFIN3CPF - Desp. Financeiras - Empréstimos bancários</v>
      </c>
      <c r="O310" s="44" t="str">
        <f t="shared" si="76"/>
        <v>FIN3CPF - Desp. Financeiras - Empréstimos bancários</v>
      </c>
      <c r="P310" s="44" t="str">
        <f t="shared" si="77"/>
        <v>MCSFIN3CPF - Desp. Financeiras - Empréstimos bancários</v>
      </c>
      <c r="Q310" s="44" t="str">
        <f t="shared" si="78"/>
        <v>MCSFIN3</v>
      </c>
      <c r="R310" s="44" t="str">
        <f t="shared" si="79"/>
        <v>MCSFIN3</v>
      </c>
      <c r="S310" s="38"/>
      <c r="T310" s="304">
        <f t="shared" si="80"/>
        <v>46113</v>
      </c>
      <c r="U310" s="304" t="str">
        <f t="shared" si="81"/>
        <v/>
      </c>
      <c r="V310" s="300" t="s">
        <v>761</v>
      </c>
    </row>
    <row r="311" spans="2:22" s="291" customFormat="1" x14ac:dyDescent="0.25">
      <c r="B311" s="288" t="s">
        <v>25</v>
      </c>
      <c r="C311" s="83"/>
      <c r="D311" s="63" t="str">
        <f>INDEX(Cad_Natureza!$B$3:$C$52,MATCH('2026'!F311,Cad_Natureza!$C$3:$C$52,0),MATCH('2026'!D$2,Cad_Natureza!$B$3:$C$3,0))</f>
        <v>REC4</v>
      </c>
      <c r="E311" s="64" t="s">
        <v>1505</v>
      </c>
      <c r="F311" s="65" t="s">
        <v>734</v>
      </c>
      <c r="G311" s="63" t="s">
        <v>25</v>
      </c>
      <c r="H311" s="66">
        <v>46122</v>
      </c>
      <c r="I311" s="66"/>
      <c r="J311" s="67" t="s">
        <v>183</v>
      </c>
      <c r="K311" s="68">
        <v>1000</v>
      </c>
      <c r="L311" s="68">
        <f t="shared" si="74"/>
        <v>1000.0000000000008</v>
      </c>
      <c r="M311" s="83"/>
      <c r="N311" s="44" t="str">
        <f t="shared" si="75"/>
        <v>MCSREC4CPF - Transf. Da conta PJ para a conta PF</v>
      </c>
      <c r="O311" s="44" t="str">
        <f t="shared" si="76"/>
        <v>REC4CPF - Transf. Da conta PJ para a conta PF</v>
      </c>
      <c r="P311" s="44" t="str">
        <f t="shared" si="77"/>
        <v>MCSREC4CPF - Transf. Da conta PJ para a conta PF</v>
      </c>
      <c r="Q311" s="44" t="str">
        <f t="shared" si="78"/>
        <v>MCSREC4</v>
      </c>
      <c r="R311" s="44" t="str">
        <f t="shared" si="79"/>
        <v>MCSREC4</v>
      </c>
      <c r="S311" s="38"/>
      <c r="T311" s="290">
        <f t="shared" si="80"/>
        <v>46113</v>
      </c>
      <c r="U311" s="290" t="str">
        <f t="shared" si="81"/>
        <v/>
      </c>
      <c r="V311" s="291" t="s">
        <v>761</v>
      </c>
    </row>
    <row r="312" spans="2:22" s="300" customFormat="1" x14ac:dyDescent="0.25">
      <c r="B312" s="301" t="s">
        <v>25</v>
      </c>
      <c r="C312" s="302"/>
      <c r="D312" s="86" t="str">
        <f>INDEX(Cad_Natureza!$B$3:$C$52,MATCH('2026'!F312,Cad_Natureza!$C$3:$C$52,0),MATCH('2026'!D$2,Cad_Natureza!$B$3:$C$3,0))</f>
        <v>FIN3</v>
      </c>
      <c r="E312" s="84" t="s">
        <v>1504</v>
      </c>
      <c r="F312" s="85" t="s">
        <v>939</v>
      </c>
      <c r="G312" s="86" t="s">
        <v>25</v>
      </c>
      <c r="H312" s="87">
        <v>46122</v>
      </c>
      <c r="I312" s="87"/>
      <c r="J312" s="79" t="s">
        <v>572</v>
      </c>
      <c r="K312" s="62">
        <v>-212.93</v>
      </c>
      <c r="L312" s="62">
        <f t="shared" si="74"/>
        <v>787.07000000000085</v>
      </c>
      <c r="M312" s="302"/>
      <c r="N312" s="44" t="str">
        <f t="shared" si="75"/>
        <v>MCSFIN3CPF - Desp. Financeiras - Empréstimos bancários</v>
      </c>
      <c r="O312" s="44" t="str">
        <f t="shared" si="76"/>
        <v>FIN3CPF - Desp. Financeiras - Empréstimos bancários</v>
      </c>
      <c r="P312" s="44" t="str">
        <f t="shared" si="77"/>
        <v>MCSFIN3CPF - Desp. Financeiras - Empréstimos bancários</v>
      </c>
      <c r="Q312" s="44" t="str">
        <f t="shared" si="78"/>
        <v>MCSFIN3</v>
      </c>
      <c r="R312" s="44" t="str">
        <f t="shared" si="79"/>
        <v>MCSFIN3</v>
      </c>
      <c r="S312" s="38"/>
      <c r="T312" s="304">
        <f t="shared" si="80"/>
        <v>46113</v>
      </c>
      <c r="U312" s="304" t="str">
        <f t="shared" si="81"/>
        <v/>
      </c>
      <c r="V312" s="300" t="s">
        <v>761</v>
      </c>
    </row>
    <row r="313" spans="2:22" s="300" customFormat="1" x14ac:dyDescent="0.25">
      <c r="B313" s="301" t="s">
        <v>25</v>
      </c>
      <c r="C313" s="302"/>
      <c r="D313" s="86" t="str">
        <f>INDEX(Cad_Natureza!$B$3:$C$52,MATCH('2026'!F313,Cad_Natureza!$C$3:$C$52,0),MATCH('2026'!D$2,Cad_Natureza!$B$3:$C$3,0))</f>
        <v>FIN3</v>
      </c>
      <c r="E313" s="84" t="s">
        <v>1504</v>
      </c>
      <c r="F313" s="85" t="s">
        <v>939</v>
      </c>
      <c r="G313" s="86" t="s">
        <v>25</v>
      </c>
      <c r="H313" s="87">
        <v>46122</v>
      </c>
      <c r="I313" s="87"/>
      <c r="J313" s="79" t="s">
        <v>572</v>
      </c>
      <c r="K313" s="62">
        <v>-6.79</v>
      </c>
      <c r="L313" s="62">
        <f t="shared" si="74"/>
        <v>780.28000000000088</v>
      </c>
      <c r="M313" s="302"/>
      <c r="N313" s="44" t="str">
        <f t="shared" si="75"/>
        <v>MCSFIN3CPF - Desp. Financeiras - Empréstimos bancários</v>
      </c>
      <c r="O313" s="44" t="str">
        <f t="shared" si="76"/>
        <v>FIN3CPF - Desp. Financeiras - Empréstimos bancários</v>
      </c>
      <c r="P313" s="44" t="str">
        <f t="shared" si="77"/>
        <v>MCSFIN3CPF - Desp. Financeiras - Empréstimos bancários</v>
      </c>
      <c r="Q313" s="44" t="str">
        <f t="shared" si="78"/>
        <v>MCSFIN3</v>
      </c>
      <c r="R313" s="44" t="str">
        <f t="shared" si="79"/>
        <v>MCSFIN3</v>
      </c>
      <c r="S313" s="38"/>
      <c r="T313" s="304">
        <f t="shared" si="80"/>
        <v>46113</v>
      </c>
      <c r="U313" s="304" t="str">
        <f t="shared" si="81"/>
        <v/>
      </c>
      <c r="V313" s="300" t="s">
        <v>761</v>
      </c>
    </row>
    <row r="314" spans="2:22" s="300" customFormat="1" x14ac:dyDescent="0.25">
      <c r="B314" s="301" t="s">
        <v>25</v>
      </c>
      <c r="C314" s="302"/>
      <c r="D314" s="86" t="str">
        <f>INDEX(Cad_Natureza!$B$3:$C$52,MATCH('2026'!F314,Cad_Natureza!$C$3:$C$52,0),MATCH('2026'!D$2,Cad_Natureza!$B$3:$C$3,0))</f>
        <v>GAST1</v>
      </c>
      <c r="E314" s="84" t="s">
        <v>1506</v>
      </c>
      <c r="F314" s="85" t="s">
        <v>742</v>
      </c>
      <c r="G314" s="86" t="s">
        <v>25</v>
      </c>
      <c r="H314" s="87">
        <v>46122</v>
      </c>
      <c r="I314" s="87"/>
      <c r="J314" s="79" t="s">
        <v>185</v>
      </c>
      <c r="K314" s="62">
        <v>-9.98</v>
      </c>
      <c r="L314" s="62">
        <f t="shared" si="74"/>
        <v>770.30000000000086</v>
      </c>
      <c r="M314" s="302"/>
      <c r="N314" s="44" t="str">
        <f t="shared" si="75"/>
        <v>MCSGAST1CPF - Desp. Lazer e Entretenimento - Bares</v>
      </c>
      <c r="O314" s="44" t="str">
        <f t="shared" si="76"/>
        <v>GAST1CPF - Desp. Lazer e Entretenimento - Bares</v>
      </c>
      <c r="P314" s="44" t="str">
        <f t="shared" si="77"/>
        <v>MCSGAST1CPF - Desp. Lazer e Entretenimento - Bares</v>
      </c>
      <c r="Q314" s="44" t="str">
        <f t="shared" si="78"/>
        <v>MCSGAST1</v>
      </c>
      <c r="R314" s="44" t="str">
        <f t="shared" si="79"/>
        <v>MCSGAST1</v>
      </c>
      <c r="S314" s="38"/>
      <c r="T314" s="304">
        <f t="shared" si="80"/>
        <v>46113</v>
      </c>
      <c r="U314" s="304" t="str">
        <f t="shared" si="81"/>
        <v/>
      </c>
      <c r="V314" s="300" t="s">
        <v>731</v>
      </c>
    </row>
    <row r="315" spans="2:22" s="300" customFormat="1" x14ac:dyDescent="0.25">
      <c r="B315" s="301" t="s">
        <v>25</v>
      </c>
      <c r="C315" s="302"/>
      <c r="D315" s="86" t="str">
        <f>INDEX(Cad_Natureza!$B$3:$C$52,MATCH('2026'!F315,Cad_Natureza!$C$3:$C$52,0),MATCH('2026'!D$2,Cad_Natureza!$B$3:$C$3,0))</f>
        <v>OUG1</v>
      </c>
      <c r="E315" s="84" t="s">
        <v>1507</v>
      </c>
      <c r="F315" s="85" t="s">
        <v>748</v>
      </c>
      <c r="G315" s="86" t="s">
        <v>25</v>
      </c>
      <c r="H315" s="87">
        <v>46122</v>
      </c>
      <c r="I315" s="87"/>
      <c r="J315" s="79" t="s">
        <v>1583</v>
      </c>
      <c r="K315" s="62">
        <v>-100</v>
      </c>
      <c r="L315" s="62">
        <f t="shared" si="74"/>
        <v>670.30000000000086</v>
      </c>
      <c r="M315" s="302"/>
      <c r="N315" s="44" t="str">
        <f t="shared" si="75"/>
        <v>MCSOUG1CPF - Outros gastos</v>
      </c>
      <c r="O315" s="44" t="str">
        <f t="shared" si="76"/>
        <v>OUG1CPF - Outros gastos</v>
      </c>
      <c r="P315" s="44" t="str">
        <f t="shared" si="77"/>
        <v>MCSOUG1CPF - Outros gastos</v>
      </c>
      <c r="Q315" s="44" t="str">
        <f t="shared" si="78"/>
        <v>MCSOUG1</v>
      </c>
      <c r="R315" s="44" t="str">
        <f t="shared" si="79"/>
        <v>MCSOUG1</v>
      </c>
      <c r="S315" s="38"/>
      <c r="T315" s="304">
        <f t="shared" si="80"/>
        <v>46113</v>
      </c>
      <c r="U315" s="304" t="str">
        <f t="shared" si="81"/>
        <v/>
      </c>
      <c r="V315" s="300" t="s">
        <v>731</v>
      </c>
    </row>
    <row r="316" spans="2:22" s="300" customFormat="1" x14ac:dyDescent="0.25">
      <c r="B316" s="301" t="s">
        <v>25</v>
      </c>
      <c r="C316" s="302"/>
      <c r="D316" s="86" t="str">
        <f>INDEX(Cad_Natureza!$B$3:$C$52,MATCH('2026'!F316,Cad_Natureza!$C$3:$C$52,0),MATCH('2026'!D$2,Cad_Natureza!$B$3:$C$3,0))</f>
        <v>OPF2</v>
      </c>
      <c r="E316" s="84" t="s">
        <v>1508</v>
      </c>
      <c r="F316" s="85" t="s">
        <v>741</v>
      </c>
      <c r="G316" s="86" t="s">
        <v>25</v>
      </c>
      <c r="H316" s="87">
        <v>46122</v>
      </c>
      <c r="I316" s="87"/>
      <c r="J316" s="79" t="s">
        <v>184</v>
      </c>
      <c r="K316" s="62">
        <v>-50</v>
      </c>
      <c r="L316" s="62">
        <f t="shared" si="74"/>
        <v>620.30000000000086</v>
      </c>
      <c r="M316" s="302"/>
      <c r="N316" s="44" t="str">
        <f t="shared" si="60"/>
        <v>MCSOPF2CPF - Desp. Transporte / Combustível</v>
      </c>
      <c r="O316" s="44" t="str">
        <f t="shared" si="61"/>
        <v>OPF2CPF - Desp. Transporte / Combustível</v>
      </c>
      <c r="P316" s="44" t="str">
        <f t="shared" si="62"/>
        <v>MCSOPF2CPF - Desp. Transporte / Combustível</v>
      </c>
      <c r="Q316" s="44" t="str">
        <f t="shared" si="63"/>
        <v>MCSOPF2</v>
      </c>
      <c r="R316" s="44" t="str">
        <f t="shared" si="64"/>
        <v>MCSOPF2</v>
      </c>
      <c r="S316" s="38"/>
      <c r="T316" s="304">
        <f t="shared" si="65"/>
        <v>46113</v>
      </c>
      <c r="U316" s="304" t="str">
        <f t="shared" si="66"/>
        <v/>
      </c>
      <c r="V316" s="300" t="s">
        <v>761</v>
      </c>
    </row>
    <row r="317" spans="2:22" s="300" customFormat="1" x14ac:dyDescent="0.25">
      <c r="B317" s="301" t="s">
        <v>25</v>
      </c>
      <c r="C317" s="302"/>
      <c r="D317" s="86" t="str">
        <f>INDEX(Cad_Natureza!$B$3:$C$52,MATCH('2026'!F317,Cad_Natureza!$C$3:$C$52,0),MATCH('2026'!D$2,Cad_Natureza!$B$3:$C$3,0))</f>
        <v>GAST1</v>
      </c>
      <c r="E317" s="84" t="s">
        <v>1509</v>
      </c>
      <c r="F317" s="85" t="s">
        <v>742</v>
      </c>
      <c r="G317" s="86" t="s">
        <v>25</v>
      </c>
      <c r="H317" s="87">
        <v>46125</v>
      </c>
      <c r="I317" s="87"/>
      <c r="J317" s="79" t="s">
        <v>1590</v>
      </c>
      <c r="K317" s="62">
        <v>-52</v>
      </c>
      <c r="L317" s="62">
        <f t="shared" si="74"/>
        <v>568.30000000000086</v>
      </c>
      <c r="M317" s="302"/>
      <c r="N317" s="44" t="str">
        <f t="shared" si="60"/>
        <v>MCSGAST1CPF - Desp. Lazer e Entretenimento - Bares</v>
      </c>
      <c r="O317" s="44" t="str">
        <f t="shared" si="61"/>
        <v>GAST1CPF - Desp. Lazer e Entretenimento - Bares</v>
      </c>
      <c r="P317" s="44" t="str">
        <f t="shared" si="62"/>
        <v>MCSGAST1CPF - Desp. Lazer e Entretenimento - Bares</v>
      </c>
      <c r="Q317" s="44" t="str">
        <f t="shared" si="63"/>
        <v>MCSGAST1</v>
      </c>
      <c r="R317" s="44" t="str">
        <f t="shared" si="64"/>
        <v>MCSGAST1</v>
      </c>
      <c r="S317" s="38"/>
      <c r="T317" s="304">
        <f t="shared" si="65"/>
        <v>46113</v>
      </c>
      <c r="U317" s="304" t="str">
        <f t="shared" si="66"/>
        <v/>
      </c>
      <c r="V317" s="300" t="s">
        <v>761</v>
      </c>
    </row>
    <row r="318" spans="2:22" s="300" customFormat="1" x14ac:dyDescent="0.25">
      <c r="B318" s="301" t="s">
        <v>25</v>
      </c>
      <c r="C318" s="302"/>
      <c r="D318" s="86" t="str">
        <f>INDEX(Cad_Natureza!$B$3:$C$52,MATCH('2026'!F318,Cad_Natureza!$C$3:$C$52,0),MATCH('2026'!D$2,Cad_Natureza!$B$3:$C$3,0))</f>
        <v>GAST1</v>
      </c>
      <c r="E318" s="84" t="s">
        <v>1510</v>
      </c>
      <c r="F318" s="85" t="s">
        <v>742</v>
      </c>
      <c r="G318" s="86" t="s">
        <v>25</v>
      </c>
      <c r="H318" s="87">
        <v>46125</v>
      </c>
      <c r="I318" s="87"/>
      <c r="J318" s="79" t="s">
        <v>185</v>
      </c>
      <c r="K318" s="62">
        <v>-6.5</v>
      </c>
      <c r="L318" s="62">
        <f t="shared" si="74"/>
        <v>561.80000000000086</v>
      </c>
      <c r="M318" s="302"/>
      <c r="N318" s="44" t="str">
        <f t="shared" si="60"/>
        <v>MCSGAST1CPF - Desp. Lazer e Entretenimento - Bares</v>
      </c>
      <c r="O318" s="44" t="str">
        <f t="shared" si="61"/>
        <v>GAST1CPF - Desp. Lazer e Entretenimento - Bares</v>
      </c>
      <c r="P318" s="44" t="str">
        <f t="shared" si="62"/>
        <v>MCSGAST1CPF - Desp. Lazer e Entretenimento - Bares</v>
      </c>
      <c r="Q318" s="44" t="str">
        <f t="shared" si="63"/>
        <v>MCSGAST1</v>
      </c>
      <c r="R318" s="44" t="str">
        <f t="shared" si="64"/>
        <v>MCSGAST1</v>
      </c>
      <c r="S318" s="38"/>
      <c r="T318" s="304">
        <f t="shared" si="65"/>
        <v>46113</v>
      </c>
      <c r="U318" s="304" t="str">
        <f t="shared" si="66"/>
        <v/>
      </c>
      <c r="V318" s="300" t="s">
        <v>761</v>
      </c>
    </row>
    <row r="319" spans="2:22" s="300" customFormat="1" x14ac:dyDescent="0.25">
      <c r="B319" s="301" t="s">
        <v>25</v>
      </c>
      <c r="C319" s="302"/>
      <c r="D319" s="86" t="str">
        <f>INDEX(Cad_Natureza!$B$3:$C$52,MATCH('2026'!F319,Cad_Natureza!$C$3:$C$52,0),MATCH('2026'!D$2,Cad_Natureza!$B$3:$C$3,0))</f>
        <v>GAST1</v>
      </c>
      <c r="E319" s="84" t="s">
        <v>1510</v>
      </c>
      <c r="F319" s="85" t="s">
        <v>742</v>
      </c>
      <c r="G319" s="86" t="s">
        <v>25</v>
      </c>
      <c r="H319" s="87">
        <v>46125</v>
      </c>
      <c r="I319" s="87"/>
      <c r="J319" s="79" t="s">
        <v>185</v>
      </c>
      <c r="K319" s="62">
        <v>-6.5</v>
      </c>
      <c r="L319" s="62">
        <f t="shared" si="74"/>
        <v>555.30000000000086</v>
      </c>
      <c r="M319" s="302"/>
      <c r="N319" s="44" t="str">
        <f t="shared" si="60"/>
        <v>MCSGAST1CPF - Desp. Lazer e Entretenimento - Bares</v>
      </c>
      <c r="O319" s="44" t="str">
        <f t="shared" si="61"/>
        <v>GAST1CPF - Desp. Lazer e Entretenimento - Bares</v>
      </c>
      <c r="P319" s="44" t="str">
        <f t="shared" si="62"/>
        <v>MCSGAST1CPF - Desp. Lazer e Entretenimento - Bares</v>
      </c>
      <c r="Q319" s="44" t="str">
        <f t="shared" si="63"/>
        <v>MCSGAST1</v>
      </c>
      <c r="R319" s="44" t="str">
        <f t="shared" si="64"/>
        <v>MCSGAST1</v>
      </c>
      <c r="S319" s="38"/>
      <c r="T319" s="304">
        <f t="shared" si="65"/>
        <v>46113</v>
      </c>
      <c r="U319" s="304" t="str">
        <f t="shared" si="66"/>
        <v/>
      </c>
      <c r="V319" s="300" t="s">
        <v>761</v>
      </c>
    </row>
    <row r="320" spans="2:22" s="300" customFormat="1" x14ac:dyDescent="0.25">
      <c r="B320" s="301" t="s">
        <v>25</v>
      </c>
      <c r="C320" s="302"/>
      <c r="D320" s="86" t="str">
        <f>INDEX(Cad_Natureza!$B$3:$C$52,MATCH('2026'!F320,Cad_Natureza!$C$3:$C$52,0),MATCH('2026'!D$2,Cad_Natureza!$B$3:$C$3,0))</f>
        <v>GAST1</v>
      </c>
      <c r="E320" s="84" t="s">
        <v>1511</v>
      </c>
      <c r="F320" s="85" t="s">
        <v>742</v>
      </c>
      <c r="G320" s="86" t="s">
        <v>25</v>
      </c>
      <c r="H320" s="87">
        <v>46125</v>
      </c>
      <c r="I320" s="87"/>
      <c r="J320" s="79" t="s">
        <v>185</v>
      </c>
      <c r="K320" s="62">
        <v>-15</v>
      </c>
      <c r="L320" s="62">
        <f t="shared" si="74"/>
        <v>540.30000000000086</v>
      </c>
      <c r="M320" s="302"/>
      <c r="N320" s="44" t="str">
        <f t="shared" si="60"/>
        <v>MCSGAST1CPF - Desp. Lazer e Entretenimento - Bares</v>
      </c>
      <c r="O320" s="44" t="str">
        <f t="shared" si="61"/>
        <v>GAST1CPF - Desp. Lazer e Entretenimento - Bares</v>
      </c>
      <c r="P320" s="44" t="str">
        <f t="shared" si="62"/>
        <v>MCSGAST1CPF - Desp. Lazer e Entretenimento - Bares</v>
      </c>
      <c r="Q320" s="44" t="str">
        <f t="shared" si="63"/>
        <v>MCSGAST1</v>
      </c>
      <c r="R320" s="44" t="str">
        <f t="shared" si="64"/>
        <v>MCSGAST1</v>
      </c>
      <c r="S320" s="38"/>
      <c r="T320" s="304">
        <f t="shared" si="65"/>
        <v>46113</v>
      </c>
      <c r="U320" s="304" t="str">
        <f t="shared" si="66"/>
        <v/>
      </c>
      <c r="V320" s="300" t="s">
        <v>731</v>
      </c>
    </row>
    <row r="321" spans="2:22" s="300" customFormat="1" x14ac:dyDescent="0.25">
      <c r="B321" s="301" t="s">
        <v>25</v>
      </c>
      <c r="C321" s="302"/>
      <c r="D321" s="86" t="str">
        <f>INDEX(Cad_Natureza!$B$3:$C$52,MATCH('2026'!F321,Cad_Natureza!$C$3:$C$52,0),MATCH('2026'!D$2,Cad_Natureza!$B$3:$C$3,0))</f>
        <v>GAST1</v>
      </c>
      <c r="E321" s="84" t="s">
        <v>1512</v>
      </c>
      <c r="F321" s="85" t="s">
        <v>742</v>
      </c>
      <c r="G321" s="86" t="s">
        <v>25</v>
      </c>
      <c r="H321" s="87">
        <v>46125</v>
      </c>
      <c r="I321" s="87"/>
      <c r="J321" s="79" t="s">
        <v>185</v>
      </c>
      <c r="K321" s="62">
        <v>-15</v>
      </c>
      <c r="L321" s="62">
        <f t="shared" si="74"/>
        <v>525.30000000000086</v>
      </c>
      <c r="M321" s="302"/>
      <c r="N321" s="44" t="str">
        <f t="shared" si="60"/>
        <v>MCSGAST1CPF - Desp. Lazer e Entretenimento - Bares</v>
      </c>
      <c r="O321" s="44" t="str">
        <f t="shared" si="61"/>
        <v>GAST1CPF - Desp. Lazer e Entretenimento - Bares</v>
      </c>
      <c r="P321" s="44" t="str">
        <f t="shared" si="62"/>
        <v>MCSGAST1CPF - Desp. Lazer e Entretenimento - Bares</v>
      </c>
      <c r="Q321" s="44" t="str">
        <f t="shared" si="63"/>
        <v>MCSGAST1</v>
      </c>
      <c r="R321" s="44" t="str">
        <f t="shared" si="64"/>
        <v>MCSGAST1</v>
      </c>
      <c r="S321" s="38"/>
      <c r="T321" s="304">
        <f t="shared" si="65"/>
        <v>46113</v>
      </c>
      <c r="U321" s="304" t="str">
        <f t="shared" si="66"/>
        <v/>
      </c>
      <c r="V321" s="300" t="s">
        <v>731</v>
      </c>
    </row>
    <row r="322" spans="2:22" s="300" customFormat="1" x14ac:dyDescent="0.25">
      <c r="B322" s="301" t="s">
        <v>25</v>
      </c>
      <c r="C322" s="302"/>
      <c r="D322" s="86" t="str">
        <f>INDEX(Cad_Natureza!$B$3:$C$52,MATCH('2026'!F322,Cad_Natureza!$C$3:$C$52,0),MATCH('2026'!D$2,Cad_Natureza!$B$3:$C$3,0))</f>
        <v>GAST1</v>
      </c>
      <c r="E322" s="84" t="s">
        <v>1512</v>
      </c>
      <c r="F322" s="85" t="s">
        <v>742</v>
      </c>
      <c r="G322" s="86" t="s">
        <v>25</v>
      </c>
      <c r="H322" s="87">
        <v>46125</v>
      </c>
      <c r="I322" s="87"/>
      <c r="J322" s="79" t="s">
        <v>185</v>
      </c>
      <c r="K322" s="62">
        <v>-10</v>
      </c>
      <c r="L322" s="62">
        <f t="shared" si="74"/>
        <v>515.30000000000086</v>
      </c>
      <c r="M322" s="302"/>
      <c r="N322" s="44" t="str">
        <f t="shared" si="60"/>
        <v>MCSGAST1CPF - Desp. Lazer e Entretenimento - Bares</v>
      </c>
      <c r="O322" s="44" t="str">
        <f t="shared" si="61"/>
        <v>GAST1CPF - Desp. Lazer e Entretenimento - Bares</v>
      </c>
      <c r="P322" s="44" t="str">
        <f t="shared" si="62"/>
        <v>MCSGAST1CPF - Desp. Lazer e Entretenimento - Bares</v>
      </c>
      <c r="Q322" s="44" t="str">
        <f t="shared" si="63"/>
        <v>MCSGAST1</v>
      </c>
      <c r="R322" s="44" t="str">
        <f t="shared" si="64"/>
        <v>MCSGAST1</v>
      </c>
      <c r="S322" s="38"/>
      <c r="T322" s="304">
        <f t="shared" si="65"/>
        <v>46113</v>
      </c>
      <c r="U322" s="304" t="str">
        <f t="shared" si="66"/>
        <v/>
      </c>
      <c r="V322" s="300" t="s">
        <v>761</v>
      </c>
    </row>
    <row r="323" spans="2:22" s="300" customFormat="1" x14ac:dyDescent="0.25">
      <c r="B323" s="301" t="s">
        <v>25</v>
      </c>
      <c r="C323" s="302"/>
      <c r="D323" s="86" t="str">
        <f>INDEX(Cad_Natureza!$B$3:$C$52,MATCH('2026'!F323,Cad_Natureza!$C$3:$C$52,0),MATCH('2026'!D$2,Cad_Natureza!$B$3:$C$3,0))</f>
        <v>GAST1</v>
      </c>
      <c r="E323" s="84" t="s">
        <v>1513</v>
      </c>
      <c r="F323" s="85" t="s">
        <v>742</v>
      </c>
      <c r="G323" s="86" t="s">
        <v>25</v>
      </c>
      <c r="H323" s="87">
        <v>46125</v>
      </c>
      <c r="I323" s="87"/>
      <c r="J323" s="79" t="s">
        <v>185</v>
      </c>
      <c r="K323" s="62">
        <v>-5</v>
      </c>
      <c r="L323" s="62">
        <f t="shared" si="74"/>
        <v>510.30000000000086</v>
      </c>
      <c r="M323" s="302"/>
      <c r="N323" s="44" t="str">
        <f t="shared" si="60"/>
        <v>MCSGAST1CPF - Desp. Lazer e Entretenimento - Bares</v>
      </c>
      <c r="O323" s="44" t="str">
        <f t="shared" si="61"/>
        <v>GAST1CPF - Desp. Lazer e Entretenimento - Bares</v>
      </c>
      <c r="P323" s="44" t="str">
        <f t="shared" si="62"/>
        <v>MCSGAST1CPF - Desp. Lazer e Entretenimento - Bares</v>
      </c>
      <c r="Q323" s="44" t="str">
        <f t="shared" si="63"/>
        <v>MCSGAST1</v>
      </c>
      <c r="R323" s="44" t="str">
        <f t="shared" si="64"/>
        <v>MCSGAST1</v>
      </c>
      <c r="S323" s="38"/>
      <c r="T323" s="304">
        <f t="shared" si="65"/>
        <v>46113</v>
      </c>
      <c r="U323" s="304" t="str">
        <f t="shared" si="66"/>
        <v/>
      </c>
      <c r="V323" s="300" t="s">
        <v>761</v>
      </c>
    </row>
    <row r="324" spans="2:22" s="300" customFormat="1" x14ac:dyDescent="0.25">
      <c r="B324" s="301" t="s">
        <v>25</v>
      </c>
      <c r="C324" s="302"/>
      <c r="D324" s="86" t="str">
        <f>INDEX(Cad_Natureza!$B$3:$C$52,MATCH('2026'!F324,Cad_Natureza!$C$3:$C$52,0),MATCH('2026'!D$2,Cad_Natureza!$B$3:$C$3,0))</f>
        <v>DESP4</v>
      </c>
      <c r="E324" s="84" t="s">
        <v>1514</v>
      </c>
      <c r="F324" s="85" t="s">
        <v>753</v>
      </c>
      <c r="G324" s="86" t="s">
        <v>25</v>
      </c>
      <c r="H324" s="87">
        <v>46125</v>
      </c>
      <c r="I324" s="87"/>
      <c r="J324" s="79" t="s">
        <v>1330</v>
      </c>
      <c r="K324" s="62">
        <v>-74.67</v>
      </c>
      <c r="L324" s="62">
        <f t="shared" ref="L324:L387" si="82">L323+K324</f>
        <v>435.63000000000085</v>
      </c>
      <c r="M324" s="302"/>
      <c r="N324" s="44" t="str">
        <f t="shared" si="60"/>
        <v>MCSDESP4CPF - Desp. Moradia</v>
      </c>
      <c r="O324" s="44" t="str">
        <f t="shared" si="61"/>
        <v>DESP4CPF - Desp. Moradia</v>
      </c>
      <c r="P324" s="44" t="str">
        <f t="shared" si="62"/>
        <v>MCSDESP4CPF - Desp. Moradia</v>
      </c>
      <c r="Q324" s="44" t="str">
        <f t="shared" si="63"/>
        <v>MCSDESP4</v>
      </c>
      <c r="R324" s="44" t="str">
        <f t="shared" si="64"/>
        <v>MCSDESP4</v>
      </c>
      <c r="S324" s="38"/>
      <c r="T324" s="304">
        <f t="shared" si="65"/>
        <v>46113</v>
      </c>
      <c r="U324" s="304" t="str">
        <f t="shared" si="66"/>
        <v/>
      </c>
      <c r="V324" s="300" t="s">
        <v>761</v>
      </c>
    </row>
    <row r="325" spans="2:22" s="300" customFormat="1" x14ac:dyDescent="0.25">
      <c r="B325" s="301" t="s">
        <v>25</v>
      </c>
      <c r="C325" s="302"/>
      <c r="D325" s="86" t="str">
        <f>INDEX(Cad_Natureza!$B$3:$C$52,MATCH('2026'!F325,Cad_Natureza!$C$3:$C$52,0),MATCH('2026'!D$2,Cad_Natureza!$B$3:$C$3,0))</f>
        <v>PENS6</v>
      </c>
      <c r="E325" s="84" t="s">
        <v>1515</v>
      </c>
      <c r="F325" s="85" t="s">
        <v>37</v>
      </c>
      <c r="G325" s="86" t="s">
        <v>25</v>
      </c>
      <c r="H325" s="87">
        <v>46125</v>
      </c>
      <c r="I325" s="87"/>
      <c r="J325" s="78" t="s">
        <v>568</v>
      </c>
      <c r="K325" s="62">
        <v>-35.99</v>
      </c>
      <c r="L325" s="62">
        <f t="shared" si="82"/>
        <v>399.64000000000084</v>
      </c>
      <c r="M325" s="302"/>
      <c r="N325" s="44" t="str">
        <f t="shared" si="60"/>
        <v>MCSPENS6CPF - Pensão - Farmácia e Saúde</v>
      </c>
      <c r="O325" s="44" t="str">
        <f t="shared" si="61"/>
        <v>PENS6CPF - Pensão - Farmácia e Saúde</v>
      </c>
      <c r="P325" s="44" t="str">
        <f t="shared" si="62"/>
        <v>MCSPENS6CPF - Pensão - Farmácia e Saúde</v>
      </c>
      <c r="Q325" s="44" t="str">
        <f t="shared" si="63"/>
        <v>MCSPENS6</v>
      </c>
      <c r="R325" s="44" t="str">
        <f t="shared" si="64"/>
        <v>MCSPENS6</v>
      </c>
      <c r="S325" s="38"/>
      <c r="T325" s="304">
        <f t="shared" si="65"/>
        <v>46113</v>
      </c>
      <c r="U325" s="304" t="str">
        <f t="shared" si="66"/>
        <v/>
      </c>
      <c r="V325" s="300" t="s">
        <v>761</v>
      </c>
    </row>
    <row r="326" spans="2:22" s="300" customFormat="1" x14ac:dyDescent="0.25">
      <c r="B326" s="301" t="s">
        <v>25</v>
      </c>
      <c r="C326" s="302"/>
      <c r="D326" s="86" t="str">
        <f>INDEX(Cad_Natureza!$B$3:$C$52,MATCH('2026'!F326,Cad_Natureza!$C$3:$C$52,0),MATCH('2026'!D$2,Cad_Natureza!$B$3:$C$3,0))</f>
        <v>GAST1</v>
      </c>
      <c r="E326" s="84" t="s">
        <v>1516</v>
      </c>
      <c r="F326" s="85" t="s">
        <v>742</v>
      </c>
      <c r="G326" s="86" t="s">
        <v>25</v>
      </c>
      <c r="H326" s="87">
        <v>46125</v>
      </c>
      <c r="I326" s="87"/>
      <c r="J326" s="79" t="s">
        <v>185</v>
      </c>
      <c r="K326" s="62">
        <v>-45.5</v>
      </c>
      <c r="L326" s="62">
        <f t="shared" si="82"/>
        <v>354.14000000000084</v>
      </c>
      <c r="M326" s="302"/>
      <c r="N326" s="44" t="str">
        <f t="shared" si="60"/>
        <v>MCSGAST1CPF - Desp. Lazer e Entretenimento - Bares</v>
      </c>
      <c r="O326" s="44" t="str">
        <f t="shared" si="61"/>
        <v>GAST1CPF - Desp. Lazer e Entretenimento - Bares</v>
      </c>
      <c r="P326" s="44" t="str">
        <f t="shared" si="62"/>
        <v>MCSGAST1CPF - Desp. Lazer e Entretenimento - Bares</v>
      </c>
      <c r="Q326" s="44" t="str">
        <f t="shared" si="63"/>
        <v>MCSGAST1</v>
      </c>
      <c r="R326" s="44" t="str">
        <f t="shared" si="64"/>
        <v>MCSGAST1</v>
      </c>
      <c r="S326" s="38"/>
      <c r="T326" s="304">
        <f t="shared" si="65"/>
        <v>46113</v>
      </c>
      <c r="U326" s="304" t="str">
        <f t="shared" si="66"/>
        <v/>
      </c>
      <c r="V326" s="300" t="s">
        <v>761</v>
      </c>
    </row>
    <row r="327" spans="2:22" s="300" customFormat="1" x14ac:dyDescent="0.25">
      <c r="B327" s="301" t="s">
        <v>25</v>
      </c>
      <c r="C327" s="302"/>
      <c r="D327" s="86" t="str">
        <f>INDEX(Cad_Natureza!$B$3:$C$52,MATCH('2026'!F327,Cad_Natureza!$C$3:$C$52,0),MATCH('2026'!D$2,Cad_Natureza!$B$3:$C$3,0))</f>
        <v>GAST1</v>
      </c>
      <c r="E327" s="84" t="s">
        <v>1516</v>
      </c>
      <c r="F327" s="85" t="s">
        <v>742</v>
      </c>
      <c r="G327" s="86" t="s">
        <v>25</v>
      </c>
      <c r="H327" s="87">
        <v>46125</v>
      </c>
      <c r="I327" s="87"/>
      <c r="J327" s="79" t="s">
        <v>185</v>
      </c>
      <c r="K327" s="62">
        <v>-5</v>
      </c>
      <c r="L327" s="62">
        <f t="shared" si="82"/>
        <v>349.14000000000084</v>
      </c>
      <c r="M327" s="302"/>
      <c r="N327" s="44" t="str">
        <f t="shared" si="60"/>
        <v>MCSGAST1CPF - Desp. Lazer e Entretenimento - Bares</v>
      </c>
      <c r="O327" s="44" t="str">
        <f t="shared" si="61"/>
        <v>GAST1CPF - Desp. Lazer e Entretenimento - Bares</v>
      </c>
      <c r="P327" s="44" t="str">
        <f t="shared" si="62"/>
        <v>MCSGAST1CPF - Desp. Lazer e Entretenimento - Bares</v>
      </c>
      <c r="Q327" s="44" t="str">
        <f t="shared" si="63"/>
        <v>MCSGAST1</v>
      </c>
      <c r="R327" s="44" t="str">
        <f t="shared" si="64"/>
        <v>MCSGAST1</v>
      </c>
      <c r="S327" s="38"/>
      <c r="T327" s="304">
        <f t="shared" si="65"/>
        <v>46113</v>
      </c>
      <c r="U327" s="304" t="str">
        <f t="shared" si="66"/>
        <v/>
      </c>
      <c r="V327" s="300" t="s">
        <v>761</v>
      </c>
    </row>
    <row r="328" spans="2:22" s="300" customFormat="1" x14ac:dyDescent="0.25">
      <c r="B328" s="301" t="s">
        <v>25</v>
      </c>
      <c r="C328" s="302"/>
      <c r="D328" s="86" t="str">
        <f>INDEX(Cad_Natureza!$B$3:$C$52,MATCH('2026'!F328,Cad_Natureza!$C$3:$C$52,0),MATCH('2026'!D$2,Cad_Natureza!$B$3:$C$3,0))</f>
        <v>DESP4</v>
      </c>
      <c r="E328" s="84" t="s">
        <v>1517</v>
      </c>
      <c r="F328" s="85" t="s">
        <v>753</v>
      </c>
      <c r="G328" s="86" t="s">
        <v>25</v>
      </c>
      <c r="H328" s="87">
        <v>46125</v>
      </c>
      <c r="I328" s="87"/>
      <c r="J328" s="79" t="s">
        <v>1330</v>
      </c>
      <c r="K328" s="62">
        <v>-17.940000000000001</v>
      </c>
      <c r="L328" s="62">
        <f t="shared" si="82"/>
        <v>331.20000000000084</v>
      </c>
      <c r="M328" s="302"/>
      <c r="N328" s="44" t="str">
        <f t="shared" si="60"/>
        <v>MCSDESP4CPF - Desp. Moradia</v>
      </c>
      <c r="O328" s="44" t="str">
        <f t="shared" si="61"/>
        <v>DESP4CPF - Desp. Moradia</v>
      </c>
      <c r="P328" s="44" t="str">
        <f t="shared" si="62"/>
        <v>MCSDESP4CPF - Desp. Moradia</v>
      </c>
      <c r="Q328" s="44" t="str">
        <f t="shared" si="63"/>
        <v>MCSDESP4</v>
      </c>
      <c r="R328" s="44" t="str">
        <f t="shared" si="64"/>
        <v>MCSDESP4</v>
      </c>
      <c r="S328" s="38"/>
      <c r="T328" s="304">
        <f t="shared" si="65"/>
        <v>46113</v>
      </c>
      <c r="U328" s="304" t="str">
        <f t="shared" si="66"/>
        <v/>
      </c>
      <c r="V328" s="300" t="s">
        <v>761</v>
      </c>
    </row>
    <row r="329" spans="2:22" s="300" customFormat="1" x14ac:dyDescent="0.25">
      <c r="B329" s="301" t="s">
        <v>25</v>
      </c>
      <c r="C329" s="302"/>
      <c r="D329" s="86" t="str">
        <f>INDEX(Cad_Natureza!$B$3:$C$52,MATCH('2026'!F329,Cad_Natureza!$C$3:$C$52,0),MATCH('2026'!D$2,Cad_Natureza!$B$3:$C$3,0))</f>
        <v>FIN1</v>
      </c>
      <c r="E329" s="84" t="s">
        <v>1518</v>
      </c>
      <c r="F329" s="85" t="s">
        <v>713</v>
      </c>
      <c r="G329" s="86" t="s">
        <v>25</v>
      </c>
      <c r="H329" s="87">
        <v>46125</v>
      </c>
      <c r="I329" s="87"/>
      <c r="J329" s="79" t="s">
        <v>1587</v>
      </c>
      <c r="K329" s="62">
        <v>-30</v>
      </c>
      <c r="L329" s="62">
        <f t="shared" si="82"/>
        <v>301.20000000000084</v>
      </c>
      <c r="M329" s="302"/>
      <c r="N329" s="44" t="str">
        <f t="shared" si="60"/>
        <v>MCSFIN1CPF - Desp. Financeiras - Empréstimos</v>
      </c>
      <c r="O329" s="44" t="str">
        <f t="shared" si="61"/>
        <v>FIN1CPF - Desp. Financeiras - Empréstimos</v>
      </c>
      <c r="P329" s="44" t="str">
        <f t="shared" si="62"/>
        <v>MCSFIN1CPF - Desp. Financeiras - Empréstimos</v>
      </c>
      <c r="Q329" s="44" t="str">
        <f t="shared" si="63"/>
        <v>MCSFIN1</v>
      </c>
      <c r="R329" s="44" t="str">
        <f t="shared" si="64"/>
        <v>MCSFIN1</v>
      </c>
      <c r="S329" s="38"/>
      <c r="T329" s="304">
        <f t="shared" si="65"/>
        <v>46113</v>
      </c>
      <c r="U329" s="304" t="str">
        <f t="shared" si="66"/>
        <v/>
      </c>
      <c r="V329" s="300" t="s">
        <v>731</v>
      </c>
    </row>
    <row r="330" spans="2:22" s="300" customFormat="1" x14ac:dyDescent="0.25">
      <c r="B330" s="301" t="s">
        <v>25</v>
      </c>
      <c r="C330" s="302"/>
      <c r="D330" s="86" t="str">
        <f>INDEX(Cad_Natureza!$B$3:$C$52,MATCH('2026'!F330,Cad_Natureza!$C$3:$C$52,0),MATCH('2026'!D$2,Cad_Natureza!$B$3:$C$3,0))</f>
        <v>GAST1</v>
      </c>
      <c r="E330" s="84" t="s">
        <v>1519</v>
      </c>
      <c r="F330" s="85" t="s">
        <v>742</v>
      </c>
      <c r="G330" s="86" t="s">
        <v>25</v>
      </c>
      <c r="H330" s="87">
        <v>46125</v>
      </c>
      <c r="I330" s="87"/>
      <c r="J330" s="79" t="s">
        <v>185</v>
      </c>
      <c r="K330" s="62">
        <v>-9</v>
      </c>
      <c r="L330" s="62">
        <f t="shared" si="82"/>
        <v>292.20000000000084</v>
      </c>
      <c r="M330" s="302"/>
      <c r="N330" s="44" t="str">
        <f t="shared" si="60"/>
        <v>MCSGAST1CPF - Desp. Lazer e Entretenimento - Bares</v>
      </c>
      <c r="O330" s="44" t="str">
        <f t="shared" si="61"/>
        <v>GAST1CPF - Desp. Lazer e Entretenimento - Bares</v>
      </c>
      <c r="P330" s="44" t="str">
        <f t="shared" si="62"/>
        <v>MCSGAST1CPF - Desp. Lazer e Entretenimento - Bares</v>
      </c>
      <c r="Q330" s="44" t="str">
        <f t="shared" si="63"/>
        <v>MCSGAST1</v>
      </c>
      <c r="R330" s="44" t="str">
        <f t="shared" si="64"/>
        <v>MCSGAST1</v>
      </c>
      <c r="S330" s="38"/>
      <c r="T330" s="304">
        <f t="shared" si="65"/>
        <v>46113</v>
      </c>
      <c r="U330" s="304" t="str">
        <f t="shared" si="66"/>
        <v/>
      </c>
      <c r="V330" s="300" t="s">
        <v>731</v>
      </c>
    </row>
    <row r="331" spans="2:22" s="300" customFormat="1" x14ac:dyDescent="0.25">
      <c r="B331" s="301" t="s">
        <v>25</v>
      </c>
      <c r="C331" s="302"/>
      <c r="D331" s="86" t="str">
        <f>INDEX(Cad_Natureza!$B$3:$C$52,MATCH('2026'!F331,Cad_Natureza!$C$3:$C$52,0),MATCH('2026'!D$2,Cad_Natureza!$B$3:$C$3,0))</f>
        <v>GAST1</v>
      </c>
      <c r="E331" s="84" t="s">
        <v>1513</v>
      </c>
      <c r="F331" s="85" t="s">
        <v>742</v>
      </c>
      <c r="G331" s="86" t="s">
        <v>25</v>
      </c>
      <c r="H331" s="87">
        <v>46125</v>
      </c>
      <c r="I331" s="87"/>
      <c r="J331" s="79" t="s">
        <v>185</v>
      </c>
      <c r="K331" s="62">
        <v>-13</v>
      </c>
      <c r="L331" s="62">
        <f t="shared" si="82"/>
        <v>279.20000000000084</v>
      </c>
      <c r="M331" s="302"/>
      <c r="N331" s="44" t="str">
        <f t="shared" si="60"/>
        <v>MCSGAST1CPF - Desp. Lazer e Entretenimento - Bares</v>
      </c>
      <c r="O331" s="44" t="str">
        <f t="shared" si="61"/>
        <v>GAST1CPF - Desp. Lazer e Entretenimento - Bares</v>
      </c>
      <c r="P331" s="44" t="str">
        <f t="shared" si="62"/>
        <v>MCSGAST1CPF - Desp. Lazer e Entretenimento - Bares</v>
      </c>
      <c r="Q331" s="44" t="str">
        <f t="shared" si="63"/>
        <v>MCSGAST1</v>
      </c>
      <c r="R331" s="44" t="str">
        <f t="shared" si="64"/>
        <v>MCSGAST1</v>
      </c>
      <c r="S331" s="38"/>
      <c r="T331" s="304">
        <f t="shared" si="65"/>
        <v>46113</v>
      </c>
      <c r="U331" s="304" t="str">
        <f t="shared" si="66"/>
        <v/>
      </c>
      <c r="V331" s="300" t="s">
        <v>761</v>
      </c>
    </row>
    <row r="332" spans="2:22" s="300" customFormat="1" x14ac:dyDescent="0.25">
      <c r="B332" s="301" t="s">
        <v>25</v>
      </c>
      <c r="C332" s="302"/>
      <c r="D332" s="86" t="str">
        <f>INDEX(Cad_Natureza!$B$3:$C$52,MATCH('2026'!F332,Cad_Natureza!$C$3:$C$52,0),MATCH('2026'!D$2,Cad_Natureza!$B$3:$C$3,0))</f>
        <v>GAST1</v>
      </c>
      <c r="E332" s="84" t="s">
        <v>1520</v>
      </c>
      <c r="F332" s="85" t="s">
        <v>742</v>
      </c>
      <c r="G332" s="86" t="s">
        <v>25</v>
      </c>
      <c r="H332" s="87">
        <v>46125</v>
      </c>
      <c r="I332" s="87"/>
      <c r="J332" s="79" t="s">
        <v>185</v>
      </c>
      <c r="K332" s="62">
        <v>-20</v>
      </c>
      <c r="L332" s="62">
        <f t="shared" si="82"/>
        <v>259.20000000000084</v>
      </c>
      <c r="M332" s="302"/>
      <c r="N332" s="44" t="str">
        <f t="shared" si="60"/>
        <v>MCSGAST1CPF - Desp. Lazer e Entretenimento - Bares</v>
      </c>
      <c r="O332" s="44" t="str">
        <f t="shared" si="61"/>
        <v>GAST1CPF - Desp. Lazer e Entretenimento - Bares</v>
      </c>
      <c r="P332" s="44" t="str">
        <f t="shared" si="62"/>
        <v>MCSGAST1CPF - Desp. Lazer e Entretenimento - Bares</v>
      </c>
      <c r="Q332" s="44" t="str">
        <f t="shared" si="63"/>
        <v>MCSGAST1</v>
      </c>
      <c r="R332" s="44" t="str">
        <f t="shared" si="64"/>
        <v>MCSGAST1</v>
      </c>
      <c r="S332" s="38"/>
      <c r="T332" s="304">
        <f t="shared" si="65"/>
        <v>46113</v>
      </c>
      <c r="U332" s="304" t="str">
        <f t="shared" si="66"/>
        <v/>
      </c>
      <c r="V332" s="300" t="s">
        <v>761</v>
      </c>
    </row>
    <row r="333" spans="2:22" s="300" customFormat="1" x14ac:dyDescent="0.25">
      <c r="B333" s="301" t="s">
        <v>25</v>
      </c>
      <c r="C333" s="302"/>
      <c r="D333" s="86" t="str">
        <f>INDEX(Cad_Natureza!$B$3:$C$52,MATCH('2026'!F333,Cad_Natureza!$C$3:$C$52,0),MATCH('2026'!D$2,Cad_Natureza!$B$3:$C$3,0))</f>
        <v>GAST1</v>
      </c>
      <c r="E333" s="84" t="s">
        <v>1521</v>
      </c>
      <c r="F333" s="85" t="s">
        <v>742</v>
      </c>
      <c r="G333" s="86" t="s">
        <v>25</v>
      </c>
      <c r="H333" s="87">
        <v>46125</v>
      </c>
      <c r="I333" s="87"/>
      <c r="J333" s="79" t="s">
        <v>185</v>
      </c>
      <c r="K333" s="62">
        <v>-68</v>
      </c>
      <c r="L333" s="62">
        <f t="shared" si="82"/>
        <v>191.20000000000084</v>
      </c>
      <c r="M333" s="302"/>
      <c r="N333" s="44" t="str">
        <f t="shared" si="60"/>
        <v>MCSGAST1CPF - Desp. Lazer e Entretenimento - Bares</v>
      </c>
      <c r="O333" s="44" t="str">
        <f t="shared" si="61"/>
        <v>GAST1CPF - Desp. Lazer e Entretenimento - Bares</v>
      </c>
      <c r="P333" s="44" t="str">
        <f t="shared" si="62"/>
        <v>MCSGAST1CPF - Desp. Lazer e Entretenimento - Bares</v>
      </c>
      <c r="Q333" s="44" t="str">
        <f t="shared" si="63"/>
        <v>MCSGAST1</v>
      </c>
      <c r="R333" s="44" t="str">
        <f t="shared" si="64"/>
        <v>MCSGAST1</v>
      </c>
      <c r="S333" s="38"/>
      <c r="T333" s="304">
        <f t="shared" si="65"/>
        <v>46113</v>
      </c>
      <c r="U333" s="304" t="str">
        <f t="shared" si="66"/>
        <v/>
      </c>
      <c r="V333" s="300" t="s">
        <v>761</v>
      </c>
    </row>
    <row r="334" spans="2:22" s="291" customFormat="1" x14ac:dyDescent="0.25">
      <c r="B334" s="288" t="s">
        <v>25</v>
      </c>
      <c r="C334" s="83"/>
      <c r="D334" s="63" t="str">
        <f>INDEX(Cad_Natureza!$B$3:$C$52,MATCH('2026'!F334,Cad_Natureza!$C$3:$C$52,0),MATCH('2026'!D$2,Cad_Natureza!$B$3:$C$3,0))</f>
        <v>REC5</v>
      </c>
      <c r="E334" s="64" t="s">
        <v>1522</v>
      </c>
      <c r="F334" s="65" t="s">
        <v>740</v>
      </c>
      <c r="G334" s="63" t="s">
        <v>25</v>
      </c>
      <c r="H334" s="66">
        <v>46125</v>
      </c>
      <c r="I334" s="66"/>
      <c r="J334" s="67" t="s">
        <v>1597</v>
      </c>
      <c r="K334" s="68">
        <v>25</v>
      </c>
      <c r="L334" s="68">
        <f t="shared" si="82"/>
        <v>216.20000000000084</v>
      </c>
      <c r="M334" s="83"/>
      <c r="N334" s="44" t="str">
        <f t="shared" si="60"/>
        <v>MCSREC5CPF - Outras receitas</v>
      </c>
      <c r="O334" s="44" t="str">
        <f t="shared" si="61"/>
        <v>REC5CPF - Outras receitas</v>
      </c>
      <c r="P334" s="44" t="str">
        <f t="shared" si="62"/>
        <v>MCSREC5CPF - Outras receitas</v>
      </c>
      <c r="Q334" s="44" t="str">
        <f t="shared" si="63"/>
        <v>MCSREC5</v>
      </c>
      <c r="R334" s="44" t="str">
        <f t="shared" si="64"/>
        <v>MCSREC5</v>
      </c>
      <c r="S334" s="38"/>
      <c r="T334" s="290">
        <f t="shared" si="65"/>
        <v>46113</v>
      </c>
      <c r="U334" s="290" t="str">
        <f t="shared" si="66"/>
        <v/>
      </c>
      <c r="V334" s="291" t="s">
        <v>761</v>
      </c>
    </row>
    <row r="335" spans="2:22" s="300" customFormat="1" x14ac:dyDescent="0.25">
      <c r="B335" s="301" t="s">
        <v>25</v>
      </c>
      <c r="C335" s="302"/>
      <c r="D335" s="86" t="str">
        <f>INDEX(Cad_Natureza!$B$3:$C$52,MATCH('2026'!F335,Cad_Natureza!$C$3:$C$52,0),MATCH('2026'!D$2,Cad_Natureza!$B$3:$C$3,0))</f>
        <v>GAST2</v>
      </c>
      <c r="E335" s="84" t="s">
        <v>1523</v>
      </c>
      <c r="F335" s="85" t="s">
        <v>743</v>
      </c>
      <c r="G335" s="86" t="s">
        <v>25</v>
      </c>
      <c r="H335" s="87">
        <v>46125</v>
      </c>
      <c r="I335" s="87"/>
      <c r="J335" s="79" t="s">
        <v>180</v>
      </c>
      <c r="K335" s="62">
        <v>-35</v>
      </c>
      <c r="L335" s="62">
        <f t="shared" si="82"/>
        <v>181.20000000000084</v>
      </c>
      <c r="M335" s="302"/>
      <c r="N335" s="44" t="str">
        <f t="shared" si="60"/>
        <v>MCSGAST2CPF - Desp. Lazer e Entretenimento - Cigarro</v>
      </c>
      <c r="O335" s="44" t="str">
        <f t="shared" si="61"/>
        <v>GAST2CPF - Desp. Lazer e Entretenimento - Cigarro</v>
      </c>
      <c r="P335" s="44" t="str">
        <f t="shared" si="62"/>
        <v>MCSGAST2CPF - Desp. Lazer e Entretenimento - Cigarro</v>
      </c>
      <c r="Q335" s="44" t="str">
        <f t="shared" si="63"/>
        <v>MCSGAST2</v>
      </c>
      <c r="R335" s="44" t="str">
        <f t="shared" si="64"/>
        <v>MCSGAST2</v>
      </c>
      <c r="S335" s="38"/>
      <c r="T335" s="304">
        <f t="shared" si="65"/>
        <v>46113</v>
      </c>
      <c r="U335" s="304" t="str">
        <f t="shared" si="66"/>
        <v/>
      </c>
      <c r="V335" s="300" t="s">
        <v>731</v>
      </c>
    </row>
    <row r="336" spans="2:22" s="300" customFormat="1" x14ac:dyDescent="0.25">
      <c r="B336" s="301" t="s">
        <v>25</v>
      </c>
      <c r="C336" s="302"/>
      <c r="D336" s="86" t="str">
        <f>INDEX(Cad_Natureza!$B$3:$C$52,MATCH('2026'!F336,Cad_Natureza!$C$3:$C$52,0),MATCH('2026'!D$2,Cad_Natureza!$B$3:$C$3,0))</f>
        <v>OPF2</v>
      </c>
      <c r="E336" s="84" t="s">
        <v>1524</v>
      </c>
      <c r="F336" s="85" t="s">
        <v>741</v>
      </c>
      <c r="G336" s="86" t="s">
        <v>25</v>
      </c>
      <c r="H336" s="87">
        <v>46125</v>
      </c>
      <c r="I336" s="87"/>
      <c r="J336" s="79" t="s">
        <v>184</v>
      </c>
      <c r="K336" s="62">
        <v>-78.84</v>
      </c>
      <c r="L336" s="62">
        <f t="shared" si="82"/>
        <v>102.36000000000084</v>
      </c>
      <c r="M336" s="302"/>
      <c r="N336" s="44" t="str">
        <f t="shared" si="60"/>
        <v>MCSOPF2CPF - Desp. Transporte / Combustível</v>
      </c>
      <c r="O336" s="44" t="str">
        <f t="shared" si="61"/>
        <v>OPF2CPF - Desp. Transporte / Combustível</v>
      </c>
      <c r="P336" s="44" t="str">
        <f t="shared" si="62"/>
        <v>MCSOPF2CPF - Desp. Transporte / Combustível</v>
      </c>
      <c r="Q336" s="44" t="str">
        <f t="shared" si="63"/>
        <v>MCSOPF2</v>
      </c>
      <c r="R336" s="44" t="str">
        <f t="shared" si="64"/>
        <v>MCSOPF2</v>
      </c>
      <c r="S336" s="38"/>
      <c r="T336" s="304">
        <f t="shared" si="65"/>
        <v>46113</v>
      </c>
      <c r="U336" s="304" t="str">
        <f t="shared" si="66"/>
        <v/>
      </c>
      <c r="V336" s="300" t="s">
        <v>731</v>
      </c>
    </row>
    <row r="337" spans="2:22" s="300" customFormat="1" x14ac:dyDescent="0.25">
      <c r="B337" s="301" t="s">
        <v>25</v>
      </c>
      <c r="C337" s="302"/>
      <c r="D337" s="86" t="str">
        <f>INDEX(Cad_Natureza!$B$3:$C$52,MATCH('2026'!F337,Cad_Natureza!$C$3:$C$52,0),MATCH('2026'!D$2,Cad_Natureza!$B$3:$C$3,0))</f>
        <v>OPF1</v>
      </c>
      <c r="E337" s="84" t="s">
        <v>1525</v>
      </c>
      <c r="F337" s="85" t="s">
        <v>744</v>
      </c>
      <c r="G337" s="86" t="s">
        <v>25</v>
      </c>
      <c r="H337" s="87">
        <v>46125</v>
      </c>
      <c r="I337" s="87"/>
      <c r="J337" s="79" t="s">
        <v>182</v>
      </c>
      <c r="K337" s="62">
        <v>-20</v>
      </c>
      <c r="L337" s="62">
        <f t="shared" si="82"/>
        <v>82.360000000000838</v>
      </c>
      <c r="M337" s="302"/>
      <c r="N337" s="44" t="str">
        <f t="shared" si="60"/>
        <v>MCSOPF1CPF - Desp. Alimentação / Refeição</v>
      </c>
      <c r="O337" s="44" t="str">
        <f t="shared" si="61"/>
        <v>OPF1CPF - Desp. Alimentação / Refeição</v>
      </c>
      <c r="P337" s="44" t="str">
        <f t="shared" si="62"/>
        <v>MCSOPF1CPF - Desp. Alimentação / Refeição</v>
      </c>
      <c r="Q337" s="44" t="str">
        <f t="shared" si="63"/>
        <v>MCSOPF1</v>
      </c>
      <c r="R337" s="44" t="str">
        <f t="shared" si="64"/>
        <v>MCSOPF1</v>
      </c>
      <c r="S337" s="38"/>
      <c r="T337" s="304">
        <f t="shared" si="65"/>
        <v>46113</v>
      </c>
      <c r="U337" s="304" t="str">
        <f t="shared" si="66"/>
        <v/>
      </c>
      <c r="V337" s="300" t="s">
        <v>761</v>
      </c>
    </row>
    <row r="338" spans="2:22" s="300" customFormat="1" x14ac:dyDescent="0.25">
      <c r="B338" s="301" t="s">
        <v>25</v>
      </c>
      <c r="C338" s="302"/>
      <c r="D338" s="86" t="str">
        <f>INDEX(Cad_Natureza!$B$3:$C$52,MATCH('2026'!F338,Cad_Natureza!$C$3:$C$52,0),MATCH('2026'!D$2,Cad_Natureza!$B$3:$C$3,0))</f>
        <v>GAST1</v>
      </c>
      <c r="E338" s="84" t="s">
        <v>1526</v>
      </c>
      <c r="F338" s="85" t="s">
        <v>742</v>
      </c>
      <c r="G338" s="86" t="s">
        <v>25</v>
      </c>
      <c r="H338" s="87">
        <v>46125</v>
      </c>
      <c r="I338" s="87"/>
      <c r="J338" s="79" t="s">
        <v>1340</v>
      </c>
      <c r="K338" s="62">
        <v>-3</v>
      </c>
      <c r="L338" s="62">
        <f t="shared" si="82"/>
        <v>79.360000000000838</v>
      </c>
      <c r="M338" s="302"/>
      <c r="N338" s="44" t="str">
        <f t="shared" si="60"/>
        <v>MCSGAST1CPF - Desp. Lazer e Entretenimento - Bares</v>
      </c>
      <c r="O338" s="44" t="str">
        <f t="shared" si="61"/>
        <v>GAST1CPF - Desp. Lazer e Entretenimento - Bares</v>
      </c>
      <c r="P338" s="44" t="str">
        <f t="shared" si="62"/>
        <v>MCSGAST1CPF - Desp. Lazer e Entretenimento - Bares</v>
      </c>
      <c r="Q338" s="44" t="str">
        <f t="shared" si="63"/>
        <v>MCSGAST1</v>
      </c>
      <c r="R338" s="44" t="str">
        <f t="shared" si="64"/>
        <v>MCSGAST1</v>
      </c>
      <c r="S338" s="38"/>
      <c r="T338" s="304">
        <f t="shared" si="65"/>
        <v>46113</v>
      </c>
      <c r="U338" s="304" t="str">
        <f t="shared" si="66"/>
        <v/>
      </c>
      <c r="V338" s="300" t="s">
        <v>761</v>
      </c>
    </row>
    <row r="339" spans="2:22" s="300" customFormat="1" x14ac:dyDescent="0.25">
      <c r="B339" s="301" t="s">
        <v>25</v>
      </c>
      <c r="C339" s="302"/>
      <c r="D339" s="86" t="str">
        <f>INDEX(Cad_Natureza!$B$3:$C$52,MATCH('2026'!F339,Cad_Natureza!$C$3:$C$52,0),MATCH('2026'!D$2,Cad_Natureza!$B$3:$C$3,0))</f>
        <v>GAST1</v>
      </c>
      <c r="E339" s="84" t="s">
        <v>1527</v>
      </c>
      <c r="F339" s="85" t="s">
        <v>742</v>
      </c>
      <c r="G339" s="86" t="s">
        <v>25</v>
      </c>
      <c r="H339" s="87">
        <v>46125</v>
      </c>
      <c r="I339" s="87"/>
      <c r="J339" s="79" t="s">
        <v>185</v>
      </c>
      <c r="K339" s="62">
        <v>-9</v>
      </c>
      <c r="L339" s="62">
        <f t="shared" si="82"/>
        <v>70.360000000000838</v>
      </c>
      <c r="M339" s="302"/>
      <c r="N339" s="44" t="str">
        <f t="shared" si="60"/>
        <v>MCSGAST1CPF - Desp. Lazer e Entretenimento - Bares</v>
      </c>
      <c r="O339" s="44" t="str">
        <f t="shared" si="61"/>
        <v>GAST1CPF - Desp. Lazer e Entretenimento - Bares</v>
      </c>
      <c r="P339" s="44" t="str">
        <f t="shared" si="62"/>
        <v>MCSGAST1CPF - Desp. Lazer e Entretenimento - Bares</v>
      </c>
      <c r="Q339" s="44" t="str">
        <f t="shared" si="63"/>
        <v>MCSGAST1</v>
      </c>
      <c r="R339" s="44" t="str">
        <f t="shared" si="64"/>
        <v>MCSGAST1</v>
      </c>
      <c r="S339" s="38"/>
      <c r="T339" s="304">
        <f t="shared" si="65"/>
        <v>46113</v>
      </c>
      <c r="U339" s="304" t="str">
        <f t="shared" si="66"/>
        <v/>
      </c>
      <c r="V339" s="300" t="s">
        <v>761</v>
      </c>
    </row>
    <row r="340" spans="2:22" s="300" customFormat="1" x14ac:dyDescent="0.25">
      <c r="B340" s="301" t="s">
        <v>25</v>
      </c>
      <c r="C340" s="302"/>
      <c r="D340" s="86" t="str">
        <f>INDEX(Cad_Natureza!$B$3:$C$52,MATCH('2026'!F340,Cad_Natureza!$C$3:$C$52,0),MATCH('2026'!D$2,Cad_Natureza!$B$3:$C$3,0))</f>
        <v>GAST1</v>
      </c>
      <c r="E340" s="84" t="s">
        <v>1528</v>
      </c>
      <c r="F340" s="85" t="s">
        <v>742</v>
      </c>
      <c r="G340" s="86" t="s">
        <v>25</v>
      </c>
      <c r="H340" s="87">
        <v>46125</v>
      </c>
      <c r="I340" s="87"/>
      <c r="J340" s="79" t="s">
        <v>185</v>
      </c>
      <c r="K340" s="62">
        <v>-16</v>
      </c>
      <c r="L340" s="62">
        <f t="shared" si="82"/>
        <v>54.360000000000838</v>
      </c>
      <c r="M340" s="302"/>
      <c r="N340" s="44" t="str">
        <f t="shared" si="60"/>
        <v>MCSGAST1CPF - Desp. Lazer e Entretenimento - Bares</v>
      </c>
      <c r="O340" s="44" t="str">
        <f t="shared" si="61"/>
        <v>GAST1CPF - Desp. Lazer e Entretenimento - Bares</v>
      </c>
      <c r="P340" s="44" t="str">
        <f t="shared" si="62"/>
        <v>MCSGAST1CPF - Desp. Lazer e Entretenimento - Bares</v>
      </c>
      <c r="Q340" s="44" t="str">
        <f t="shared" si="63"/>
        <v>MCSGAST1</v>
      </c>
      <c r="R340" s="44" t="str">
        <f t="shared" si="64"/>
        <v>MCSGAST1</v>
      </c>
      <c r="S340" s="38"/>
      <c r="T340" s="304">
        <f t="shared" si="65"/>
        <v>46113</v>
      </c>
      <c r="U340" s="304" t="str">
        <f t="shared" si="66"/>
        <v/>
      </c>
      <c r="V340" s="300" t="s">
        <v>761</v>
      </c>
    </row>
    <row r="341" spans="2:22" s="300" customFormat="1" x14ac:dyDescent="0.25">
      <c r="B341" s="301" t="s">
        <v>25</v>
      </c>
      <c r="C341" s="302"/>
      <c r="D341" s="86" t="str">
        <f>INDEX(Cad_Natureza!$B$3:$C$52,MATCH('2026'!F341,Cad_Natureza!$C$3:$C$52,0),MATCH('2026'!D$2,Cad_Natureza!$B$3:$C$3,0))</f>
        <v>GAST1</v>
      </c>
      <c r="E341" s="84" t="s">
        <v>1528</v>
      </c>
      <c r="F341" s="85" t="s">
        <v>742</v>
      </c>
      <c r="G341" s="86" t="s">
        <v>25</v>
      </c>
      <c r="H341" s="87">
        <v>46125</v>
      </c>
      <c r="I341" s="87"/>
      <c r="J341" s="79" t="s">
        <v>185</v>
      </c>
      <c r="K341" s="62">
        <v>-12</v>
      </c>
      <c r="L341" s="62">
        <f t="shared" si="82"/>
        <v>42.360000000000838</v>
      </c>
      <c r="M341" s="302"/>
      <c r="N341" s="44" t="str">
        <f t="shared" si="60"/>
        <v>MCSGAST1CPF - Desp. Lazer e Entretenimento - Bares</v>
      </c>
      <c r="O341" s="44" t="str">
        <f t="shared" si="61"/>
        <v>GAST1CPF - Desp. Lazer e Entretenimento - Bares</v>
      </c>
      <c r="P341" s="44" t="str">
        <f t="shared" si="62"/>
        <v>MCSGAST1CPF - Desp. Lazer e Entretenimento - Bares</v>
      </c>
      <c r="Q341" s="44" t="str">
        <f t="shared" si="63"/>
        <v>MCSGAST1</v>
      </c>
      <c r="R341" s="44" t="str">
        <f t="shared" si="64"/>
        <v>MCSGAST1</v>
      </c>
      <c r="S341" s="38"/>
      <c r="T341" s="304">
        <f t="shared" si="65"/>
        <v>46113</v>
      </c>
      <c r="U341" s="304" t="str">
        <f t="shared" si="66"/>
        <v/>
      </c>
      <c r="V341" s="300" t="s">
        <v>761</v>
      </c>
    </row>
    <row r="342" spans="2:22" s="291" customFormat="1" x14ac:dyDescent="0.25">
      <c r="B342" s="288" t="s">
        <v>25</v>
      </c>
      <c r="C342" s="83"/>
      <c r="D342" s="63" t="str">
        <f>INDEX(Cad_Natureza!$B$3:$C$52,MATCH('2026'!F342,Cad_Natureza!$C$3:$C$52,0),MATCH('2026'!D$2,Cad_Natureza!$B$3:$C$3,0))</f>
        <v>REC4</v>
      </c>
      <c r="E342" s="64" t="s">
        <v>1529</v>
      </c>
      <c r="F342" s="65" t="s">
        <v>734</v>
      </c>
      <c r="G342" s="63" t="s">
        <v>25</v>
      </c>
      <c r="H342" s="66">
        <v>46126</v>
      </c>
      <c r="I342" s="66"/>
      <c r="J342" s="67" t="s">
        <v>183</v>
      </c>
      <c r="K342" s="68">
        <v>1000</v>
      </c>
      <c r="L342" s="68">
        <f t="shared" si="82"/>
        <v>1042.3600000000008</v>
      </c>
      <c r="M342" s="83"/>
      <c r="N342" s="44" t="str">
        <f t="shared" si="60"/>
        <v>MCSREC4CPF - Transf. Da conta PJ para a conta PF</v>
      </c>
      <c r="O342" s="44" t="str">
        <f t="shared" si="61"/>
        <v>REC4CPF - Transf. Da conta PJ para a conta PF</v>
      </c>
      <c r="P342" s="44" t="str">
        <f t="shared" si="62"/>
        <v>MCSREC4CPF - Transf. Da conta PJ para a conta PF</v>
      </c>
      <c r="Q342" s="44" t="str">
        <f t="shared" si="63"/>
        <v>MCSREC4</v>
      </c>
      <c r="R342" s="44" t="str">
        <f t="shared" si="64"/>
        <v>MCSREC4</v>
      </c>
      <c r="S342" s="38"/>
      <c r="T342" s="290">
        <f t="shared" si="65"/>
        <v>46113</v>
      </c>
      <c r="U342" s="290" t="str">
        <f t="shared" si="66"/>
        <v/>
      </c>
      <c r="V342" s="291" t="s">
        <v>761</v>
      </c>
    </row>
    <row r="343" spans="2:22" s="300" customFormat="1" x14ac:dyDescent="0.25">
      <c r="B343" s="301" t="s">
        <v>25</v>
      </c>
      <c r="C343" s="302"/>
      <c r="D343" s="86" t="str">
        <f>INDEX(Cad_Natureza!$B$3:$C$52,MATCH('2026'!F343,Cad_Natureza!$C$3:$C$52,0),MATCH('2026'!D$2,Cad_Natureza!$B$3:$C$3,0))</f>
        <v>OPF2</v>
      </c>
      <c r="E343" s="84" t="s">
        <v>1530</v>
      </c>
      <c r="F343" s="85" t="s">
        <v>741</v>
      </c>
      <c r="G343" s="86" t="s">
        <v>25</v>
      </c>
      <c r="H343" s="87">
        <v>46126</v>
      </c>
      <c r="I343" s="87"/>
      <c r="J343" s="79" t="s">
        <v>184</v>
      </c>
      <c r="K343" s="62">
        <v>-80</v>
      </c>
      <c r="L343" s="62">
        <f t="shared" si="82"/>
        <v>962.36000000000081</v>
      </c>
      <c r="M343" s="302"/>
      <c r="N343" s="44" t="str">
        <f t="shared" si="60"/>
        <v>MCSOPF2CPF - Desp. Transporte / Combustível</v>
      </c>
      <c r="O343" s="44" t="str">
        <f t="shared" si="61"/>
        <v>OPF2CPF - Desp. Transporte / Combustível</v>
      </c>
      <c r="P343" s="44" t="str">
        <f t="shared" si="62"/>
        <v>MCSOPF2CPF - Desp. Transporte / Combustível</v>
      </c>
      <c r="Q343" s="44" t="str">
        <f t="shared" si="63"/>
        <v>MCSOPF2</v>
      </c>
      <c r="R343" s="44" t="str">
        <f t="shared" si="64"/>
        <v>MCSOPF2</v>
      </c>
      <c r="S343" s="38"/>
      <c r="T343" s="304">
        <f t="shared" si="65"/>
        <v>46113</v>
      </c>
      <c r="U343" s="304" t="str">
        <f t="shared" si="66"/>
        <v/>
      </c>
      <c r="V343" s="300" t="s">
        <v>761</v>
      </c>
    </row>
    <row r="344" spans="2:22" s="300" customFormat="1" x14ac:dyDescent="0.25">
      <c r="B344" s="301" t="s">
        <v>25</v>
      </c>
      <c r="C344" s="302"/>
      <c r="D344" s="86" t="str">
        <f>INDEX(Cad_Natureza!$B$3:$C$52,MATCH('2026'!F344,Cad_Natureza!$C$3:$C$52,0),MATCH('2026'!D$2,Cad_Natureza!$B$3:$C$3,0))</f>
        <v>PENS1</v>
      </c>
      <c r="E344" s="84" t="s">
        <v>1531</v>
      </c>
      <c r="F344" s="85" t="s">
        <v>717</v>
      </c>
      <c r="G344" s="86" t="s">
        <v>25</v>
      </c>
      <c r="H344" s="87">
        <v>46126</v>
      </c>
      <c r="I344" s="87"/>
      <c r="J344" s="78" t="s">
        <v>1598</v>
      </c>
      <c r="K344" s="62">
        <v>-700</v>
      </c>
      <c r="L344" s="62">
        <f t="shared" si="82"/>
        <v>262.36000000000081</v>
      </c>
      <c r="M344" s="302"/>
      <c r="N344" s="44" t="str">
        <f t="shared" si="60"/>
        <v>MCSPENS1CPF - Pensão - Aluguel</v>
      </c>
      <c r="O344" s="44" t="str">
        <f t="shared" si="61"/>
        <v>PENS1CPF - Pensão - Aluguel</v>
      </c>
      <c r="P344" s="44" t="str">
        <f t="shared" si="62"/>
        <v>MCSPENS1CPF - Pensão - Aluguel</v>
      </c>
      <c r="Q344" s="44" t="str">
        <f t="shared" si="63"/>
        <v>MCSPENS1</v>
      </c>
      <c r="R344" s="44" t="str">
        <f t="shared" si="64"/>
        <v>MCSPENS1</v>
      </c>
      <c r="S344" s="38"/>
      <c r="T344" s="304">
        <f t="shared" si="65"/>
        <v>46113</v>
      </c>
      <c r="U344" s="304" t="str">
        <f t="shared" si="66"/>
        <v/>
      </c>
      <c r="V344" s="300" t="s">
        <v>731</v>
      </c>
    </row>
    <row r="345" spans="2:22" s="300" customFormat="1" x14ac:dyDescent="0.25">
      <c r="B345" s="301" t="s">
        <v>25</v>
      </c>
      <c r="C345" s="302"/>
      <c r="D345" s="86" t="str">
        <f>INDEX(Cad_Natureza!$B$3:$C$52,MATCH('2026'!F345,Cad_Natureza!$C$3:$C$52,0),MATCH('2026'!D$2,Cad_Natureza!$B$3:$C$3,0))</f>
        <v>GAST1</v>
      </c>
      <c r="E345" s="84" t="s">
        <v>1532</v>
      </c>
      <c r="F345" s="85" t="s">
        <v>742</v>
      </c>
      <c r="G345" s="86" t="s">
        <v>25</v>
      </c>
      <c r="H345" s="87">
        <v>46126</v>
      </c>
      <c r="I345" s="87"/>
      <c r="J345" s="79" t="s">
        <v>1340</v>
      </c>
      <c r="K345" s="62">
        <v>-10</v>
      </c>
      <c r="L345" s="62">
        <f t="shared" si="82"/>
        <v>252.36000000000081</v>
      </c>
      <c r="M345" s="302"/>
      <c r="N345" s="44" t="str">
        <f t="shared" si="60"/>
        <v>MCSGAST1CPF - Desp. Lazer e Entretenimento - Bares</v>
      </c>
      <c r="O345" s="44" t="str">
        <f t="shared" si="61"/>
        <v>GAST1CPF - Desp. Lazer e Entretenimento - Bares</v>
      </c>
      <c r="P345" s="44" t="str">
        <f t="shared" si="62"/>
        <v>MCSGAST1CPF - Desp. Lazer e Entretenimento - Bares</v>
      </c>
      <c r="Q345" s="44" t="str">
        <f t="shared" si="63"/>
        <v>MCSGAST1</v>
      </c>
      <c r="R345" s="44" t="str">
        <f t="shared" si="64"/>
        <v>MCSGAST1</v>
      </c>
      <c r="S345" s="38"/>
      <c r="T345" s="304">
        <f t="shared" si="65"/>
        <v>46113</v>
      </c>
      <c r="U345" s="304" t="str">
        <f t="shared" si="66"/>
        <v/>
      </c>
      <c r="V345" s="300" t="s">
        <v>731</v>
      </c>
    </row>
    <row r="346" spans="2:22" s="300" customFormat="1" x14ac:dyDescent="0.25">
      <c r="B346" s="301" t="s">
        <v>25</v>
      </c>
      <c r="C346" s="302"/>
      <c r="D346" s="86" t="str">
        <f>INDEX(Cad_Natureza!$B$3:$C$52,MATCH('2026'!F346,Cad_Natureza!$C$3:$C$52,0),MATCH('2026'!D$2,Cad_Natureza!$B$3:$C$3,0))</f>
        <v>OPF1</v>
      </c>
      <c r="E346" s="84" t="s">
        <v>1533</v>
      </c>
      <c r="F346" s="85" t="s">
        <v>744</v>
      </c>
      <c r="G346" s="86" t="s">
        <v>25</v>
      </c>
      <c r="H346" s="87">
        <v>46127</v>
      </c>
      <c r="I346" s="87"/>
      <c r="J346" s="79" t="s">
        <v>182</v>
      </c>
      <c r="K346" s="62">
        <v>-20</v>
      </c>
      <c r="L346" s="62">
        <f t="shared" si="82"/>
        <v>232.36000000000081</v>
      </c>
      <c r="M346" s="302"/>
      <c r="N346" s="44" t="str">
        <f t="shared" ref="N346:N375" si="83">B346&amp;D346&amp;F346</f>
        <v>MCSOPF1CPF - Desp. Alimentação / Refeição</v>
      </c>
      <c r="O346" s="44" t="str">
        <f t="shared" ref="O346:O375" si="84">D346&amp;F346</f>
        <v>OPF1CPF - Desp. Alimentação / Refeição</v>
      </c>
      <c r="P346" s="44" t="str">
        <f t="shared" ref="P346:P375" si="85">"MCS"&amp;D346&amp;F346</f>
        <v>MCSOPF1CPF - Desp. Alimentação / Refeição</v>
      </c>
      <c r="Q346" s="44" t="str">
        <f t="shared" ref="Q346:Q375" si="86">"MCS"&amp;D346</f>
        <v>MCSOPF1</v>
      </c>
      <c r="R346" s="44" t="str">
        <f t="shared" ref="R346:R375" si="87">B346&amp;D346</f>
        <v>MCSOPF1</v>
      </c>
      <c r="S346" s="38"/>
      <c r="T346" s="304">
        <f t="shared" ref="T346:T375" si="88">(1&amp;"/"&amp;MONTH(H346)&amp;"/"&amp;YEAR(H346))*1</f>
        <v>46113</v>
      </c>
      <c r="U346" s="304" t="str">
        <f t="shared" ref="U346:U375" si="89">IF(I346="","",(1&amp;"/"&amp;MONTH(I346)&amp;"/"&amp;YEAR(I346))*1)</f>
        <v/>
      </c>
      <c r="V346" s="300" t="s">
        <v>761</v>
      </c>
    </row>
    <row r="347" spans="2:22" s="300" customFormat="1" x14ac:dyDescent="0.25">
      <c r="B347" s="301" t="s">
        <v>25</v>
      </c>
      <c r="C347" s="302"/>
      <c r="D347" s="86" t="str">
        <f>INDEX(Cad_Natureza!$B$3:$C$52,MATCH('2026'!F347,Cad_Natureza!$C$3:$C$52,0),MATCH('2026'!D$2,Cad_Natureza!$B$3:$C$3,0))</f>
        <v>GAST1</v>
      </c>
      <c r="E347" s="84" t="s">
        <v>1534</v>
      </c>
      <c r="F347" s="85" t="s">
        <v>742</v>
      </c>
      <c r="G347" s="86" t="s">
        <v>25</v>
      </c>
      <c r="H347" s="87">
        <v>46127</v>
      </c>
      <c r="I347" s="87"/>
      <c r="J347" s="79" t="s">
        <v>1590</v>
      </c>
      <c r="K347" s="62">
        <v>-26</v>
      </c>
      <c r="L347" s="62">
        <f t="shared" si="82"/>
        <v>206.36000000000081</v>
      </c>
      <c r="M347" s="302"/>
      <c r="N347" s="44" t="str">
        <f t="shared" si="83"/>
        <v>MCSGAST1CPF - Desp. Lazer e Entretenimento - Bares</v>
      </c>
      <c r="O347" s="44" t="str">
        <f t="shared" si="84"/>
        <v>GAST1CPF - Desp. Lazer e Entretenimento - Bares</v>
      </c>
      <c r="P347" s="44" t="str">
        <f t="shared" si="85"/>
        <v>MCSGAST1CPF - Desp. Lazer e Entretenimento - Bares</v>
      </c>
      <c r="Q347" s="44" t="str">
        <f t="shared" si="86"/>
        <v>MCSGAST1</v>
      </c>
      <c r="R347" s="44" t="str">
        <f t="shared" si="87"/>
        <v>MCSGAST1</v>
      </c>
      <c r="S347" s="38"/>
      <c r="T347" s="304">
        <f t="shared" si="88"/>
        <v>46113</v>
      </c>
      <c r="U347" s="304" t="str">
        <f t="shared" si="89"/>
        <v/>
      </c>
      <c r="V347" s="300" t="s">
        <v>761</v>
      </c>
    </row>
    <row r="348" spans="2:22" s="300" customFormat="1" x14ac:dyDescent="0.25">
      <c r="B348" s="301" t="s">
        <v>25</v>
      </c>
      <c r="C348" s="302"/>
      <c r="D348" s="86" t="str">
        <f>INDEX(Cad_Natureza!$B$3:$C$52,MATCH('2026'!F348,Cad_Natureza!$C$3:$C$52,0),MATCH('2026'!D$2,Cad_Natureza!$B$3:$C$3,0))</f>
        <v>DESP4</v>
      </c>
      <c r="E348" s="84" t="s">
        <v>1535</v>
      </c>
      <c r="F348" s="85" t="s">
        <v>753</v>
      </c>
      <c r="G348" s="86" t="s">
        <v>25</v>
      </c>
      <c r="H348" s="87">
        <v>46127</v>
      </c>
      <c r="I348" s="87"/>
      <c r="J348" s="79" t="s">
        <v>1841</v>
      </c>
      <c r="K348" s="62">
        <v>-9</v>
      </c>
      <c r="L348" s="62">
        <f t="shared" si="82"/>
        <v>197.36000000000081</v>
      </c>
      <c r="M348" s="302"/>
      <c r="N348" s="44" t="str">
        <f t="shared" si="83"/>
        <v>MCSDESP4CPF - Desp. Moradia</v>
      </c>
      <c r="O348" s="44" t="str">
        <f t="shared" si="84"/>
        <v>DESP4CPF - Desp. Moradia</v>
      </c>
      <c r="P348" s="44" t="str">
        <f t="shared" si="85"/>
        <v>MCSDESP4CPF - Desp. Moradia</v>
      </c>
      <c r="Q348" s="44" t="str">
        <f t="shared" si="86"/>
        <v>MCSDESP4</v>
      </c>
      <c r="R348" s="44" t="str">
        <f t="shared" si="87"/>
        <v>MCSDESP4</v>
      </c>
      <c r="S348" s="38"/>
      <c r="T348" s="304">
        <f t="shared" si="88"/>
        <v>46113</v>
      </c>
      <c r="U348" s="304" t="str">
        <f t="shared" si="89"/>
        <v/>
      </c>
      <c r="V348" s="300" t="s">
        <v>761</v>
      </c>
    </row>
    <row r="349" spans="2:22" s="300" customFormat="1" x14ac:dyDescent="0.25">
      <c r="B349" s="301" t="s">
        <v>25</v>
      </c>
      <c r="C349" s="302"/>
      <c r="D349" s="86" t="str">
        <f>INDEX(Cad_Natureza!$B$3:$C$52,MATCH('2026'!F349,Cad_Natureza!$C$3:$C$52,0),MATCH('2026'!D$2,Cad_Natureza!$B$3:$C$3,0))</f>
        <v>OPF1</v>
      </c>
      <c r="E349" s="84" t="s">
        <v>1536</v>
      </c>
      <c r="F349" s="85" t="s">
        <v>744</v>
      </c>
      <c r="G349" s="86" t="s">
        <v>25</v>
      </c>
      <c r="H349" s="87">
        <v>46128</v>
      </c>
      <c r="I349" s="87"/>
      <c r="J349" s="79" t="s">
        <v>182</v>
      </c>
      <c r="K349" s="62">
        <v>-22.16</v>
      </c>
      <c r="L349" s="62">
        <f t="shared" si="82"/>
        <v>175.20000000000081</v>
      </c>
      <c r="M349" s="302"/>
      <c r="N349" s="44" t="str">
        <f t="shared" si="83"/>
        <v>MCSOPF1CPF - Desp. Alimentação / Refeição</v>
      </c>
      <c r="O349" s="44" t="str">
        <f t="shared" si="84"/>
        <v>OPF1CPF - Desp. Alimentação / Refeição</v>
      </c>
      <c r="P349" s="44" t="str">
        <f t="shared" si="85"/>
        <v>MCSOPF1CPF - Desp. Alimentação / Refeição</v>
      </c>
      <c r="Q349" s="44" t="str">
        <f t="shared" si="86"/>
        <v>MCSOPF1</v>
      </c>
      <c r="R349" s="44" t="str">
        <f t="shared" si="87"/>
        <v>MCSOPF1</v>
      </c>
      <c r="S349" s="38"/>
      <c r="T349" s="304">
        <f t="shared" si="88"/>
        <v>46113</v>
      </c>
      <c r="U349" s="304" t="str">
        <f t="shared" si="89"/>
        <v/>
      </c>
      <c r="V349" s="300" t="s">
        <v>761</v>
      </c>
    </row>
    <row r="350" spans="2:22" s="300" customFormat="1" x14ac:dyDescent="0.25">
      <c r="B350" s="301" t="s">
        <v>25</v>
      </c>
      <c r="C350" s="302"/>
      <c r="D350" s="86" t="str">
        <f>INDEX(Cad_Natureza!$B$3:$C$52,MATCH('2026'!F350,Cad_Natureza!$C$3:$C$52,0),MATCH('2026'!D$2,Cad_Natureza!$B$3:$C$3,0))</f>
        <v>OUG1</v>
      </c>
      <c r="E350" s="84" t="s">
        <v>1537</v>
      </c>
      <c r="F350" s="85" t="s">
        <v>748</v>
      </c>
      <c r="G350" s="86" t="s">
        <v>25</v>
      </c>
      <c r="H350" s="87">
        <v>46128</v>
      </c>
      <c r="I350" s="87"/>
      <c r="J350" s="79" t="s">
        <v>1599</v>
      </c>
      <c r="K350" s="62">
        <v>-20</v>
      </c>
      <c r="L350" s="62">
        <f t="shared" si="82"/>
        <v>155.20000000000081</v>
      </c>
      <c r="M350" s="302"/>
      <c r="N350" s="44" t="str">
        <f t="shared" si="83"/>
        <v>MCSOUG1CPF - Outros gastos</v>
      </c>
      <c r="O350" s="44" t="str">
        <f t="shared" si="84"/>
        <v>OUG1CPF - Outros gastos</v>
      </c>
      <c r="P350" s="44" t="str">
        <f t="shared" si="85"/>
        <v>MCSOUG1CPF - Outros gastos</v>
      </c>
      <c r="Q350" s="44" t="str">
        <f t="shared" si="86"/>
        <v>MCSOUG1</v>
      </c>
      <c r="R350" s="44" t="str">
        <f t="shared" si="87"/>
        <v>MCSOUG1</v>
      </c>
      <c r="S350" s="38"/>
      <c r="T350" s="304">
        <f t="shared" si="88"/>
        <v>46113</v>
      </c>
      <c r="U350" s="304" t="str">
        <f t="shared" si="89"/>
        <v/>
      </c>
      <c r="V350" s="300" t="s">
        <v>731</v>
      </c>
    </row>
    <row r="351" spans="2:22" s="300" customFormat="1" x14ac:dyDescent="0.25">
      <c r="B351" s="301" t="s">
        <v>25</v>
      </c>
      <c r="C351" s="302"/>
      <c r="D351" s="86" t="str">
        <f>INDEX(Cad_Natureza!$B$3:$C$52,MATCH('2026'!F351,Cad_Natureza!$C$3:$C$52,0),MATCH('2026'!D$2,Cad_Natureza!$B$3:$C$3,0))</f>
        <v>GAST2</v>
      </c>
      <c r="E351" s="84" t="s">
        <v>1538</v>
      </c>
      <c r="F351" s="85" t="s">
        <v>743</v>
      </c>
      <c r="G351" s="86" t="s">
        <v>25</v>
      </c>
      <c r="H351" s="87">
        <v>46128</v>
      </c>
      <c r="I351" s="87"/>
      <c r="J351" s="79" t="s">
        <v>180</v>
      </c>
      <c r="K351" s="62">
        <v>-35</v>
      </c>
      <c r="L351" s="62">
        <f t="shared" si="82"/>
        <v>120.20000000000081</v>
      </c>
      <c r="M351" s="302"/>
      <c r="N351" s="44" t="str">
        <f t="shared" si="83"/>
        <v>MCSGAST2CPF - Desp. Lazer e Entretenimento - Cigarro</v>
      </c>
      <c r="O351" s="44" t="str">
        <f t="shared" si="84"/>
        <v>GAST2CPF - Desp. Lazer e Entretenimento - Cigarro</v>
      </c>
      <c r="P351" s="44" t="str">
        <f t="shared" si="85"/>
        <v>MCSGAST2CPF - Desp. Lazer e Entretenimento - Cigarro</v>
      </c>
      <c r="Q351" s="44" t="str">
        <f t="shared" si="86"/>
        <v>MCSGAST2</v>
      </c>
      <c r="R351" s="44" t="str">
        <f t="shared" si="87"/>
        <v>MCSGAST2</v>
      </c>
      <c r="S351" s="38"/>
      <c r="T351" s="304">
        <f t="shared" si="88"/>
        <v>46113</v>
      </c>
      <c r="U351" s="304" t="str">
        <f t="shared" si="89"/>
        <v/>
      </c>
      <c r="V351" s="300" t="s">
        <v>731</v>
      </c>
    </row>
    <row r="352" spans="2:22" s="300" customFormat="1" x14ac:dyDescent="0.25">
      <c r="B352" s="301" t="s">
        <v>25</v>
      </c>
      <c r="C352" s="302"/>
      <c r="D352" s="86" t="str">
        <f>INDEX(Cad_Natureza!$B$3:$C$52,MATCH('2026'!F352,Cad_Natureza!$C$3:$C$52,0),MATCH('2026'!D$2,Cad_Natureza!$B$3:$C$3,0))</f>
        <v>OUG1</v>
      </c>
      <c r="E352" s="84" t="s">
        <v>1539</v>
      </c>
      <c r="F352" s="85" t="s">
        <v>748</v>
      </c>
      <c r="G352" s="86" t="s">
        <v>25</v>
      </c>
      <c r="H352" s="87">
        <v>46128</v>
      </c>
      <c r="I352" s="87"/>
      <c r="J352" s="79" t="s">
        <v>1583</v>
      </c>
      <c r="K352" s="62">
        <v>-20</v>
      </c>
      <c r="L352" s="62">
        <f t="shared" si="82"/>
        <v>100.20000000000081</v>
      </c>
      <c r="M352" s="302"/>
      <c r="N352" s="44" t="str">
        <f t="shared" si="83"/>
        <v>MCSOUG1CPF - Outros gastos</v>
      </c>
      <c r="O352" s="44" t="str">
        <f t="shared" si="84"/>
        <v>OUG1CPF - Outros gastos</v>
      </c>
      <c r="P352" s="44" t="str">
        <f t="shared" si="85"/>
        <v>MCSOUG1CPF - Outros gastos</v>
      </c>
      <c r="Q352" s="44" t="str">
        <f t="shared" si="86"/>
        <v>MCSOUG1</v>
      </c>
      <c r="R352" s="44" t="str">
        <f t="shared" si="87"/>
        <v>MCSOUG1</v>
      </c>
      <c r="S352" s="38"/>
      <c r="T352" s="304">
        <f t="shared" si="88"/>
        <v>46113</v>
      </c>
      <c r="U352" s="304" t="str">
        <f t="shared" si="89"/>
        <v/>
      </c>
      <c r="V352" s="300" t="s">
        <v>761</v>
      </c>
    </row>
    <row r="353" spans="2:22" s="291" customFormat="1" x14ac:dyDescent="0.25">
      <c r="B353" s="288" t="s">
        <v>25</v>
      </c>
      <c r="C353" s="83"/>
      <c r="D353" s="63" t="str">
        <f>INDEX(Cad_Natureza!$B$3:$C$52,MATCH('2026'!F353,Cad_Natureza!$C$3:$C$52,0),MATCH('2026'!D$2,Cad_Natureza!$B$3:$C$3,0))</f>
        <v>REC4</v>
      </c>
      <c r="E353" s="64" t="s">
        <v>1540</v>
      </c>
      <c r="F353" s="65" t="s">
        <v>734</v>
      </c>
      <c r="G353" s="63" t="s">
        <v>25</v>
      </c>
      <c r="H353" s="66">
        <v>46128</v>
      </c>
      <c r="I353" s="66"/>
      <c r="J353" s="67" t="s">
        <v>183</v>
      </c>
      <c r="K353" s="68">
        <v>1000</v>
      </c>
      <c r="L353" s="68">
        <f t="shared" si="82"/>
        <v>1100.2000000000007</v>
      </c>
      <c r="M353" s="83"/>
      <c r="N353" s="44" t="str">
        <f t="shared" si="83"/>
        <v>MCSREC4CPF - Transf. Da conta PJ para a conta PF</v>
      </c>
      <c r="O353" s="44" t="str">
        <f t="shared" si="84"/>
        <v>REC4CPF - Transf. Da conta PJ para a conta PF</v>
      </c>
      <c r="P353" s="44" t="str">
        <f t="shared" si="85"/>
        <v>MCSREC4CPF - Transf. Da conta PJ para a conta PF</v>
      </c>
      <c r="Q353" s="44" t="str">
        <f t="shared" si="86"/>
        <v>MCSREC4</v>
      </c>
      <c r="R353" s="44" t="str">
        <f t="shared" si="87"/>
        <v>MCSREC4</v>
      </c>
      <c r="S353" s="38"/>
      <c r="T353" s="290">
        <f t="shared" si="88"/>
        <v>46113</v>
      </c>
      <c r="U353" s="290" t="str">
        <f t="shared" si="89"/>
        <v/>
      </c>
      <c r="V353" s="291" t="s">
        <v>761</v>
      </c>
    </row>
    <row r="354" spans="2:22" s="300" customFormat="1" x14ac:dyDescent="0.25">
      <c r="B354" s="301" t="s">
        <v>25</v>
      </c>
      <c r="C354" s="302"/>
      <c r="D354" s="86" t="str">
        <f>INDEX(Cad_Natureza!$B$3:$C$52,MATCH('2026'!F354,Cad_Natureza!$C$3:$C$52,0),MATCH('2026'!D$2,Cad_Natureza!$B$3:$C$3,0))</f>
        <v>OPF2</v>
      </c>
      <c r="E354" s="84" t="s">
        <v>1541</v>
      </c>
      <c r="F354" s="85" t="s">
        <v>741</v>
      </c>
      <c r="G354" s="86" t="s">
        <v>25</v>
      </c>
      <c r="H354" s="87">
        <v>46129</v>
      </c>
      <c r="I354" s="87"/>
      <c r="J354" s="79" t="s">
        <v>184</v>
      </c>
      <c r="K354" s="62">
        <v>-80</v>
      </c>
      <c r="L354" s="62">
        <f t="shared" si="82"/>
        <v>1020.2000000000007</v>
      </c>
      <c r="M354" s="302"/>
      <c r="N354" s="44" t="str">
        <f t="shared" si="83"/>
        <v>MCSOPF2CPF - Desp. Transporte / Combustível</v>
      </c>
      <c r="O354" s="44" t="str">
        <f t="shared" si="84"/>
        <v>OPF2CPF - Desp. Transporte / Combustível</v>
      </c>
      <c r="P354" s="44" t="str">
        <f t="shared" si="85"/>
        <v>MCSOPF2CPF - Desp. Transporte / Combustível</v>
      </c>
      <c r="Q354" s="44" t="str">
        <f t="shared" si="86"/>
        <v>MCSOPF2</v>
      </c>
      <c r="R354" s="44" t="str">
        <f t="shared" si="87"/>
        <v>MCSOPF2</v>
      </c>
      <c r="S354" s="38"/>
      <c r="T354" s="304">
        <f t="shared" si="88"/>
        <v>46113</v>
      </c>
      <c r="U354" s="304" t="str">
        <f t="shared" si="89"/>
        <v/>
      </c>
      <c r="V354" s="300" t="s">
        <v>761</v>
      </c>
    </row>
    <row r="355" spans="2:22" s="300" customFormat="1" x14ac:dyDescent="0.25">
      <c r="B355" s="301" t="s">
        <v>25</v>
      </c>
      <c r="C355" s="302"/>
      <c r="D355" s="86" t="str">
        <f>INDEX(Cad_Natureza!$B$3:$C$52,MATCH('2026'!F355,Cad_Natureza!$C$3:$C$52,0),MATCH('2026'!D$2,Cad_Natureza!$B$3:$C$3,0))</f>
        <v>GAST1</v>
      </c>
      <c r="E355" s="84" t="s">
        <v>1542</v>
      </c>
      <c r="F355" s="85" t="s">
        <v>742</v>
      </c>
      <c r="G355" s="86" t="s">
        <v>25</v>
      </c>
      <c r="H355" s="87">
        <v>46129</v>
      </c>
      <c r="I355" s="87"/>
      <c r="J355" s="79" t="s">
        <v>185</v>
      </c>
      <c r="K355" s="62">
        <v>-18.600000000000001</v>
      </c>
      <c r="L355" s="62">
        <f t="shared" si="82"/>
        <v>1001.6000000000007</v>
      </c>
      <c r="M355" s="302"/>
      <c r="N355" s="44" t="str">
        <f t="shared" si="83"/>
        <v>MCSGAST1CPF - Desp. Lazer e Entretenimento - Bares</v>
      </c>
      <c r="O355" s="44" t="str">
        <f t="shared" si="84"/>
        <v>GAST1CPF - Desp. Lazer e Entretenimento - Bares</v>
      </c>
      <c r="P355" s="44" t="str">
        <f t="shared" si="85"/>
        <v>MCSGAST1CPF - Desp. Lazer e Entretenimento - Bares</v>
      </c>
      <c r="Q355" s="44" t="str">
        <f t="shared" si="86"/>
        <v>MCSGAST1</v>
      </c>
      <c r="R355" s="44" t="str">
        <f t="shared" si="87"/>
        <v>MCSGAST1</v>
      </c>
      <c r="S355" s="38"/>
      <c r="T355" s="304">
        <f t="shared" si="88"/>
        <v>46113</v>
      </c>
      <c r="U355" s="304" t="str">
        <f t="shared" si="89"/>
        <v/>
      </c>
      <c r="V355" s="300" t="s">
        <v>761</v>
      </c>
    </row>
    <row r="356" spans="2:22" s="300" customFormat="1" x14ac:dyDescent="0.25">
      <c r="B356" s="301" t="s">
        <v>25</v>
      </c>
      <c r="C356" s="302"/>
      <c r="D356" s="86" t="str">
        <f>INDEX(Cad_Natureza!$B$3:$C$52,MATCH('2026'!F356,Cad_Natureza!$C$3:$C$52,0),MATCH('2026'!D$2,Cad_Natureza!$B$3:$C$3,0))</f>
        <v>GAST1</v>
      </c>
      <c r="E356" s="84" t="s">
        <v>1543</v>
      </c>
      <c r="F356" s="85" t="s">
        <v>742</v>
      </c>
      <c r="G356" s="86" t="s">
        <v>25</v>
      </c>
      <c r="H356" s="87">
        <v>46132</v>
      </c>
      <c r="I356" s="87"/>
      <c r="J356" s="79" t="s">
        <v>1590</v>
      </c>
      <c r="K356" s="62">
        <v>-52</v>
      </c>
      <c r="L356" s="62">
        <f t="shared" si="82"/>
        <v>949.6000000000007</v>
      </c>
      <c r="M356" s="302"/>
      <c r="N356" s="44" t="str">
        <f t="shared" si="83"/>
        <v>MCSGAST1CPF - Desp. Lazer e Entretenimento - Bares</v>
      </c>
      <c r="O356" s="44" t="str">
        <f t="shared" si="84"/>
        <v>GAST1CPF - Desp. Lazer e Entretenimento - Bares</v>
      </c>
      <c r="P356" s="44" t="str">
        <f t="shared" si="85"/>
        <v>MCSGAST1CPF - Desp. Lazer e Entretenimento - Bares</v>
      </c>
      <c r="Q356" s="44" t="str">
        <f t="shared" si="86"/>
        <v>MCSGAST1</v>
      </c>
      <c r="R356" s="44" t="str">
        <f t="shared" si="87"/>
        <v>MCSGAST1</v>
      </c>
      <c r="S356" s="38"/>
      <c r="T356" s="304">
        <f t="shared" si="88"/>
        <v>46113</v>
      </c>
      <c r="U356" s="304" t="str">
        <f t="shared" si="89"/>
        <v/>
      </c>
      <c r="V356" s="300" t="s">
        <v>761</v>
      </c>
    </row>
    <row r="357" spans="2:22" s="300" customFormat="1" x14ac:dyDescent="0.25">
      <c r="B357" s="301" t="s">
        <v>25</v>
      </c>
      <c r="C357" s="302"/>
      <c r="D357" s="86" t="str">
        <f>INDEX(Cad_Natureza!$B$3:$C$52,MATCH('2026'!F357,Cad_Natureza!$C$3:$C$52,0),MATCH('2026'!D$2,Cad_Natureza!$B$3:$C$3,0))</f>
        <v>GAST1</v>
      </c>
      <c r="E357" s="84" t="s">
        <v>1543</v>
      </c>
      <c r="F357" s="85" t="s">
        <v>742</v>
      </c>
      <c r="G357" s="86" t="s">
        <v>25</v>
      </c>
      <c r="H357" s="87">
        <v>46132</v>
      </c>
      <c r="I357" s="87"/>
      <c r="J357" s="79" t="s">
        <v>1590</v>
      </c>
      <c r="K357" s="62">
        <v>-12.5</v>
      </c>
      <c r="L357" s="62">
        <f t="shared" si="82"/>
        <v>937.1000000000007</v>
      </c>
      <c r="M357" s="302"/>
      <c r="N357" s="44" t="str">
        <f t="shared" si="83"/>
        <v>MCSGAST1CPF - Desp. Lazer e Entretenimento - Bares</v>
      </c>
      <c r="O357" s="44" t="str">
        <f t="shared" si="84"/>
        <v>GAST1CPF - Desp. Lazer e Entretenimento - Bares</v>
      </c>
      <c r="P357" s="44" t="str">
        <f t="shared" si="85"/>
        <v>MCSGAST1CPF - Desp. Lazer e Entretenimento - Bares</v>
      </c>
      <c r="Q357" s="44" t="str">
        <f t="shared" si="86"/>
        <v>MCSGAST1</v>
      </c>
      <c r="R357" s="44" t="str">
        <f t="shared" si="87"/>
        <v>MCSGAST1</v>
      </c>
      <c r="S357" s="38"/>
      <c r="T357" s="304">
        <f t="shared" si="88"/>
        <v>46113</v>
      </c>
      <c r="U357" s="304" t="str">
        <f t="shared" si="89"/>
        <v/>
      </c>
      <c r="V357" s="300" t="s">
        <v>761</v>
      </c>
    </row>
    <row r="358" spans="2:22" s="300" customFormat="1" x14ac:dyDescent="0.25">
      <c r="B358" s="301" t="s">
        <v>25</v>
      </c>
      <c r="C358" s="302"/>
      <c r="D358" s="86" t="str">
        <f>INDEX(Cad_Natureza!$B$3:$C$52,MATCH('2026'!F358,Cad_Natureza!$C$3:$C$52,0),MATCH('2026'!D$2,Cad_Natureza!$B$3:$C$3,0))</f>
        <v>GAST1</v>
      </c>
      <c r="E358" s="84" t="s">
        <v>1544</v>
      </c>
      <c r="F358" s="85" t="s">
        <v>742</v>
      </c>
      <c r="G358" s="86" t="s">
        <v>25</v>
      </c>
      <c r="H358" s="87">
        <v>46132</v>
      </c>
      <c r="I358" s="87"/>
      <c r="J358" s="79" t="s">
        <v>185</v>
      </c>
      <c r="K358" s="62">
        <v>-13</v>
      </c>
      <c r="L358" s="62">
        <f t="shared" si="82"/>
        <v>924.1000000000007</v>
      </c>
      <c r="M358" s="302"/>
      <c r="N358" s="44" t="str">
        <f t="shared" si="83"/>
        <v>MCSGAST1CPF - Desp. Lazer e Entretenimento - Bares</v>
      </c>
      <c r="O358" s="44" t="str">
        <f t="shared" si="84"/>
        <v>GAST1CPF - Desp. Lazer e Entretenimento - Bares</v>
      </c>
      <c r="P358" s="44" t="str">
        <f t="shared" si="85"/>
        <v>MCSGAST1CPF - Desp. Lazer e Entretenimento - Bares</v>
      </c>
      <c r="Q358" s="44" t="str">
        <f t="shared" si="86"/>
        <v>MCSGAST1</v>
      </c>
      <c r="R358" s="44" t="str">
        <f t="shared" si="87"/>
        <v>MCSGAST1</v>
      </c>
      <c r="S358" s="38"/>
      <c r="T358" s="304">
        <f t="shared" si="88"/>
        <v>46113</v>
      </c>
      <c r="U358" s="304" t="str">
        <f t="shared" si="89"/>
        <v/>
      </c>
      <c r="V358" s="300" t="s">
        <v>761</v>
      </c>
    </row>
    <row r="359" spans="2:22" s="300" customFormat="1" x14ac:dyDescent="0.25">
      <c r="B359" s="301" t="s">
        <v>25</v>
      </c>
      <c r="C359" s="302"/>
      <c r="D359" s="86" t="str">
        <f>INDEX(Cad_Natureza!$B$3:$C$52,MATCH('2026'!F359,Cad_Natureza!$C$3:$C$52,0),MATCH('2026'!D$2,Cad_Natureza!$B$3:$C$3,0))</f>
        <v>GAST1</v>
      </c>
      <c r="E359" s="84" t="s">
        <v>1545</v>
      </c>
      <c r="F359" s="85" t="s">
        <v>742</v>
      </c>
      <c r="G359" s="86" t="s">
        <v>25</v>
      </c>
      <c r="H359" s="87">
        <v>46132</v>
      </c>
      <c r="I359" s="87"/>
      <c r="J359" s="79" t="s">
        <v>185</v>
      </c>
      <c r="K359" s="62">
        <v>-15</v>
      </c>
      <c r="L359" s="62">
        <f t="shared" si="82"/>
        <v>909.1000000000007</v>
      </c>
      <c r="M359" s="302"/>
      <c r="N359" s="44" t="str">
        <f t="shared" si="83"/>
        <v>MCSGAST1CPF - Desp. Lazer e Entretenimento - Bares</v>
      </c>
      <c r="O359" s="44" t="str">
        <f t="shared" si="84"/>
        <v>GAST1CPF - Desp. Lazer e Entretenimento - Bares</v>
      </c>
      <c r="P359" s="44" t="str">
        <f t="shared" si="85"/>
        <v>MCSGAST1CPF - Desp. Lazer e Entretenimento - Bares</v>
      </c>
      <c r="Q359" s="44" t="str">
        <f t="shared" si="86"/>
        <v>MCSGAST1</v>
      </c>
      <c r="R359" s="44" t="str">
        <f t="shared" si="87"/>
        <v>MCSGAST1</v>
      </c>
      <c r="S359" s="38"/>
      <c r="T359" s="304">
        <f t="shared" si="88"/>
        <v>46113</v>
      </c>
      <c r="U359" s="304" t="str">
        <f t="shared" si="89"/>
        <v/>
      </c>
      <c r="V359" s="300" t="s">
        <v>731</v>
      </c>
    </row>
    <row r="360" spans="2:22" s="300" customFormat="1" x14ac:dyDescent="0.25">
      <c r="B360" s="301" t="s">
        <v>25</v>
      </c>
      <c r="C360" s="302"/>
      <c r="D360" s="86" t="str">
        <f>INDEX(Cad_Natureza!$B$3:$C$52,MATCH('2026'!F360,Cad_Natureza!$C$3:$C$52,0),MATCH('2026'!D$2,Cad_Natureza!$B$3:$C$3,0))</f>
        <v>GAST1</v>
      </c>
      <c r="E360" s="84" t="s">
        <v>1545</v>
      </c>
      <c r="F360" s="85" t="s">
        <v>742</v>
      </c>
      <c r="G360" s="86" t="s">
        <v>25</v>
      </c>
      <c r="H360" s="87">
        <v>46132</v>
      </c>
      <c r="I360" s="87"/>
      <c r="J360" s="79" t="s">
        <v>185</v>
      </c>
      <c r="K360" s="62">
        <v>-10</v>
      </c>
      <c r="L360" s="62">
        <f t="shared" si="82"/>
        <v>899.1000000000007</v>
      </c>
      <c r="M360" s="302"/>
      <c r="N360" s="44" t="str">
        <f t="shared" si="83"/>
        <v>MCSGAST1CPF - Desp. Lazer e Entretenimento - Bares</v>
      </c>
      <c r="O360" s="44" t="str">
        <f t="shared" si="84"/>
        <v>GAST1CPF - Desp. Lazer e Entretenimento - Bares</v>
      </c>
      <c r="P360" s="44" t="str">
        <f t="shared" si="85"/>
        <v>MCSGAST1CPF - Desp. Lazer e Entretenimento - Bares</v>
      </c>
      <c r="Q360" s="44" t="str">
        <f t="shared" si="86"/>
        <v>MCSGAST1</v>
      </c>
      <c r="R360" s="44" t="str">
        <f t="shared" si="87"/>
        <v>MCSGAST1</v>
      </c>
      <c r="S360" s="38"/>
      <c r="T360" s="304">
        <f t="shared" si="88"/>
        <v>46113</v>
      </c>
      <c r="U360" s="304" t="str">
        <f t="shared" si="89"/>
        <v/>
      </c>
      <c r="V360" s="300" t="s">
        <v>731</v>
      </c>
    </row>
    <row r="361" spans="2:22" s="300" customFormat="1" x14ac:dyDescent="0.25">
      <c r="B361" s="301" t="s">
        <v>25</v>
      </c>
      <c r="C361" s="302"/>
      <c r="D361" s="86" t="str">
        <f>INDEX(Cad_Natureza!$B$3:$C$52,MATCH('2026'!F361,Cad_Natureza!$C$3:$C$52,0),MATCH('2026'!D$2,Cad_Natureza!$B$3:$C$3,0))</f>
        <v>GAST1</v>
      </c>
      <c r="E361" s="84" t="s">
        <v>1546</v>
      </c>
      <c r="F361" s="85" t="s">
        <v>742</v>
      </c>
      <c r="G361" s="86" t="s">
        <v>25</v>
      </c>
      <c r="H361" s="87">
        <v>46132</v>
      </c>
      <c r="I361" s="87"/>
      <c r="J361" s="79" t="s">
        <v>185</v>
      </c>
      <c r="K361" s="62">
        <v>-12</v>
      </c>
      <c r="L361" s="62">
        <f t="shared" si="82"/>
        <v>887.1000000000007</v>
      </c>
      <c r="M361" s="302"/>
      <c r="N361" s="44" t="str">
        <f t="shared" si="83"/>
        <v>MCSGAST1CPF - Desp. Lazer e Entretenimento - Bares</v>
      </c>
      <c r="O361" s="44" t="str">
        <f t="shared" si="84"/>
        <v>GAST1CPF - Desp. Lazer e Entretenimento - Bares</v>
      </c>
      <c r="P361" s="44" t="str">
        <f t="shared" si="85"/>
        <v>MCSGAST1CPF - Desp. Lazer e Entretenimento - Bares</v>
      </c>
      <c r="Q361" s="44" t="str">
        <f t="shared" si="86"/>
        <v>MCSGAST1</v>
      </c>
      <c r="R361" s="44" t="str">
        <f t="shared" si="87"/>
        <v>MCSGAST1</v>
      </c>
      <c r="S361" s="38"/>
      <c r="T361" s="304">
        <f t="shared" si="88"/>
        <v>46113</v>
      </c>
      <c r="U361" s="304" t="str">
        <f t="shared" si="89"/>
        <v/>
      </c>
      <c r="V361" s="300" t="s">
        <v>761</v>
      </c>
    </row>
    <row r="362" spans="2:22" s="300" customFormat="1" x14ac:dyDescent="0.25">
      <c r="B362" s="301" t="s">
        <v>25</v>
      </c>
      <c r="C362" s="302"/>
      <c r="D362" s="86" t="str">
        <f>INDEX(Cad_Natureza!$B$3:$C$52,MATCH('2026'!F362,Cad_Natureza!$C$3:$C$52,0),MATCH('2026'!D$2,Cad_Natureza!$B$3:$C$3,0))</f>
        <v>GAST1</v>
      </c>
      <c r="E362" s="84" t="s">
        <v>1547</v>
      </c>
      <c r="F362" s="85" t="s">
        <v>742</v>
      </c>
      <c r="G362" s="86" t="s">
        <v>25</v>
      </c>
      <c r="H362" s="87">
        <v>46132</v>
      </c>
      <c r="I362" s="87"/>
      <c r="J362" s="79" t="s">
        <v>185</v>
      </c>
      <c r="K362" s="62">
        <v>-4</v>
      </c>
      <c r="L362" s="62">
        <f t="shared" si="82"/>
        <v>883.1000000000007</v>
      </c>
      <c r="M362" s="302"/>
      <c r="N362" s="44" t="str">
        <f t="shared" si="83"/>
        <v>MCSGAST1CPF - Desp. Lazer e Entretenimento - Bares</v>
      </c>
      <c r="O362" s="44" t="str">
        <f t="shared" si="84"/>
        <v>GAST1CPF - Desp. Lazer e Entretenimento - Bares</v>
      </c>
      <c r="P362" s="44" t="str">
        <f t="shared" si="85"/>
        <v>MCSGAST1CPF - Desp. Lazer e Entretenimento - Bares</v>
      </c>
      <c r="Q362" s="44" t="str">
        <f t="shared" si="86"/>
        <v>MCSGAST1</v>
      </c>
      <c r="R362" s="44" t="str">
        <f t="shared" si="87"/>
        <v>MCSGAST1</v>
      </c>
      <c r="S362" s="38"/>
      <c r="T362" s="304">
        <f t="shared" si="88"/>
        <v>46113</v>
      </c>
      <c r="U362" s="304" t="str">
        <f t="shared" si="89"/>
        <v/>
      </c>
      <c r="V362" s="300" t="s">
        <v>761</v>
      </c>
    </row>
    <row r="363" spans="2:22" s="300" customFormat="1" x14ac:dyDescent="0.25">
      <c r="B363" s="301" t="s">
        <v>25</v>
      </c>
      <c r="C363" s="302"/>
      <c r="D363" s="86" t="str">
        <f>INDEX(Cad_Natureza!$B$3:$C$52,MATCH('2026'!F363,Cad_Natureza!$C$3:$C$52,0),MATCH('2026'!D$2,Cad_Natureza!$B$3:$C$3,0))</f>
        <v>GAST1</v>
      </c>
      <c r="E363" s="84" t="s">
        <v>1543</v>
      </c>
      <c r="F363" s="85" t="s">
        <v>742</v>
      </c>
      <c r="G363" s="86" t="s">
        <v>25</v>
      </c>
      <c r="H363" s="87">
        <v>46132</v>
      </c>
      <c r="I363" s="87"/>
      <c r="J363" s="79" t="s">
        <v>1590</v>
      </c>
      <c r="K363" s="62">
        <v>-13</v>
      </c>
      <c r="L363" s="62">
        <f t="shared" si="82"/>
        <v>870.1000000000007</v>
      </c>
      <c r="M363" s="302"/>
      <c r="N363" s="44" t="str">
        <f t="shared" si="83"/>
        <v>MCSGAST1CPF - Desp. Lazer e Entretenimento - Bares</v>
      </c>
      <c r="O363" s="44" t="str">
        <f t="shared" si="84"/>
        <v>GAST1CPF - Desp. Lazer e Entretenimento - Bares</v>
      </c>
      <c r="P363" s="44" t="str">
        <f t="shared" si="85"/>
        <v>MCSGAST1CPF - Desp. Lazer e Entretenimento - Bares</v>
      </c>
      <c r="Q363" s="44" t="str">
        <f t="shared" si="86"/>
        <v>MCSGAST1</v>
      </c>
      <c r="R363" s="44" t="str">
        <f t="shared" si="87"/>
        <v>MCSGAST1</v>
      </c>
      <c r="S363" s="38"/>
      <c r="T363" s="304">
        <f t="shared" si="88"/>
        <v>46113</v>
      </c>
      <c r="U363" s="304" t="str">
        <f t="shared" si="89"/>
        <v/>
      </c>
      <c r="V363" s="300" t="s">
        <v>761</v>
      </c>
    </row>
    <row r="364" spans="2:22" s="300" customFormat="1" x14ac:dyDescent="0.25">
      <c r="B364" s="301" t="s">
        <v>25</v>
      </c>
      <c r="C364" s="302"/>
      <c r="D364" s="86" t="str">
        <f>INDEX(Cad_Natureza!$B$3:$C$52,MATCH('2026'!F364,Cad_Natureza!$C$3:$C$52,0),MATCH('2026'!D$2,Cad_Natureza!$B$3:$C$3,0))</f>
        <v>GAST1</v>
      </c>
      <c r="E364" s="84" t="s">
        <v>1548</v>
      </c>
      <c r="F364" s="85" t="s">
        <v>742</v>
      </c>
      <c r="G364" s="86" t="s">
        <v>25</v>
      </c>
      <c r="H364" s="87">
        <v>46132</v>
      </c>
      <c r="I364" s="87"/>
      <c r="J364" s="79" t="s">
        <v>185</v>
      </c>
      <c r="K364" s="62">
        <v>-60</v>
      </c>
      <c r="L364" s="62">
        <f t="shared" si="82"/>
        <v>810.1000000000007</v>
      </c>
      <c r="M364" s="302"/>
      <c r="N364" s="44" t="str">
        <f t="shared" si="83"/>
        <v>MCSGAST1CPF - Desp. Lazer e Entretenimento - Bares</v>
      </c>
      <c r="O364" s="44" t="str">
        <f t="shared" si="84"/>
        <v>GAST1CPF - Desp. Lazer e Entretenimento - Bares</v>
      </c>
      <c r="P364" s="44" t="str">
        <f t="shared" si="85"/>
        <v>MCSGAST1CPF - Desp. Lazer e Entretenimento - Bares</v>
      </c>
      <c r="Q364" s="44" t="str">
        <f t="shared" si="86"/>
        <v>MCSGAST1</v>
      </c>
      <c r="R364" s="44" t="str">
        <f t="shared" si="87"/>
        <v>MCSGAST1</v>
      </c>
      <c r="S364" s="38"/>
      <c r="T364" s="304">
        <f t="shared" si="88"/>
        <v>46113</v>
      </c>
      <c r="U364" s="304" t="str">
        <f t="shared" si="89"/>
        <v/>
      </c>
      <c r="V364" s="300" t="s">
        <v>761</v>
      </c>
    </row>
    <row r="365" spans="2:22" s="300" customFormat="1" x14ac:dyDescent="0.25">
      <c r="B365" s="301" t="s">
        <v>25</v>
      </c>
      <c r="C365" s="302"/>
      <c r="D365" s="86" t="str">
        <f>INDEX(Cad_Natureza!$B$3:$C$52,MATCH('2026'!F365,Cad_Natureza!$C$3:$C$52,0),MATCH('2026'!D$2,Cad_Natureza!$B$3:$C$3,0))</f>
        <v>GAST1</v>
      </c>
      <c r="E365" s="84" t="s">
        <v>1549</v>
      </c>
      <c r="F365" s="85" t="s">
        <v>742</v>
      </c>
      <c r="G365" s="86" t="s">
        <v>25</v>
      </c>
      <c r="H365" s="87">
        <v>46132</v>
      </c>
      <c r="I365" s="87"/>
      <c r="J365" s="79" t="s">
        <v>185</v>
      </c>
      <c r="K365" s="62">
        <v>-6.5</v>
      </c>
      <c r="L365" s="62">
        <f t="shared" si="82"/>
        <v>803.6000000000007</v>
      </c>
      <c r="M365" s="302"/>
      <c r="N365" s="44" t="str">
        <f t="shared" si="83"/>
        <v>MCSGAST1CPF - Desp. Lazer e Entretenimento - Bares</v>
      </c>
      <c r="O365" s="44" t="str">
        <f t="shared" si="84"/>
        <v>GAST1CPF - Desp. Lazer e Entretenimento - Bares</v>
      </c>
      <c r="P365" s="44" t="str">
        <f t="shared" si="85"/>
        <v>MCSGAST1CPF - Desp. Lazer e Entretenimento - Bares</v>
      </c>
      <c r="Q365" s="44" t="str">
        <f t="shared" si="86"/>
        <v>MCSGAST1</v>
      </c>
      <c r="R365" s="44" t="str">
        <f t="shared" si="87"/>
        <v>MCSGAST1</v>
      </c>
      <c r="S365" s="38"/>
      <c r="T365" s="304">
        <f t="shared" si="88"/>
        <v>46113</v>
      </c>
      <c r="U365" s="304" t="str">
        <f t="shared" si="89"/>
        <v/>
      </c>
      <c r="V365" s="300" t="s">
        <v>731</v>
      </c>
    </row>
    <row r="366" spans="2:22" s="300" customFormat="1" x14ac:dyDescent="0.25">
      <c r="B366" s="301" t="s">
        <v>25</v>
      </c>
      <c r="C366" s="302"/>
      <c r="D366" s="86" t="str">
        <f>INDEX(Cad_Natureza!$B$3:$C$52,MATCH('2026'!F366,Cad_Natureza!$C$3:$C$52,0),MATCH('2026'!D$2,Cad_Natureza!$B$3:$C$3,0))</f>
        <v>GAST1</v>
      </c>
      <c r="E366" s="84" t="s">
        <v>1550</v>
      </c>
      <c r="F366" s="85" t="s">
        <v>742</v>
      </c>
      <c r="G366" s="86" t="s">
        <v>25</v>
      </c>
      <c r="H366" s="87">
        <v>46132</v>
      </c>
      <c r="I366" s="87"/>
      <c r="J366" s="79" t="s">
        <v>1590</v>
      </c>
      <c r="K366" s="62">
        <v>-52</v>
      </c>
      <c r="L366" s="62">
        <f t="shared" si="82"/>
        <v>751.6000000000007</v>
      </c>
      <c r="M366" s="302"/>
      <c r="N366" s="44" t="str">
        <f t="shared" si="83"/>
        <v>MCSGAST1CPF - Desp. Lazer e Entretenimento - Bares</v>
      </c>
      <c r="O366" s="44" t="str">
        <f t="shared" si="84"/>
        <v>GAST1CPF - Desp. Lazer e Entretenimento - Bares</v>
      </c>
      <c r="P366" s="44" t="str">
        <f t="shared" si="85"/>
        <v>MCSGAST1CPF - Desp. Lazer e Entretenimento - Bares</v>
      </c>
      <c r="Q366" s="44" t="str">
        <f t="shared" si="86"/>
        <v>MCSGAST1</v>
      </c>
      <c r="R366" s="44" t="str">
        <f t="shared" si="87"/>
        <v>MCSGAST1</v>
      </c>
      <c r="S366" s="38"/>
      <c r="T366" s="304">
        <f t="shared" si="88"/>
        <v>46113</v>
      </c>
      <c r="U366" s="304" t="str">
        <f t="shared" si="89"/>
        <v/>
      </c>
      <c r="V366" s="300" t="s">
        <v>731</v>
      </c>
    </row>
    <row r="367" spans="2:22" s="291" customFormat="1" x14ac:dyDescent="0.25">
      <c r="B367" s="288" t="s">
        <v>25</v>
      </c>
      <c r="C367" s="83"/>
      <c r="D367" s="63" t="str">
        <f>INDEX(Cad_Natureza!$B$3:$C$52,MATCH('2026'!F367,Cad_Natureza!$C$3:$C$52,0),MATCH('2026'!D$2,Cad_Natureza!$B$3:$C$3,0))</f>
        <v>REC4</v>
      </c>
      <c r="E367" s="64" t="s">
        <v>1551</v>
      </c>
      <c r="F367" s="65" t="s">
        <v>734</v>
      </c>
      <c r="G367" s="63" t="s">
        <v>25</v>
      </c>
      <c r="H367" s="66">
        <v>46132</v>
      </c>
      <c r="I367" s="66"/>
      <c r="J367" s="67" t="s">
        <v>183</v>
      </c>
      <c r="K367" s="68">
        <v>1000</v>
      </c>
      <c r="L367" s="68">
        <f t="shared" si="82"/>
        <v>1751.6000000000008</v>
      </c>
      <c r="M367" s="83"/>
      <c r="N367" s="44" t="str">
        <f t="shared" si="83"/>
        <v>MCSREC4CPF - Transf. Da conta PJ para a conta PF</v>
      </c>
      <c r="O367" s="44" t="str">
        <f t="shared" si="84"/>
        <v>REC4CPF - Transf. Da conta PJ para a conta PF</v>
      </c>
      <c r="P367" s="44" t="str">
        <f t="shared" si="85"/>
        <v>MCSREC4CPF - Transf. Da conta PJ para a conta PF</v>
      </c>
      <c r="Q367" s="44" t="str">
        <f t="shared" si="86"/>
        <v>MCSREC4</v>
      </c>
      <c r="R367" s="44" t="str">
        <f t="shared" si="87"/>
        <v>MCSREC4</v>
      </c>
      <c r="S367" s="38"/>
      <c r="T367" s="290">
        <f t="shared" si="88"/>
        <v>46113</v>
      </c>
      <c r="U367" s="290" t="str">
        <f t="shared" si="89"/>
        <v/>
      </c>
      <c r="V367" s="291" t="s">
        <v>761</v>
      </c>
    </row>
    <row r="368" spans="2:22" s="300" customFormat="1" x14ac:dyDescent="0.25">
      <c r="B368" s="301" t="s">
        <v>25</v>
      </c>
      <c r="C368" s="302"/>
      <c r="D368" s="86" t="str">
        <f>INDEX(Cad_Natureza!$B$3:$C$52,MATCH('2026'!F368,Cad_Natureza!$C$3:$C$52,0),MATCH('2026'!D$2,Cad_Natureza!$B$3:$C$3,0))</f>
        <v>OPF2</v>
      </c>
      <c r="E368" s="84" t="s">
        <v>1552</v>
      </c>
      <c r="F368" s="85" t="s">
        <v>741</v>
      </c>
      <c r="G368" s="86" t="s">
        <v>25</v>
      </c>
      <c r="H368" s="87">
        <v>46132</v>
      </c>
      <c r="I368" s="87"/>
      <c r="J368" s="79" t="s">
        <v>184</v>
      </c>
      <c r="K368" s="62">
        <v>-80</v>
      </c>
      <c r="L368" s="62">
        <f t="shared" si="82"/>
        <v>1671.6000000000008</v>
      </c>
      <c r="M368" s="302"/>
      <c r="N368" s="44" t="str">
        <f t="shared" si="83"/>
        <v>MCSOPF2CPF - Desp. Transporte / Combustível</v>
      </c>
      <c r="O368" s="44" t="str">
        <f t="shared" si="84"/>
        <v>OPF2CPF - Desp. Transporte / Combustível</v>
      </c>
      <c r="P368" s="44" t="str">
        <f t="shared" si="85"/>
        <v>MCSOPF2CPF - Desp. Transporte / Combustível</v>
      </c>
      <c r="Q368" s="44" t="str">
        <f t="shared" si="86"/>
        <v>MCSOPF2</v>
      </c>
      <c r="R368" s="44" t="str">
        <f t="shared" si="87"/>
        <v>MCSOPF2</v>
      </c>
      <c r="S368" s="38"/>
      <c r="T368" s="304">
        <f t="shared" si="88"/>
        <v>46113</v>
      </c>
      <c r="U368" s="304" t="str">
        <f t="shared" si="89"/>
        <v/>
      </c>
      <c r="V368" s="300" t="s">
        <v>761</v>
      </c>
    </row>
    <row r="369" spans="2:22" s="300" customFormat="1" x14ac:dyDescent="0.25">
      <c r="B369" s="301" t="s">
        <v>25</v>
      </c>
      <c r="C369" s="302"/>
      <c r="D369" s="86" t="str">
        <f>INDEX(Cad_Natureza!$B$3:$C$52,MATCH('2026'!F369,Cad_Natureza!$C$3:$C$52,0),MATCH('2026'!D$2,Cad_Natureza!$B$3:$C$3,0))</f>
        <v>GAST1</v>
      </c>
      <c r="E369" s="84" t="s">
        <v>1553</v>
      </c>
      <c r="F369" s="85" t="s">
        <v>742</v>
      </c>
      <c r="G369" s="86" t="s">
        <v>25</v>
      </c>
      <c r="H369" s="87">
        <v>46132</v>
      </c>
      <c r="I369" s="87"/>
      <c r="J369" s="79" t="s">
        <v>1600</v>
      </c>
      <c r="K369" s="62">
        <v>-106.08</v>
      </c>
      <c r="L369" s="62">
        <f t="shared" si="82"/>
        <v>1565.5200000000009</v>
      </c>
      <c r="M369" s="302"/>
      <c r="N369" s="44" t="str">
        <f t="shared" si="83"/>
        <v>MCSGAST1CPF - Desp. Lazer e Entretenimento - Bares</v>
      </c>
      <c r="O369" s="44" t="str">
        <f t="shared" si="84"/>
        <v>GAST1CPF - Desp. Lazer e Entretenimento - Bares</v>
      </c>
      <c r="P369" s="44" t="str">
        <f t="shared" si="85"/>
        <v>MCSGAST1CPF - Desp. Lazer e Entretenimento - Bares</v>
      </c>
      <c r="Q369" s="44" t="str">
        <f t="shared" si="86"/>
        <v>MCSGAST1</v>
      </c>
      <c r="R369" s="44" t="str">
        <f t="shared" si="87"/>
        <v>MCSGAST1</v>
      </c>
      <c r="S369" s="38"/>
      <c r="T369" s="304">
        <f t="shared" si="88"/>
        <v>46113</v>
      </c>
      <c r="U369" s="304" t="str">
        <f t="shared" si="89"/>
        <v/>
      </c>
      <c r="V369" s="300" t="s">
        <v>761</v>
      </c>
    </row>
    <row r="370" spans="2:22" s="300" customFormat="1" x14ac:dyDescent="0.25">
      <c r="B370" s="301" t="s">
        <v>25</v>
      </c>
      <c r="C370" s="302"/>
      <c r="D370" s="86" t="str">
        <f>INDEX(Cad_Natureza!$B$3:$C$52,MATCH('2026'!F370,Cad_Natureza!$C$3:$C$52,0),MATCH('2026'!D$2,Cad_Natureza!$B$3:$C$3,0))</f>
        <v>GAST1</v>
      </c>
      <c r="E370" s="84" t="s">
        <v>1554</v>
      </c>
      <c r="F370" s="85" t="s">
        <v>742</v>
      </c>
      <c r="G370" s="86" t="s">
        <v>25</v>
      </c>
      <c r="H370" s="87">
        <v>46132</v>
      </c>
      <c r="I370" s="87"/>
      <c r="J370" s="79" t="s">
        <v>1602</v>
      </c>
      <c r="K370" s="62">
        <v>-45</v>
      </c>
      <c r="L370" s="62">
        <f t="shared" si="82"/>
        <v>1520.5200000000009</v>
      </c>
      <c r="M370" s="302"/>
      <c r="N370" s="44" t="str">
        <f t="shared" si="83"/>
        <v>MCSGAST1CPF - Desp. Lazer e Entretenimento - Bares</v>
      </c>
      <c r="O370" s="44" t="str">
        <f t="shared" si="84"/>
        <v>GAST1CPF - Desp. Lazer e Entretenimento - Bares</v>
      </c>
      <c r="P370" s="44" t="str">
        <f t="shared" si="85"/>
        <v>MCSGAST1CPF - Desp. Lazer e Entretenimento - Bares</v>
      </c>
      <c r="Q370" s="44" t="str">
        <f t="shared" si="86"/>
        <v>MCSGAST1</v>
      </c>
      <c r="R370" s="44" t="str">
        <f t="shared" si="87"/>
        <v>MCSGAST1</v>
      </c>
      <c r="S370" s="38"/>
      <c r="T370" s="304">
        <f t="shared" si="88"/>
        <v>46113</v>
      </c>
      <c r="U370" s="304" t="str">
        <f t="shared" si="89"/>
        <v/>
      </c>
      <c r="V370" s="300" t="s">
        <v>761</v>
      </c>
    </row>
    <row r="371" spans="2:22" s="300" customFormat="1" x14ac:dyDescent="0.25">
      <c r="B371" s="301" t="s">
        <v>25</v>
      </c>
      <c r="C371" s="302"/>
      <c r="D371" s="86" t="str">
        <f>INDEX(Cad_Natureza!$B$3:$C$52,MATCH('2026'!F371,Cad_Natureza!$C$3:$C$52,0),MATCH('2026'!D$2,Cad_Natureza!$B$3:$C$3,0))</f>
        <v>OUG1</v>
      </c>
      <c r="E371" s="84" t="s">
        <v>1555</v>
      </c>
      <c r="F371" s="85" t="s">
        <v>748</v>
      </c>
      <c r="G371" s="86" t="s">
        <v>25</v>
      </c>
      <c r="H371" s="87">
        <v>46132</v>
      </c>
      <c r="I371" s="87"/>
      <c r="J371" s="79" t="s">
        <v>1601</v>
      </c>
      <c r="K371" s="62">
        <v>-88</v>
      </c>
      <c r="L371" s="62">
        <f t="shared" si="82"/>
        <v>1432.5200000000009</v>
      </c>
      <c r="M371" s="302"/>
      <c r="N371" s="44" t="str">
        <f t="shared" si="83"/>
        <v>MCSOUG1CPF - Outros gastos</v>
      </c>
      <c r="O371" s="44" t="str">
        <f t="shared" si="84"/>
        <v>OUG1CPF - Outros gastos</v>
      </c>
      <c r="P371" s="44" t="str">
        <f t="shared" si="85"/>
        <v>MCSOUG1CPF - Outros gastos</v>
      </c>
      <c r="Q371" s="44" t="str">
        <f t="shared" si="86"/>
        <v>MCSOUG1</v>
      </c>
      <c r="R371" s="44" t="str">
        <f t="shared" si="87"/>
        <v>MCSOUG1</v>
      </c>
      <c r="S371" s="38"/>
      <c r="T371" s="304">
        <f t="shared" si="88"/>
        <v>46113</v>
      </c>
      <c r="U371" s="304" t="str">
        <f t="shared" si="89"/>
        <v/>
      </c>
      <c r="V371" s="300" t="s">
        <v>761</v>
      </c>
    </row>
    <row r="372" spans="2:22" s="300" customFormat="1" x14ac:dyDescent="0.25">
      <c r="B372" s="301" t="s">
        <v>25</v>
      </c>
      <c r="C372" s="302"/>
      <c r="D372" s="86" t="str">
        <f>INDEX(Cad_Natureza!$B$3:$C$52,MATCH('2026'!F372,Cad_Natureza!$C$3:$C$52,0),MATCH('2026'!D$2,Cad_Natureza!$B$3:$C$3,0))</f>
        <v>GAST1</v>
      </c>
      <c r="E372" s="84" t="s">
        <v>1556</v>
      </c>
      <c r="F372" s="85" t="s">
        <v>742</v>
      </c>
      <c r="G372" s="86" t="s">
        <v>25</v>
      </c>
      <c r="H372" s="87">
        <v>46132</v>
      </c>
      <c r="I372" s="87"/>
      <c r="J372" s="79" t="s">
        <v>185</v>
      </c>
      <c r="K372" s="62">
        <v>-3</v>
      </c>
      <c r="L372" s="62">
        <f t="shared" si="82"/>
        <v>1429.5200000000009</v>
      </c>
      <c r="M372" s="302"/>
      <c r="N372" s="44" t="str">
        <f t="shared" si="83"/>
        <v>MCSGAST1CPF - Desp. Lazer e Entretenimento - Bares</v>
      </c>
      <c r="O372" s="44" t="str">
        <f t="shared" si="84"/>
        <v>GAST1CPF - Desp. Lazer e Entretenimento - Bares</v>
      </c>
      <c r="P372" s="44" t="str">
        <f t="shared" si="85"/>
        <v>MCSGAST1CPF - Desp. Lazer e Entretenimento - Bares</v>
      </c>
      <c r="Q372" s="44" t="str">
        <f t="shared" si="86"/>
        <v>MCSGAST1</v>
      </c>
      <c r="R372" s="44" t="str">
        <f t="shared" si="87"/>
        <v>MCSGAST1</v>
      </c>
      <c r="S372" s="38"/>
      <c r="T372" s="304">
        <f t="shared" si="88"/>
        <v>46113</v>
      </c>
      <c r="U372" s="304" t="str">
        <f t="shared" si="89"/>
        <v/>
      </c>
      <c r="V372" s="300" t="s">
        <v>761</v>
      </c>
    </row>
    <row r="373" spans="2:22" s="300" customFormat="1" x14ac:dyDescent="0.25">
      <c r="B373" s="301" t="s">
        <v>25</v>
      </c>
      <c r="C373" s="302"/>
      <c r="D373" s="86" t="str">
        <f>INDEX(Cad_Natureza!$B$3:$C$52,MATCH('2026'!F373,Cad_Natureza!$C$3:$C$52,0),MATCH('2026'!D$2,Cad_Natureza!$B$3:$C$3,0))</f>
        <v>DESP4</v>
      </c>
      <c r="E373" s="84" t="s">
        <v>1557</v>
      </c>
      <c r="F373" s="85" t="s">
        <v>753</v>
      </c>
      <c r="G373" s="86" t="s">
        <v>25</v>
      </c>
      <c r="H373" s="87">
        <v>46132</v>
      </c>
      <c r="I373" s="87"/>
      <c r="J373" s="79" t="s">
        <v>1841</v>
      </c>
      <c r="K373" s="62">
        <v>-9</v>
      </c>
      <c r="L373" s="62">
        <f t="shared" si="82"/>
        <v>1420.5200000000009</v>
      </c>
      <c r="M373" s="302"/>
      <c r="N373" s="44" t="str">
        <f t="shared" si="83"/>
        <v>MCSDESP4CPF - Desp. Moradia</v>
      </c>
      <c r="O373" s="44" t="str">
        <f t="shared" si="84"/>
        <v>DESP4CPF - Desp. Moradia</v>
      </c>
      <c r="P373" s="44" t="str">
        <f t="shared" si="85"/>
        <v>MCSDESP4CPF - Desp. Moradia</v>
      </c>
      <c r="Q373" s="44" t="str">
        <f t="shared" si="86"/>
        <v>MCSDESP4</v>
      </c>
      <c r="R373" s="44" t="str">
        <f t="shared" si="87"/>
        <v>MCSDESP4</v>
      </c>
      <c r="S373" s="38"/>
      <c r="T373" s="304">
        <f t="shared" si="88"/>
        <v>46113</v>
      </c>
      <c r="U373" s="304" t="str">
        <f t="shared" si="89"/>
        <v/>
      </c>
      <c r="V373" s="300" t="s">
        <v>761</v>
      </c>
    </row>
    <row r="374" spans="2:22" s="300" customFormat="1" x14ac:dyDescent="0.25">
      <c r="B374" s="301" t="s">
        <v>25</v>
      </c>
      <c r="C374" s="302"/>
      <c r="D374" s="86" t="str">
        <f>INDEX(Cad_Natureza!$B$3:$C$52,MATCH('2026'!F374,Cad_Natureza!$C$3:$C$52,0),MATCH('2026'!D$2,Cad_Natureza!$B$3:$C$3,0))</f>
        <v>PENS6</v>
      </c>
      <c r="E374" s="84" t="s">
        <v>1558</v>
      </c>
      <c r="F374" s="85" t="s">
        <v>37</v>
      </c>
      <c r="G374" s="86" t="s">
        <v>25</v>
      </c>
      <c r="H374" s="87">
        <v>46134</v>
      </c>
      <c r="I374" s="87"/>
      <c r="J374" s="78" t="s">
        <v>1112</v>
      </c>
      <c r="K374" s="62">
        <v>-19.98</v>
      </c>
      <c r="L374" s="62">
        <f t="shared" si="82"/>
        <v>1400.5400000000009</v>
      </c>
      <c r="M374" s="302"/>
      <c r="N374" s="44" t="str">
        <f t="shared" si="83"/>
        <v>MCSPENS6CPF - Pensão - Farmácia e Saúde</v>
      </c>
      <c r="O374" s="44" t="str">
        <f t="shared" si="84"/>
        <v>PENS6CPF - Pensão - Farmácia e Saúde</v>
      </c>
      <c r="P374" s="44" t="str">
        <f t="shared" si="85"/>
        <v>MCSPENS6CPF - Pensão - Farmácia e Saúde</v>
      </c>
      <c r="Q374" s="44" t="str">
        <f t="shared" si="86"/>
        <v>MCSPENS6</v>
      </c>
      <c r="R374" s="44" t="str">
        <f t="shared" si="87"/>
        <v>MCSPENS6</v>
      </c>
      <c r="S374" s="38"/>
      <c r="T374" s="304">
        <f t="shared" si="88"/>
        <v>46113</v>
      </c>
      <c r="U374" s="304" t="str">
        <f t="shared" si="89"/>
        <v/>
      </c>
      <c r="V374" s="300" t="s">
        <v>731</v>
      </c>
    </row>
    <row r="375" spans="2:22" s="300" customFormat="1" x14ac:dyDescent="0.25">
      <c r="B375" s="301" t="s">
        <v>25</v>
      </c>
      <c r="C375" s="302"/>
      <c r="D375" s="86" t="str">
        <f>INDEX(Cad_Natureza!$B$3:$C$52,MATCH('2026'!F375,Cad_Natureza!$C$3:$C$52,0),MATCH('2026'!D$2,Cad_Natureza!$B$3:$C$3,0))</f>
        <v>GAST1</v>
      </c>
      <c r="E375" s="84" t="s">
        <v>1559</v>
      </c>
      <c r="F375" s="85" t="s">
        <v>742</v>
      </c>
      <c r="G375" s="86" t="s">
        <v>25</v>
      </c>
      <c r="H375" s="87">
        <v>46134</v>
      </c>
      <c r="I375" s="87"/>
      <c r="J375" s="79" t="s">
        <v>185</v>
      </c>
      <c r="K375" s="62">
        <v>-20</v>
      </c>
      <c r="L375" s="62">
        <f t="shared" si="82"/>
        <v>1380.5400000000009</v>
      </c>
      <c r="M375" s="302"/>
      <c r="N375" s="44" t="str">
        <f t="shared" si="83"/>
        <v>MCSGAST1CPF - Desp. Lazer e Entretenimento - Bares</v>
      </c>
      <c r="O375" s="44" t="str">
        <f t="shared" si="84"/>
        <v>GAST1CPF - Desp. Lazer e Entretenimento - Bares</v>
      </c>
      <c r="P375" s="44" t="str">
        <f t="shared" si="85"/>
        <v>MCSGAST1CPF - Desp. Lazer e Entretenimento - Bares</v>
      </c>
      <c r="Q375" s="44" t="str">
        <f t="shared" si="86"/>
        <v>MCSGAST1</v>
      </c>
      <c r="R375" s="44" t="str">
        <f t="shared" si="87"/>
        <v>MCSGAST1</v>
      </c>
      <c r="S375" s="38"/>
      <c r="T375" s="304">
        <f t="shared" si="88"/>
        <v>46113</v>
      </c>
      <c r="U375" s="304" t="str">
        <f t="shared" si="89"/>
        <v/>
      </c>
      <c r="V375" s="300" t="s">
        <v>731</v>
      </c>
    </row>
    <row r="376" spans="2:22" s="300" customFormat="1" x14ac:dyDescent="0.25">
      <c r="B376" s="301" t="s">
        <v>25</v>
      </c>
      <c r="C376" s="302"/>
      <c r="D376" s="86" t="str">
        <f>INDEX(Cad_Natureza!$B$3:$C$52,MATCH('2026'!F376,Cad_Natureza!$C$3:$C$52,0),MATCH('2026'!D$2,Cad_Natureza!$B$3:$C$3,0))</f>
        <v>OUG1</v>
      </c>
      <c r="E376" s="84" t="s">
        <v>1560</v>
      </c>
      <c r="F376" s="85" t="s">
        <v>748</v>
      </c>
      <c r="G376" s="86" t="s">
        <v>25</v>
      </c>
      <c r="H376" s="87">
        <v>46134</v>
      </c>
      <c r="I376" s="87"/>
      <c r="J376" s="79" t="s">
        <v>1430</v>
      </c>
      <c r="K376" s="62">
        <v>-8.49</v>
      </c>
      <c r="L376" s="62">
        <f t="shared" si="82"/>
        <v>1372.0500000000009</v>
      </c>
      <c r="M376" s="302"/>
      <c r="N376" s="44" t="str">
        <f t="shared" si="60"/>
        <v>MCSOUG1CPF - Outros gastos</v>
      </c>
      <c r="O376" s="44" t="str">
        <f t="shared" si="61"/>
        <v>OUG1CPF - Outros gastos</v>
      </c>
      <c r="P376" s="44" t="str">
        <f t="shared" si="62"/>
        <v>MCSOUG1CPF - Outros gastos</v>
      </c>
      <c r="Q376" s="44" t="str">
        <f t="shared" si="63"/>
        <v>MCSOUG1</v>
      </c>
      <c r="R376" s="44" t="str">
        <f t="shared" si="64"/>
        <v>MCSOUG1</v>
      </c>
      <c r="S376" s="38"/>
      <c r="T376" s="304">
        <f t="shared" si="65"/>
        <v>46113</v>
      </c>
      <c r="U376" s="304" t="str">
        <f t="shared" si="66"/>
        <v/>
      </c>
      <c r="V376" s="300" t="s">
        <v>761</v>
      </c>
    </row>
    <row r="377" spans="2:22" s="300" customFormat="1" x14ac:dyDescent="0.25">
      <c r="B377" s="301" t="s">
        <v>25</v>
      </c>
      <c r="C377" s="302"/>
      <c r="D377" s="86" t="str">
        <f>INDEX(Cad_Natureza!$B$3:$C$52,MATCH('2026'!F377,Cad_Natureza!$C$3:$C$52,0),MATCH('2026'!D$2,Cad_Natureza!$B$3:$C$3,0))</f>
        <v>OPF2</v>
      </c>
      <c r="E377" s="84" t="s">
        <v>1561</v>
      </c>
      <c r="F377" s="85" t="s">
        <v>741</v>
      </c>
      <c r="G377" s="86" t="s">
        <v>25</v>
      </c>
      <c r="H377" s="87">
        <v>46134</v>
      </c>
      <c r="I377" s="87"/>
      <c r="J377" s="79" t="s">
        <v>184</v>
      </c>
      <c r="K377" s="62">
        <v>-80</v>
      </c>
      <c r="L377" s="62">
        <f t="shared" si="82"/>
        <v>1292.0500000000009</v>
      </c>
      <c r="M377" s="302"/>
      <c r="N377" s="44" t="str">
        <f t="shared" si="60"/>
        <v>MCSOPF2CPF - Desp. Transporte / Combustível</v>
      </c>
      <c r="O377" s="44" t="str">
        <f t="shared" si="61"/>
        <v>OPF2CPF - Desp. Transporte / Combustível</v>
      </c>
      <c r="P377" s="44" t="str">
        <f t="shared" si="62"/>
        <v>MCSOPF2CPF - Desp. Transporte / Combustível</v>
      </c>
      <c r="Q377" s="44" t="str">
        <f t="shared" si="63"/>
        <v>MCSOPF2</v>
      </c>
      <c r="R377" s="44" t="str">
        <f t="shared" si="64"/>
        <v>MCSOPF2</v>
      </c>
      <c r="S377" s="38"/>
      <c r="T377" s="304">
        <f t="shared" si="65"/>
        <v>46113</v>
      </c>
      <c r="U377" s="304" t="str">
        <f t="shared" si="66"/>
        <v/>
      </c>
      <c r="V377" s="300" t="s">
        <v>761</v>
      </c>
    </row>
    <row r="378" spans="2:22" s="300" customFormat="1" x14ac:dyDescent="0.25">
      <c r="B378" s="301" t="s">
        <v>25</v>
      </c>
      <c r="C378" s="302"/>
      <c r="D378" s="86" t="str">
        <f>INDEX(Cad_Natureza!$B$3:$C$52,MATCH('2026'!F378,Cad_Natureza!$C$3:$C$52,0),MATCH('2026'!D$2,Cad_Natureza!$B$3:$C$3,0))</f>
        <v>PENS6</v>
      </c>
      <c r="E378" s="84" t="s">
        <v>1562</v>
      </c>
      <c r="F378" s="85" t="s">
        <v>37</v>
      </c>
      <c r="G378" s="86" t="s">
        <v>25</v>
      </c>
      <c r="H378" s="87">
        <v>46134</v>
      </c>
      <c r="I378" s="87"/>
      <c r="J378" s="78" t="s">
        <v>196</v>
      </c>
      <c r="K378" s="62">
        <v>-35.99</v>
      </c>
      <c r="L378" s="62">
        <f t="shared" si="82"/>
        <v>1256.0600000000009</v>
      </c>
      <c r="M378" s="302"/>
      <c r="N378" s="44" t="str">
        <f t="shared" si="60"/>
        <v>MCSPENS6CPF - Pensão - Farmácia e Saúde</v>
      </c>
      <c r="O378" s="44" t="str">
        <f t="shared" si="61"/>
        <v>PENS6CPF - Pensão - Farmácia e Saúde</v>
      </c>
      <c r="P378" s="44" t="str">
        <f t="shared" si="62"/>
        <v>MCSPENS6CPF - Pensão - Farmácia e Saúde</v>
      </c>
      <c r="Q378" s="44" t="str">
        <f t="shared" si="63"/>
        <v>MCSPENS6</v>
      </c>
      <c r="R378" s="44" t="str">
        <f t="shared" si="64"/>
        <v>MCSPENS6</v>
      </c>
      <c r="S378" s="38"/>
      <c r="T378" s="304">
        <f t="shared" si="65"/>
        <v>46113</v>
      </c>
      <c r="U378" s="304" t="str">
        <f t="shared" si="66"/>
        <v/>
      </c>
      <c r="V378" s="300" t="s">
        <v>761</v>
      </c>
    </row>
    <row r="379" spans="2:22" s="300" customFormat="1" x14ac:dyDescent="0.25">
      <c r="B379" s="301" t="s">
        <v>25</v>
      </c>
      <c r="C379" s="302"/>
      <c r="D379" s="86" t="str">
        <f>INDEX(Cad_Natureza!$B$3:$C$52,MATCH('2026'!F379,Cad_Natureza!$C$3:$C$52,0),MATCH('2026'!D$2,Cad_Natureza!$B$3:$C$3,0))</f>
        <v>DESP4</v>
      </c>
      <c r="E379" s="84" t="s">
        <v>1563</v>
      </c>
      <c r="F379" s="85" t="s">
        <v>753</v>
      </c>
      <c r="G379" s="86" t="s">
        <v>25</v>
      </c>
      <c r="H379" s="87">
        <v>46134</v>
      </c>
      <c r="I379" s="87"/>
      <c r="J379" s="79" t="s">
        <v>1330</v>
      </c>
      <c r="K379" s="62">
        <v>-82.46</v>
      </c>
      <c r="L379" s="62">
        <f t="shared" si="82"/>
        <v>1173.6000000000008</v>
      </c>
      <c r="M379" s="302"/>
      <c r="N379" s="44" t="str">
        <f t="shared" si="60"/>
        <v>MCSDESP4CPF - Desp. Moradia</v>
      </c>
      <c r="O379" s="44" t="str">
        <f t="shared" si="61"/>
        <v>DESP4CPF - Desp. Moradia</v>
      </c>
      <c r="P379" s="44" t="str">
        <f t="shared" si="62"/>
        <v>MCSDESP4CPF - Desp. Moradia</v>
      </c>
      <c r="Q379" s="44" t="str">
        <f t="shared" si="63"/>
        <v>MCSDESP4</v>
      </c>
      <c r="R379" s="44" t="str">
        <f t="shared" si="64"/>
        <v>MCSDESP4</v>
      </c>
      <c r="S379" s="38"/>
      <c r="T379" s="304">
        <f t="shared" si="65"/>
        <v>46113</v>
      </c>
      <c r="U379" s="304" t="str">
        <f t="shared" si="66"/>
        <v/>
      </c>
      <c r="V379" s="300" t="s">
        <v>761</v>
      </c>
    </row>
    <row r="380" spans="2:22" s="300" customFormat="1" x14ac:dyDescent="0.25">
      <c r="B380" s="301" t="s">
        <v>25</v>
      </c>
      <c r="C380" s="302"/>
      <c r="D380" s="86" t="str">
        <f>INDEX(Cad_Natureza!$B$3:$C$52,MATCH('2026'!F380,Cad_Natureza!$C$3:$C$52,0),MATCH('2026'!D$2,Cad_Natureza!$B$3:$C$3,0))</f>
        <v>TRI1</v>
      </c>
      <c r="E380" s="84" t="s">
        <v>1564</v>
      </c>
      <c r="F380" s="85" t="s">
        <v>35</v>
      </c>
      <c r="G380" s="86" t="s">
        <v>25</v>
      </c>
      <c r="H380" s="87">
        <v>46134</v>
      </c>
      <c r="I380" s="87"/>
      <c r="J380" s="79" t="s">
        <v>1603</v>
      </c>
      <c r="K380" s="62">
        <v>-271</v>
      </c>
      <c r="L380" s="62">
        <f t="shared" si="82"/>
        <v>902.60000000000082</v>
      </c>
      <c r="M380" s="302"/>
      <c r="N380" s="44" t="str">
        <f t="shared" si="60"/>
        <v>MCSTRI1CPF - Desp. Impostos e Obrigações</v>
      </c>
      <c r="O380" s="44" t="str">
        <f t="shared" si="61"/>
        <v>TRI1CPF - Desp. Impostos e Obrigações</v>
      </c>
      <c r="P380" s="44" t="str">
        <f t="shared" si="62"/>
        <v>MCSTRI1CPF - Desp. Impostos e Obrigações</v>
      </c>
      <c r="Q380" s="44" t="str">
        <f t="shared" si="63"/>
        <v>MCSTRI1</v>
      </c>
      <c r="R380" s="44" t="str">
        <f t="shared" si="64"/>
        <v>MCSTRI1</v>
      </c>
      <c r="S380" s="38"/>
      <c r="T380" s="304">
        <f t="shared" si="65"/>
        <v>46113</v>
      </c>
      <c r="U380" s="304" t="str">
        <f t="shared" si="66"/>
        <v/>
      </c>
      <c r="V380" s="300" t="s">
        <v>731</v>
      </c>
    </row>
    <row r="381" spans="2:22" s="300" customFormat="1" x14ac:dyDescent="0.25">
      <c r="B381" s="301" t="s">
        <v>25</v>
      </c>
      <c r="C381" s="302"/>
      <c r="D381" s="86" t="str">
        <f>INDEX(Cad_Natureza!$B$3:$C$52,MATCH('2026'!F381,Cad_Natureza!$C$3:$C$52,0),MATCH('2026'!D$2,Cad_Natureza!$B$3:$C$3,0))</f>
        <v>TRI1</v>
      </c>
      <c r="E381" s="84" t="s">
        <v>1565</v>
      </c>
      <c r="F381" s="85" t="s">
        <v>35</v>
      </c>
      <c r="G381" s="86" t="s">
        <v>25</v>
      </c>
      <c r="H381" s="87">
        <v>46134</v>
      </c>
      <c r="I381" s="87"/>
      <c r="J381" s="79" t="s">
        <v>1604</v>
      </c>
      <c r="K381" s="62">
        <v>-25</v>
      </c>
      <c r="L381" s="62">
        <f t="shared" si="82"/>
        <v>877.60000000000082</v>
      </c>
      <c r="M381" s="302"/>
      <c r="N381" s="44" t="str">
        <f t="shared" si="60"/>
        <v>MCSTRI1CPF - Desp. Impostos e Obrigações</v>
      </c>
      <c r="O381" s="44" t="str">
        <f t="shared" si="61"/>
        <v>TRI1CPF - Desp. Impostos e Obrigações</v>
      </c>
      <c r="P381" s="44" t="str">
        <f t="shared" si="62"/>
        <v>MCSTRI1CPF - Desp. Impostos e Obrigações</v>
      </c>
      <c r="Q381" s="44" t="str">
        <f t="shared" si="63"/>
        <v>MCSTRI1</v>
      </c>
      <c r="R381" s="44" t="str">
        <f t="shared" si="64"/>
        <v>MCSTRI1</v>
      </c>
      <c r="S381" s="38"/>
      <c r="T381" s="304">
        <f t="shared" si="65"/>
        <v>46113</v>
      </c>
      <c r="U381" s="304" t="str">
        <f t="shared" si="66"/>
        <v/>
      </c>
      <c r="V381" s="300" t="s">
        <v>731</v>
      </c>
    </row>
    <row r="382" spans="2:22" s="300" customFormat="1" x14ac:dyDescent="0.25">
      <c r="B382" s="301" t="s">
        <v>25</v>
      </c>
      <c r="C382" s="302"/>
      <c r="D382" s="86" t="str">
        <f>INDEX(Cad_Natureza!$B$3:$C$52,MATCH('2026'!F382,Cad_Natureza!$C$3:$C$52,0),MATCH('2026'!D$2,Cad_Natureza!$B$3:$C$3,0))</f>
        <v>OPF1</v>
      </c>
      <c r="E382" s="84" t="s">
        <v>1566</v>
      </c>
      <c r="F382" s="85" t="s">
        <v>744</v>
      </c>
      <c r="G382" s="86" t="s">
        <v>25</v>
      </c>
      <c r="H382" s="87">
        <v>46135</v>
      </c>
      <c r="I382" s="87"/>
      <c r="J382" s="79" t="s">
        <v>182</v>
      </c>
      <c r="K382" s="62">
        <v>-20</v>
      </c>
      <c r="L382" s="62">
        <f t="shared" si="82"/>
        <v>857.60000000000082</v>
      </c>
      <c r="M382" s="302"/>
      <c r="N382" s="44" t="str">
        <f t="shared" si="60"/>
        <v>MCSOPF1CPF - Desp. Alimentação / Refeição</v>
      </c>
      <c r="O382" s="44" t="str">
        <f t="shared" si="61"/>
        <v>OPF1CPF - Desp. Alimentação / Refeição</v>
      </c>
      <c r="P382" s="44" t="str">
        <f t="shared" si="62"/>
        <v>MCSOPF1CPF - Desp. Alimentação / Refeição</v>
      </c>
      <c r="Q382" s="44" t="str">
        <f t="shared" si="63"/>
        <v>MCSOPF1</v>
      </c>
      <c r="R382" s="44" t="str">
        <f t="shared" si="64"/>
        <v>MCSOPF1</v>
      </c>
      <c r="S382" s="38"/>
      <c r="T382" s="304">
        <f t="shared" si="65"/>
        <v>46113</v>
      </c>
      <c r="U382" s="304" t="str">
        <f t="shared" si="66"/>
        <v/>
      </c>
      <c r="V382" s="300" t="s">
        <v>761</v>
      </c>
    </row>
    <row r="383" spans="2:22" s="300" customFormat="1" x14ac:dyDescent="0.25">
      <c r="B383" s="301" t="s">
        <v>25</v>
      </c>
      <c r="C383" s="302"/>
      <c r="D383" s="86" t="str">
        <f>INDEX(Cad_Natureza!$B$3:$C$52,MATCH('2026'!F383,Cad_Natureza!$C$3:$C$52,0),MATCH('2026'!D$2,Cad_Natureza!$B$3:$C$3,0))</f>
        <v>GAST1</v>
      </c>
      <c r="E383" s="84" t="s">
        <v>1567</v>
      </c>
      <c r="F383" s="85" t="s">
        <v>742</v>
      </c>
      <c r="G383" s="86" t="s">
        <v>25</v>
      </c>
      <c r="H383" s="87">
        <v>46135</v>
      </c>
      <c r="I383" s="87"/>
      <c r="J383" s="79" t="s">
        <v>185</v>
      </c>
      <c r="K383" s="62">
        <v>-20</v>
      </c>
      <c r="L383" s="62">
        <f t="shared" si="82"/>
        <v>837.60000000000082</v>
      </c>
      <c r="M383" s="302"/>
      <c r="N383" s="44" t="str">
        <f t="shared" si="60"/>
        <v>MCSGAST1CPF - Desp. Lazer e Entretenimento - Bares</v>
      </c>
      <c r="O383" s="44" t="str">
        <f t="shared" si="61"/>
        <v>GAST1CPF - Desp. Lazer e Entretenimento - Bares</v>
      </c>
      <c r="P383" s="44" t="str">
        <f t="shared" si="62"/>
        <v>MCSGAST1CPF - Desp. Lazer e Entretenimento - Bares</v>
      </c>
      <c r="Q383" s="44" t="str">
        <f t="shared" si="63"/>
        <v>MCSGAST1</v>
      </c>
      <c r="R383" s="44" t="str">
        <f t="shared" si="64"/>
        <v>MCSGAST1</v>
      </c>
      <c r="S383" s="38"/>
      <c r="T383" s="304">
        <f t="shared" si="65"/>
        <v>46113</v>
      </c>
      <c r="U383" s="304" t="str">
        <f t="shared" si="66"/>
        <v/>
      </c>
      <c r="V383" s="300" t="s">
        <v>761</v>
      </c>
    </row>
    <row r="384" spans="2:22" s="300" customFormat="1" x14ac:dyDescent="0.25">
      <c r="B384" s="301" t="s">
        <v>25</v>
      </c>
      <c r="C384" s="302"/>
      <c r="D384" s="86" t="str">
        <f>INDEX(Cad_Natureza!$B$3:$C$52,MATCH('2026'!F384,Cad_Natureza!$C$3:$C$52,0),MATCH('2026'!D$2,Cad_Natureza!$B$3:$C$3,0))</f>
        <v>GAST1</v>
      </c>
      <c r="E384" s="84" t="s">
        <v>1568</v>
      </c>
      <c r="F384" s="85" t="s">
        <v>742</v>
      </c>
      <c r="G384" s="86" t="s">
        <v>25</v>
      </c>
      <c r="H384" s="87">
        <v>46135</v>
      </c>
      <c r="I384" s="87"/>
      <c r="J384" s="79" t="s">
        <v>185</v>
      </c>
      <c r="K384" s="62">
        <v>-9</v>
      </c>
      <c r="L384" s="62">
        <f t="shared" si="82"/>
        <v>828.60000000000082</v>
      </c>
      <c r="M384" s="302"/>
      <c r="N384" s="44" t="str">
        <f t="shared" si="60"/>
        <v>MCSGAST1CPF - Desp. Lazer e Entretenimento - Bares</v>
      </c>
      <c r="O384" s="44" t="str">
        <f t="shared" si="61"/>
        <v>GAST1CPF - Desp. Lazer e Entretenimento - Bares</v>
      </c>
      <c r="P384" s="44" t="str">
        <f t="shared" si="62"/>
        <v>MCSGAST1CPF - Desp. Lazer e Entretenimento - Bares</v>
      </c>
      <c r="Q384" s="44" t="str">
        <f t="shared" si="63"/>
        <v>MCSGAST1</v>
      </c>
      <c r="R384" s="44" t="str">
        <f t="shared" si="64"/>
        <v>MCSGAST1</v>
      </c>
      <c r="S384" s="38"/>
      <c r="T384" s="304">
        <f t="shared" si="65"/>
        <v>46113</v>
      </c>
      <c r="U384" s="304" t="str">
        <f t="shared" si="66"/>
        <v/>
      </c>
      <c r="V384" s="300" t="s">
        <v>761</v>
      </c>
    </row>
    <row r="385" spans="2:22" s="300" customFormat="1" x14ac:dyDescent="0.25">
      <c r="B385" s="301" t="s">
        <v>25</v>
      </c>
      <c r="C385" s="302"/>
      <c r="D385" s="86" t="str">
        <f>INDEX(Cad_Natureza!$B$3:$C$52,MATCH('2026'!F385,Cad_Natureza!$C$3:$C$52,0),MATCH('2026'!D$2,Cad_Natureza!$B$3:$C$3,0))</f>
        <v>GAST1</v>
      </c>
      <c r="E385" s="84" t="s">
        <v>1569</v>
      </c>
      <c r="F385" s="85" t="s">
        <v>742</v>
      </c>
      <c r="G385" s="86" t="s">
        <v>25</v>
      </c>
      <c r="H385" s="87">
        <v>46135</v>
      </c>
      <c r="I385" s="87"/>
      <c r="J385" s="79" t="s">
        <v>185</v>
      </c>
      <c r="K385" s="62">
        <v>-9</v>
      </c>
      <c r="L385" s="62">
        <f t="shared" si="82"/>
        <v>819.60000000000082</v>
      </c>
      <c r="M385" s="302"/>
      <c r="N385" s="44" t="str">
        <f t="shared" ref="N385:N390" si="90">B385&amp;D385&amp;F385</f>
        <v>MCSGAST1CPF - Desp. Lazer e Entretenimento - Bares</v>
      </c>
      <c r="O385" s="44" t="str">
        <f t="shared" ref="O385:O390" si="91">D385&amp;F385</f>
        <v>GAST1CPF - Desp. Lazer e Entretenimento - Bares</v>
      </c>
      <c r="P385" s="44" t="str">
        <f t="shared" ref="P385:P390" si="92">"MCS"&amp;D385&amp;F385</f>
        <v>MCSGAST1CPF - Desp. Lazer e Entretenimento - Bares</v>
      </c>
      <c r="Q385" s="44" t="str">
        <f t="shared" ref="Q385:Q390" si="93">"MCS"&amp;D385</f>
        <v>MCSGAST1</v>
      </c>
      <c r="R385" s="44" t="str">
        <f t="shared" ref="R385:R390" si="94">B385&amp;D385</f>
        <v>MCSGAST1</v>
      </c>
      <c r="S385" s="38"/>
      <c r="T385" s="304">
        <f t="shared" ref="T385:T390" si="95">(1&amp;"/"&amp;MONTH(H385)&amp;"/"&amp;YEAR(H385))*1</f>
        <v>46113</v>
      </c>
      <c r="U385" s="304" t="str">
        <f t="shared" ref="U385:U390" si="96">IF(I385="","",(1&amp;"/"&amp;MONTH(I385)&amp;"/"&amp;YEAR(I385))*1)</f>
        <v/>
      </c>
      <c r="V385" s="300" t="s">
        <v>761</v>
      </c>
    </row>
    <row r="386" spans="2:22" s="300" customFormat="1" x14ac:dyDescent="0.25">
      <c r="B386" s="301" t="s">
        <v>25</v>
      </c>
      <c r="C386" s="302"/>
      <c r="D386" s="86" t="str">
        <f>INDEX(Cad_Natureza!$B$3:$C$52,MATCH('2026'!F386,Cad_Natureza!$C$3:$C$52,0),MATCH('2026'!D$2,Cad_Natureza!$B$3:$C$3,0))</f>
        <v>OPF1</v>
      </c>
      <c r="E386" s="84" t="s">
        <v>1570</v>
      </c>
      <c r="F386" s="85" t="s">
        <v>744</v>
      </c>
      <c r="G386" s="86" t="s">
        <v>25</v>
      </c>
      <c r="H386" s="87">
        <v>46136</v>
      </c>
      <c r="I386" s="87"/>
      <c r="J386" s="79" t="s">
        <v>182</v>
      </c>
      <c r="K386" s="62">
        <v>-20</v>
      </c>
      <c r="L386" s="62">
        <f t="shared" si="82"/>
        <v>799.60000000000082</v>
      </c>
      <c r="M386" s="302"/>
      <c r="N386" s="44" t="str">
        <f t="shared" si="90"/>
        <v>MCSOPF1CPF - Desp. Alimentação / Refeição</v>
      </c>
      <c r="O386" s="44" t="str">
        <f t="shared" si="91"/>
        <v>OPF1CPF - Desp. Alimentação / Refeição</v>
      </c>
      <c r="P386" s="44" t="str">
        <f t="shared" si="92"/>
        <v>MCSOPF1CPF - Desp. Alimentação / Refeição</v>
      </c>
      <c r="Q386" s="44" t="str">
        <f t="shared" si="93"/>
        <v>MCSOPF1</v>
      </c>
      <c r="R386" s="44" t="str">
        <f t="shared" si="94"/>
        <v>MCSOPF1</v>
      </c>
      <c r="S386" s="38"/>
      <c r="T386" s="304">
        <f t="shared" si="95"/>
        <v>46113</v>
      </c>
      <c r="U386" s="304" t="str">
        <f t="shared" si="96"/>
        <v/>
      </c>
      <c r="V386" s="300" t="s">
        <v>761</v>
      </c>
    </row>
    <row r="387" spans="2:22" s="300" customFormat="1" x14ac:dyDescent="0.25">
      <c r="B387" s="301" t="s">
        <v>25</v>
      </c>
      <c r="C387" s="302"/>
      <c r="D387" s="86" t="str">
        <f>INDEX(Cad_Natureza!$B$3:$C$52,MATCH('2026'!F387,Cad_Natureza!$C$3:$C$52,0),MATCH('2026'!D$2,Cad_Natureza!$B$3:$C$3,0))</f>
        <v>OUG1</v>
      </c>
      <c r="E387" s="84" t="s">
        <v>1571</v>
      </c>
      <c r="F387" s="85" t="s">
        <v>748</v>
      </c>
      <c r="G387" s="86" t="s">
        <v>25</v>
      </c>
      <c r="H387" s="87">
        <v>46136</v>
      </c>
      <c r="I387" s="87"/>
      <c r="J387" s="79" t="s">
        <v>1605</v>
      </c>
      <c r="K387" s="62">
        <v>-22.5</v>
      </c>
      <c r="L387" s="62">
        <f t="shared" si="82"/>
        <v>777.10000000000082</v>
      </c>
      <c r="M387" s="302"/>
      <c r="N387" s="44" t="str">
        <f t="shared" si="90"/>
        <v>MCSOUG1CPF - Outros gastos</v>
      </c>
      <c r="O387" s="44" t="str">
        <f t="shared" si="91"/>
        <v>OUG1CPF - Outros gastos</v>
      </c>
      <c r="P387" s="44" t="str">
        <f t="shared" si="92"/>
        <v>MCSOUG1CPF - Outros gastos</v>
      </c>
      <c r="Q387" s="44" t="str">
        <f t="shared" si="93"/>
        <v>MCSOUG1</v>
      </c>
      <c r="R387" s="44" t="str">
        <f t="shared" si="94"/>
        <v>MCSOUG1</v>
      </c>
      <c r="S387" s="38"/>
      <c r="T387" s="304">
        <f t="shared" si="95"/>
        <v>46113</v>
      </c>
      <c r="U387" s="304" t="str">
        <f t="shared" si="96"/>
        <v/>
      </c>
      <c r="V387" s="300" t="s">
        <v>761</v>
      </c>
    </row>
    <row r="388" spans="2:22" s="300" customFormat="1" x14ac:dyDescent="0.25">
      <c r="B388" s="301" t="s">
        <v>25</v>
      </c>
      <c r="C388" s="302"/>
      <c r="D388" s="86" t="str">
        <f>INDEX(Cad_Natureza!$B$3:$C$52,MATCH('2026'!F388,Cad_Natureza!$C$3:$C$52,0),MATCH('2026'!D$2,Cad_Natureza!$B$3:$C$3,0))</f>
        <v>GAST2</v>
      </c>
      <c r="E388" s="84" t="s">
        <v>1572</v>
      </c>
      <c r="F388" s="85" t="s">
        <v>743</v>
      </c>
      <c r="G388" s="86" t="s">
        <v>25</v>
      </c>
      <c r="H388" s="87">
        <v>46136</v>
      </c>
      <c r="I388" s="87"/>
      <c r="J388" s="79" t="s">
        <v>180</v>
      </c>
      <c r="K388" s="62">
        <v>-34</v>
      </c>
      <c r="L388" s="62">
        <f t="shared" ref="L388:L451" si="97">L387+K388</f>
        <v>743.10000000000082</v>
      </c>
      <c r="M388" s="302"/>
      <c r="N388" s="44" t="str">
        <f t="shared" si="90"/>
        <v>MCSGAST2CPF - Desp. Lazer e Entretenimento - Cigarro</v>
      </c>
      <c r="O388" s="44" t="str">
        <f t="shared" si="91"/>
        <v>GAST2CPF - Desp. Lazer e Entretenimento - Cigarro</v>
      </c>
      <c r="P388" s="44" t="str">
        <f t="shared" si="92"/>
        <v>MCSGAST2CPF - Desp. Lazer e Entretenimento - Cigarro</v>
      </c>
      <c r="Q388" s="44" t="str">
        <f t="shared" si="93"/>
        <v>MCSGAST2</v>
      </c>
      <c r="R388" s="44" t="str">
        <f t="shared" si="94"/>
        <v>MCSGAST2</v>
      </c>
      <c r="S388" s="38"/>
      <c r="T388" s="304">
        <f t="shared" si="95"/>
        <v>46113</v>
      </c>
      <c r="U388" s="304" t="str">
        <f t="shared" si="96"/>
        <v/>
      </c>
      <c r="V388" s="300" t="s">
        <v>761</v>
      </c>
    </row>
    <row r="389" spans="2:22" s="300" customFormat="1" x14ac:dyDescent="0.25">
      <c r="B389" s="301" t="s">
        <v>25</v>
      </c>
      <c r="C389" s="302"/>
      <c r="D389" s="86" t="str">
        <f>INDEX(Cad_Natureza!$B$3:$C$52,MATCH('2026'!F389,Cad_Natureza!$C$3:$C$52,0),MATCH('2026'!D$2,Cad_Natureza!$B$3:$C$3,0))</f>
        <v>GAST1</v>
      </c>
      <c r="E389" s="84" t="s">
        <v>1573</v>
      </c>
      <c r="F389" s="85" t="s">
        <v>742</v>
      </c>
      <c r="G389" s="86" t="s">
        <v>25</v>
      </c>
      <c r="H389" s="87">
        <v>46136</v>
      </c>
      <c r="I389" s="87"/>
      <c r="J389" s="79" t="s">
        <v>185</v>
      </c>
      <c r="K389" s="62">
        <v>-18.55</v>
      </c>
      <c r="L389" s="62">
        <f t="shared" si="97"/>
        <v>724.55000000000086</v>
      </c>
      <c r="M389" s="302"/>
      <c r="N389" s="44" t="str">
        <f t="shared" si="90"/>
        <v>MCSGAST1CPF - Desp. Lazer e Entretenimento - Bares</v>
      </c>
      <c r="O389" s="44" t="str">
        <f t="shared" si="91"/>
        <v>GAST1CPF - Desp. Lazer e Entretenimento - Bares</v>
      </c>
      <c r="P389" s="44" t="str">
        <f t="shared" si="92"/>
        <v>MCSGAST1CPF - Desp. Lazer e Entretenimento - Bares</v>
      </c>
      <c r="Q389" s="44" t="str">
        <f t="shared" si="93"/>
        <v>MCSGAST1</v>
      </c>
      <c r="R389" s="44" t="str">
        <f t="shared" si="94"/>
        <v>MCSGAST1</v>
      </c>
      <c r="S389" s="38"/>
      <c r="T389" s="304">
        <f t="shared" si="95"/>
        <v>46113</v>
      </c>
      <c r="U389" s="304" t="str">
        <f t="shared" si="96"/>
        <v/>
      </c>
      <c r="V389" s="300" t="s">
        <v>731</v>
      </c>
    </row>
    <row r="390" spans="2:22" s="300" customFormat="1" x14ac:dyDescent="0.25">
      <c r="B390" s="301" t="s">
        <v>25</v>
      </c>
      <c r="C390" s="302"/>
      <c r="D390" s="86" t="str">
        <f>INDEX(Cad_Natureza!$B$3:$C$52,MATCH('2026'!F390,Cad_Natureza!$C$3:$C$52,0),MATCH('2026'!D$2,Cad_Natureza!$B$3:$C$3,0))</f>
        <v>GAST1</v>
      </c>
      <c r="E390" s="84" t="s">
        <v>1574</v>
      </c>
      <c r="F390" s="85" t="s">
        <v>742</v>
      </c>
      <c r="G390" s="86" t="s">
        <v>25</v>
      </c>
      <c r="H390" s="87">
        <v>46136</v>
      </c>
      <c r="I390" s="87"/>
      <c r="J390" s="79" t="s">
        <v>1340</v>
      </c>
      <c r="K390" s="62">
        <v>-3</v>
      </c>
      <c r="L390" s="62">
        <f t="shared" si="97"/>
        <v>721.55000000000086</v>
      </c>
      <c r="M390" s="302"/>
      <c r="N390" s="44" t="str">
        <f t="shared" si="90"/>
        <v>MCSGAST1CPF - Desp. Lazer e Entretenimento - Bares</v>
      </c>
      <c r="O390" s="44" t="str">
        <f t="shared" si="91"/>
        <v>GAST1CPF - Desp. Lazer e Entretenimento - Bares</v>
      </c>
      <c r="P390" s="44" t="str">
        <f t="shared" si="92"/>
        <v>MCSGAST1CPF - Desp. Lazer e Entretenimento - Bares</v>
      </c>
      <c r="Q390" s="44" t="str">
        <f t="shared" si="93"/>
        <v>MCSGAST1</v>
      </c>
      <c r="R390" s="44" t="str">
        <f t="shared" si="94"/>
        <v>MCSGAST1</v>
      </c>
      <c r="S390" s="38"/>
      <c r="T390" s="304">
        <f t="shared" si="95"/>
        <v>46113</v>
      </c>
      <c r="U390" s="304" t="str">
        <f t="shared" si="96"/>
        <v/>
      </c>
      <c r="V390" s="300" t="s">
        <v>731</v>
      </c>
    </row>
    <row r="391" spans="2:22" s="300" customFormat="1" x14ac:dyDescent="0.25">
      <c r="B391" s="301" t="s">
        <v>25</v>
      </c>
      <c r="C391" s="302"/>
      <c r="D391" s="86" t="str">
        <f>INDEX(Cad_Natureza!$B$3:$C$52,MATCH('2026'!F391,Cad_Natureza!$C$3:$C$52,0),MATCH('2026'!D$2,Cad_Natureza!$B$3:$C$3,0))</f>
        <v>GAST1</v>
      </c>
      <c r="E391" s="84" t="s">
        <v>1575</v>
      </c>
      <c r="F391" s="85" t="s">
        <v>742</v>
      </c>
      <c r="G391" s="86" t="s">
        <v>25</v>
      </c>
      <c r="H391" s="87">
        <v>46139</v>
      </c>
      <c r="I391" s="87"/>
      <c r="J391" s="79" t="s">
        <v>185</v>
      </c>
      <c r="K391" s="62">
        <v>-12</v>
      </c>
      <c r="L391" s="62">
        <f t="shared" si="97"/>
        <v>709.55000000000086</v>
      </c>
      <c r="M391" s="302"/>
      <c r="N391" s="44" t="str">
        <f t="shared" ref="N391:N399" si="98">B391&amp;D391&amp;F391</f>
        <v>MCSGAST1CPF - Desp. Lazer e Entretenimento - Bares</v>
      </c>
      <c r="O391" s="44" t="str">
        <f t="shared" ref="O391:O399" si="99">D391&amp;F391</f>
        <v>GAST1CPF - Desp. Lazer e Entretenimento - Bares</v>
      </c>
      <c r="P391" s="44" t="str">
        <f t="shared" ref="P391:P399" si="100">"MCS"&amp;D391&amp;F391</f>
        <v>MCSGAST1CPF - Desp. Lazer e Entretenimento - Bares</v>
      </c>
      <c r="Q391" s="44" t="str">
        <f t="shared" ref="Q391:Q399" si="101">"MCS"&amp;D391</f>
        <v>MCSGAST1</v>
      </c>
      <c r="R391" s="44" t="str">
        <f t="shared" ref="R391:R399" si="102">B391&amp;D391</f>
        <v>MCSGAST1</v>
      </c>
      <c r="S391" s="38"/>
      <c r="T391" s="304">
        <f t="shared" ref="T391:T399" si="103">(1&amp;"/"&amp;MONTH(H391)&amp;"/"&amp;YEAR(H391))*1</f>
        <v>46113</v>
      </c>
      <c r="U391" s="304" t="str">
        <f t="shared" ref="U391:U399" si="104">IF(I391="","",(1&amp;"/"&amp;MONTH(I391)&amp;"/"&amp;YEAR(I391))*1)</f>
        <v/>
      </c>
      <c r="V391" s="300" t="s">
        <v>761</v>
      </c>
    </row>
    <row r="392" spans="2:22" s="300" customFormat="1" x14ac:dyDescent="0.25">
      <c r="B392" s="301" t="s">
        <v>25</v>
      </c>
      <c r="C392" s="302"/>
      <c r="D392" s="86" t="str">
        <f>INDEX(Cad_Natureza!$B$3:$C$52,MATCH('2026'!F392,Cad_Natureza!$C$3:$C$52,0),MATCH('2026'!D$2,Cad_Natureza!$B$3:$C$3,0))</f>
        <v>PENS2</v>
      </c>
      <c r="E392" s="84" t="s">
        <v>1576</v>
      </c>
      <c r="F392" s="85" t="s">
        <v>715</v>
      </c>
      <c r="G392" s="86" t="s">
        <v>25</v>
      </c>
      <c r="H392" s="87">
        <v>46139</v>
      </c>
      <c r="I392" s="87"/>
      <c r="J392" s="78" t="s">
        <v>1606</v>
      </c>
      <c r="K392" s="62">
        <v>-694.16</v>
      </c>
      <c r="L392" s="62">
        <f t="shared" si="97"/>
        <v>15.390000000000896</v>
      </c>
      <c r="M392" s="302"/>
      <c r="N392" s="44" t="str">
        <f t="shared" si="98"/>
        <v>MCSPENS2CPF - Pensão - Energia</v>
      </c>
      <c r="O392" s="44" t="str">
        <f t="shared" si="99"/>
        <v>PENS2CPF - Pensão - Energia</v>
      </c>
      <c r="P392" s="44" t="str">
        <f t="shared" si="100"/>
        <v>MCSPENS2CPF - Pensão - Energia</v>
      </c>
      <c r="Q392" s="44" t="str">
        <f t="shared" si="101"/>
        <v>MCSPENS2</v>
      </c>
      <c r="R392" s="44" t="str">
        <f t="shared" si="102"/>
        <v>MCSPENS2</v>
      </c>
      <c r="S392" s="38"/>
      <c r="T392" s="304">
        <f t="shared" si="103"/>
        <v>46113</v>
      </c>
      <c r="U392" s="304" t="str">
        <f t="shared" si="104"/>
        <v/>
      </c>
      <c r="V392" s="300" t="s">
        <v>761</v>
      </c>
    </row>
    <row r="393" spans="2:22" s="291" customFormat="1" x14ac:dyDescent="0.25">
      <c r="B393" s="288" t="s">
        <v>25</v>
      </c>
      <c r="C393" s="83"/>
      <c r="D393" s="63" t="str">
        <f>INDEX(Cad_Natureza!$B$3:$C$52,MATCH('2026'!F393,Cad_Natureza!$C$3:$C$52,0),MATCH('2026'!D$2,Cad_Natureza!$B$3:$C$3,0))</f>
        <v>REC4</v>
      </c>
      <c r="E393" s="64" t="s">
        <v>1577</v>
      </c>
      <c r="F393" s="65" t="s">
        <v>734</v>
      </c>
      <c r="G393" s="63" t="s">
        <v>25</v>
      </c>
      <c r="H393" s="66">
        <v>46139</v>
      </c>
      <c r="I393" s="66"/>
      <c r="J393" s="67" t="s">
        <v>183</v>
      </c>
      <c r="K393" s="68">
        <v>1000</v>
      </c>
      <c r="L393" s="68">
        <f t="shared" si="97"/>
        <v>1015.3900000000009</v>
      </c>
      <c r="M393" s="83"/>
      <c r="N393" s="44" t="str">
        <f t="shared" si="98"/>
        <v>MCSREC4CPF - Transf. Da conta PJ para a conta PF</v>
      </c>
      <c r="O393" s="44" t="str">
        <f t="shared" si="99"/>
        <v>REC4CPF - Transf. Da conta PJ para a conta PF</v>
      </c>
      <c r="P393" s="44" t="str">
        <f t="shared" si="100"/>
        <v>MCSREC4CPF - Transf. Da conta PJ para a conta PF</v>
      </c>
      <c r="Q393" s="44" t="str">
        <f t="shared" si="101"/>
        <v>MCSREC4</v>
      </c>
      <c r="R393" s="44" t="str">
        <f t="shared" si="102"/>
        <v>MCSREC4</v>
      </c>
      <c r="S393" s="38"/>
      <c r="T393" s="290">
        <f t="shared" si="103"/>
        <v>46113</v>
      </c>
      <c r="U393" s="290" t="str">
        <f t="shared" si="104"/>
        <v/>
      </c>
      <c r="V393" s="291" t="s">
        <v>761</v>
      </c>
    </row>
    <row r="394" spans="2:22" s="300" customFormat="1" x14ac:dyDescent="0.25">
      <c r="B394" s="301" t="s">
        <v>25</v>
      </c>
      <c r="C394" s="302"/>
      <c r="D394" s="86" t="str">
        <f>INDEX(Cad_Natureza!$B$3:$C$52,MATCH('2026'!F394,Cad_Natureza!$C$3:$C$52,0),MATCH('2026'!D$2,Cad_Natureza!$B$3:$C$3,0))</f>
        <v>PENS2</v>
      </c>
      <c r="E394" s="84" t="s">
        <v>1576</v>
      </c>
      <c r="F394" s="85" t="s">
        <v>715</v>
      </c>
      <c r="G394" s="86" t="s">
        <v>25</v>
      </c>
      <c r="H394" s="87">
        <v>46139</v>
      </c>
      <c r="I394" s="87"/>
      <c r="J394" s="78" t="s">
        <v>1607</v>
      </c>
      <c r="K394" s="62">
        <v>-242.4</v>
      </c>
      <c r="L394" s="62">
        <f t="shared" si="97"/>
        <v>772.99000000000092</v>
      </c>
      <c r="M394" s="302"/>
      <c r="N394" s="44" t="str">
        <f t="shared" si="98"/>
        <v>MCSPENS2CPF - Pensão - Energia</v>
      </c>
      <c r="O394" s="44" t="str">
        <f t="shared" si="99"/>
        <v>PENS2CPF - Pensão - Energia</v>
      </c>
      <c r="P394" s="44" t="str">
        <f t="shared" si="100"/>
        <v>MCSPENS2CPF - Pensão - Energia</v>
      </c>
      <c r="Q394" s="44" t="str">
        <f t="shared" si="101"/>
        <v>MCSPENS2</v>
      </c>
      <c r="R394" s="44" t="str">
        <f t="shared" si="102"/>
        <v>MCSPENS2</v>
      </c>
      <c r="S394" s="38"/>
      <c r="T394" s="304">
        <f t="shared" si="103"/>
        <v>46113</v>
      </c>
      <c r="U394" s="304" t="str">
        <f t="shared" si="104"/>
        <v/>
      </c>
      <c r="V394" s="300" t="s">
        <v>761</v>
      </c>
    </row>
    <row r="395" spans="2:22" s="300" customFormat="1" x14ac:dyDescent="0.25">
      <c r="B395" s="301" t="s">
        <v>25</v>
      </c>
      <c r="C395" s="302"/>
      <c r="D395" s="86" t="str">
        <f>INDEX(Cad_Natureza!$B$3:$C$52,MATCH('2026'!F395,Cad_Natureza!$C$3:$C$52,0),MATCH('2026'!D$2,Cad_Natureza!$B$3:$C$3,0))</f>
        <v>OPF2</v>
      </c>
      <c r="E395" s="84" t="s">
        <v>1578</v>
      </c>
      <c r="F395" s="85" t="s">
        <v>741</v>
      </c>
      <c r="G395" s="86" t="s">
        <v>25</v>
      </c>
      <c r="H395" s="87">
        <v>46139</v>
      </c>
      <c r="I395" s="87"/>
      <c r="J395" s="79" t="s">
        <v>184</v>
      </c>
      <c r="K395" s="62">
        <v>-78.84</v>
      </c>
      <c r="L395" s="62">
        <f t="shared" si="97"/>
        <v>694.15000000000089</v>
      </c>
      <c r="M395" s="302"/>
      <c r="N395" s="44" t="str">
        <f t="shared" si="98"/>
        <v>MCSOPF2CPF - Desp. Transporte / Combustível</v>
      </c>
      <c r="O395" s="44" t="str">
        <f t="shared" si="99"/>
        <v>OPF2CPF - Desp. Transporte / Combustível</v>
      </c>
      <c r="P395" s="44" t="str">
        <f t="shared" si="100"/>
        <v>MCSOPF2CPF - Desp. Transporte / Combustível</v>
      </c>
      <c r="Q395" s="44" t="str">
        <f t="shared" si="101"/>
        <v>MCSOPF2</v>
      </c>
      <c r="R395" s="44" t="str">
        <f t="shared" si="102"/>
        <v>MCSOPF2</v>
      </c>
      <c r="S395" s="38"/>
      <c r="T395" s="304">
        <f t="shared" si="103"/>
        <v>46113</v>
      </c>
      <c r="U395" s="304" t="str">
        <f t="shared" si="104"/>
        <v/>
      </c>
      <c r="V395" s="300" t="s">
        <v>731</v>
      </c>
    </row>
    <row r="396" spans="2:22" s="300" customFormat="1" x14ac:dyDescent="0.25">
      <c r="B396" s="301" t="s">
        <v>25</v>
      </c>
      <c r="C396" s="302"/>
      <c r="D396" s="86" t="str">
        <f>INDEX(Cad_Natureza!$B$3:$C$52,MATCH('2026'!F396,Cad_Natureza!$C$3:$C$52,0),MATCH('2026'!D$2,Cad_Natureza!$B$3:$C$3,0))</f>
        <v>GAST1</v>
      </c>
      <c r="E396" s="84" t="s">
        <v>1579</v>
      </c>
      <c r="F396" s="85" t="s">
        <v>742</v>
      </c>
      <c r="G396" s="86" t="s">
        <v>25</v>
      </c>
      <c r="H396" s="87">
        <v>46139</v>
      </c>
      <c r="I396" s="87"/>
      <c r="J396" s="79" t="s">
        <v>185</v>
      </c>
      <c r="K396" s="62">
        <v>-9</v>
      </c>
      <c r="L396" s="62">
        <f t="shared" si="97"/>
        <v>685.15000000000089</v>
      </c>
      <c r="M396" s="302"/>
      <c r="N396" s="44" t="str">
        <f t="shared" si="98"/>
        <v>MCSGAST1CPF - Desp. Lazer e Entretenimento - Bares</v>
      </c>
      <c r="O396" s="44" t="str">
        <f t="shared" si="99"/>
        <v>GAST1CPF - Desp. Lazer e Entretenimento - Bares</v>
      </c>
      <c r="P396" s="44" t="str">
        <f t="shared" si="100"/>
        <v>MCSGAST1CPF - Desp. Lazer e Entretenimento - Bares</v>
      </c>
      <c r="Q396" s="44" t="str">
        <f t="shared" si="101"/>
        <v>MCSGAST1</v>
      </c>
      <c r="R396" s="44" t="str">
        <f t="shared" si="102"/>
        <v>MCSGAST1</v>
      </c>
      <c r="S396" s="38"/>
      <c r="T396" s="304">
        <f t="shared" si="103"/>
        <v>46113</v>
      </c>
      <c r="U396" s="304" t="str">
        <f t="shared" si="104"/>
        <v/>
      </c>
      <c r="V396" s="300" t="s">
        <v>731</v>
      </c>
    </row>
    <row r="397" spans="2:22" s="300" customFormat="1" x14ac:dyDescent="0.25">
      <c r="B397" s="301" t="s">
        <v>25</v>
      </c>
      <c r="C397" s="302"/>
      <c r="D397" s="86" t="str">
        <f>INDEX(Cad_Natureza!$B$3:$C$52,MATCH('2026'!F397,Cad_Natureza!$C$3:$C$52,0),MATCH('2026'!D$2,Cad_Natureza!$B$3:$C$3,0))</f>
        <v>GAST1</v>
      </c>
      <c r="E397" s="84" t="s">
        <v>1580</v>
      </c>
      <c r="F397" s="85" t="s">
        <v>742</v>
      </c>
      <c r="G397" s="86" t="s">
        <v>25</v>
      </c>
      <c r="H397" s="87">
        <v>46139</v>
      </c>
      <c r="I397" s="87"/>
      <c r="J397" s="79" t="s">
        <v>1608</v>
      </c>
      <c r="K397" s="62">
        <v>-10</v>
      </c>
      <c r="L397" s="62">
        <f t="shared" si="97"/>
        <v>675.15000000000089</v>
      </c>
      <c r="M397" s="302"/>
      <c r="N397" s="44" t="str">
        <f t="shared" si="98"/>
        <v>MCSGAST1CPF - Desp. Lazer e Entretenimento - Bares</v>
      </c>
      <c r="O397" s="44" t="str">
        <f t="shared" si="99"/>
        <v>GAST1CPF - Desp. Lazer e Entretenimento - Bares</v>
      </c>
      <c r="P397" s="44" t="str">
        <f t="shared" si="100"/>
        <v>MCSGAST1CPF - Desp. Lazer e Entretenimento - Bares</v>
      </c>
      <c r="Q397" s="44" t="str">
        <f t="shared" si="101"/>
        <v>MCSGAST1</v>
      </c>
      <c r="R397" s="44" t="str">
        <f t="shared" si="102"/>
        <v>MCSGAST1</v>
      </c>
      <c r="S397" s="38"/>
      <c r="T397" s="304">
        <f t="shared" si="103"/>
        <v>46113</v>
      </c>
      <c r="U397" s="304" t="str">
        <f t="shared" si="104"/>
        <v/>
      </c>
      <c r="V397" s="300" t="s">
        <v>761</v>
      </c>
    </row>
    <row r="398" spans="2:22" s="300" customFormat="1" x14ac:dyDescent="0.25">
      <c r="B398" s="301" t="s">
        <v>25</v>
      </c>
      <c r="C398" s="302"/>
      <c r="D398" s="86" t="str">
        <f>INDEX(Cad_Natureza!$B$3:$C$52,MATCH('2026'!F398,Cad_Natureza!$C$3:$C$52,0),MATCH('2026'!D$2,Cad_Natureza!$B$3:$C$3,0))</f>
        <v>GAST1</v>
      </c>
      <c r="E398" s="84" t="s">
        <v>1580</v>
      </c>
      <c r="F398" s="85" t="s">
        <v>742</v>
      </c>
      <c r="G398" s="86" t="s">
        <v>25</v>
      </c>
      <c r="H398" s="87">
        <v>46139</v>
      </c>
      <c r="I398" s="87"/>
      <c r="J398" s="79" t="s">
        <v>1608</v>
      </c>
      <c r="K398" s="62">
        <v>-40</v>
      </c>
      <c r="L398" s="62">
        <f t="shared" si="97"/>
        <v>635.15000000000089</v>
      </c>
      <c r="M398" s="302"/>
      <c r="N398" s="44" t="str">
        <f t="shared" si="98"/>
        <v>MCSGAST1CPF - Desp. Lazer e Entretenimento - Bares</v>
      </c>
      <c r="O398" s="44" t="str">
        <f t="shared" si="99"/>
        <v>GAST1CPF - Desp. Lazer e Entretenimento - Bares</v>
      </c>
      <c r="P398" s="44" t="str">
        <f t="shared" si="100"/>
        <v>MCSGAST1CPF - Desp. Lazer e Entretenimento - Bares</v>
      </c>
      <c r="Q398" s="44" t="str">
        <f t="shared" si="101"/>
        <v>MCSGAST1</v>
      </c>
      <c r="R398" s="44" t="str">
        <f t="shared" si="102"/>
        <v>MCSGAST1</v>
      </c>
      <c r="S398" s="38"/>
      <c r="T398" s="304">
        <f t="shared" si="103"/>
        <v>46113</v>
      </c>
      <c r="U398" s="304" t="str">
        <f t="shared" si="104"/>
        <v/>
      </c>
      <c r="V398" s="300" t="s">
        <v>761</v>
      </c>
    </row>
    <row r="399" spans="2:22" s="300" customFormat="1" x14ac:dyDescent="0.25">
      <c r="B399" s="301" t="s">
        <v>25</v>
      </c>
      <c r="C399" s="302"/>
      <c r="D399" s="86" t="str">
        <f>INDEX(Cad_Natureza!$B$3:$C$52,MATCH('2026'!F399,Cad_Natureza!$C$3:$C$52,0),MATCH('2026'!D$2,Cad_Natureza!$B$3:$C$3,0))</f>
        <v>GAST1</v>
      </c>
      <c r="E399" s="84" t="s">
        <v>1580</v>
      </c>
      <c r="F399" s="85" t="s">
        <v>742</v>
      </c>
      <c r="G399" s="86" t="s">
        <v>25</v>
      </c>
      <c r="H399" s="87">
        <v>46139</v>
      </c>
      <c r="I399" s="87"/>
      <c r="J399" s="79" t="s">
        <v>1608</v>
      </c>
      <c r="K399" s="62">
        <v>-25</v>
      </c>
      <c r="L399" s="62">
        <f t="shared" si="97"/>
        <v>610.15000000000089</v>
      </c>
      <c r="M399" s="302"/>
      <c r="N399" s="44" t="str">
        <f t="shared" si="98"/>
        <v>MCSGAST1CPF - Desp. Lazer e Entretenimento - Bares</v>
      </c>
      <c r="O399" s="44" t="str">
        <f t="shared" si="99"/>
        <v>GAST1CPF - Desp. Lazer e Entretenimento - Bares</v>
      </c>
      <c r="P399" s="44" t="str">
        <f t="shared" si="100"/>
        <v>MCSGAST1CPF - Desp. Lazer e Entretenimento - Bares</v>
      </c>
      <c r="Q399" s="44" t="str">
        <f t="shared" si="101"/>
        <v>MCSGAST1</v>
      </c>
      <c r="R399" s="44" t="str">
        <f t="shared" si="102"/>
        <v>MCSGAST1</v>
      </c>
      <c r="S399" s="38"/>
      <c r="T399" s="304">
        <f t="shared" si="103"/>
        <v>46113</v>
      </c>
      <c r="U399" s="304" t="str">
        <f t="shared" si="104"/>
        <v/>
      </c>
      <c r="V399" s="300" t="s">
        <v>761</v>
      </c>
    </row>
    <row r="400" spans="2:22" s="300" customFormat="1" x14ac:dyDescent="0.25">
      <c r="B400" s="301" t="s">
        <v>25</v>
      </c>
      <c r="C400" s="302"/>
      <c r="D400" s="86" t="str">
        <f>INDEX(Cad_Natureza!$B$3:$C$52,MATCH('2026'!F400,Cad_Natureza!$C$3:$C$52,0),MATCH('2026'!D$2,Cad_Natureza!$B$3:$C$3,0))</f>
        <v>OUG1</v>
      </c>
      <c r="E400" s="84" t="s">
        <v>1581</v>
      </c>
      <c r="F400" s="85" t="s">
        <v>748</v>
      </c>
      <c r="G400" s="86" t="s">
        <v>25</v>
      </c>
      <c r="H400" s="87">
        <v>46139</v>
      </c>
      <c r="I400" s="87"/>
      <c r="J400" s="79" t="s">
        <v>1601</v>
      </c>
      <c r="K400" s="62">
        <v>-112</v>
      </c>
      <c r="L400" s="62">
        <f t="shared" si="97"/>
        <v>498.15000000000089</v>
      </c>
      <c r="M400" s="302"/>
      <c r="N400" s="44" t="str">
        <f t="shared" si="60"/>
        <v>MCSOUG1CPF - Outros gastos</v>
      </c>
      <c r="O400" s="44" t="str">
        <f t="shared" si="61"/>
        <v>OUG1CPF - Outros gastos</v>
      </c>
      <c r="P400" s="44" t="str">
        <f t="shared" si="62"/>
        <v>MCSOUG1CPF - Outros gastos</v>
      </c>
      <c r="Q400" s="44" t="str">
        <f t="shared" si="63"/>
        <v>MCSOUG1</v>
      </c>
      <c r="R400" s="44" t="str">
        <f t="shared" si="64"/>
        <v>MCSOUG1</v>
      </c>
      <c r="S400" s="38"/>
      <c r="T400" s="304">
        <f t="shared" si="65"/>
        <v>46113</v>
      </c>
      <c r="U400" s="304" t="str">
        <f t="shared" si="66"/>
        <v/>
      </c>
      <c r="V400" s="300" t="s">
        <v>761</v>
      </c>
    </row>
    <row r="401" spans="2:22" s="300" customFormat="1" x14ac:dyDescent="0.25">
      <c r="B401" s="301" t="s">
        <v>25</v>
      </c>
      <c r="C401" s="302"/>
      <c r="D401" s="86" t="str">
        <f>INDEX(Cad_Natureza!$B$3:$C$52,MATCH('2026'!F401,Cad_Natureza!$C$3:$C$52,0),MATCH('2026'!D$2,Cad_Natureza!$B$3:$C$3,0))</f>
        <v>GAST1</v>
      </c>
      <c r="E401" s="84" t="s">
        <v>1582</v>
      </c>
      <c r="F401" s="85" t="s">
        <v>742</v>
      </c>
      <c r="G401" s="86" t="s">
        <v>25</v>
      </c>
      <c r="H401" s="87">
        <v>46139</v>
      </c>
      <c r="I401" s="87"/>
      <c r="J401" s="79" t="s">
        <v>1609</v>
      </c>
      <c r="K401" s="62">
        <v>-21</v>
      </c>
      <c r="L401" s="62">
        <f t="shared" si="97"/>
        <v>477.15000000000089</v>
      </c>
      <c r="M401" s="302"/>
      <c r="N401" s="44" t="str">
        <f t="shared" si="0"/>
        <v>MCSGAST1CPF - Desp. Lazer e Entretenimento - Bares</v>
      </c>
      <c r="O401" s="44" t="str">
        <f t="shared" si="1"/>
        <v>GAST1CPF - Desp. Lazer e Entretenimento - Bares</v>
      </c>
      <c r="P401" s="44" t="str">
        <f t="shared" si="2"/>
        <v>MCSGAST1CPF - Desp. Lazer e Entretenimento - Bares</v>
      </c>
      <c r="Q401" s="44" t="str">
        <f t="shared" si="3"/>
        <v>MCSGAST1</v>
      </c>
      <c r="R401" s="44" t="str">
        <f t="shared" si="4"/>
        <v>MCSGAST1</v>
      </c>
      <c r="S401" s="38"/>
      <c r="T401" s="304">
        <f t="shared" si="5"/>
        <v>46113</v>
      </c>
      <c r="U401" s="304" t="str">
        <f t="shared" si="6"/>
        <v/>
      </c>
      <c r="V401" s="300" t="s">
        <v>761</v>
      </c>
    </row>
    <row r="402" spans="2:22" s="300" customFormat="1" x14ac:dyDescent="0.25">
      <c r="B402" s="301" t="s">
        <v>25</v>
      </c>
      <c r="C402" s="302"/>
      <c r="D402" s="86" t="str">
        <f>INDEX(Cad_Natureza!$B$3:$C$52,MATCH('2026'!F402,Cad_Natureza!$C$3:$C$52,0),MATCH('2026'!D$2,Cad_Natureza!$B$3:$C$3,0))</f>
        <v>OPF1</v>
      </c>
      <c r="E402" s="84" t="s">
        <v>1614</v>
      </c>
      <c r="F402" s="85" t="s">
        <v>744</v>
      </c>
      <c r="G402" s="86" t="s">
        <v>25</v>
      </c>
      <c r="H402" s="87">
        <v>46139</v>
      </c>
      <c r="I402" s="87"/>
      <c r="J402" s="79" t="s">
        <v>182</v>
      </c>
      <c r="K402" s="62">
        <v>-20</v>
      </c>
      <c r="L402" s="62">
        <f t="shared" si="97"/>
        <v>457.15000000000089</v>
      </c>
      <c r="M402" s="302"/>
      <c r="N402" s="44" t="str">
        <f t="shared" si="0"/>
        <v>MCSOPF1CPF - Desp. Alimentação / Refeição</v>
      </c>
      <c r="O402" s="44" t="str">
        <f t="shared" si="1"/>
        <v>OPF1CPF - Desp. Alimentação / Refeição</v>
      </c>
      <c r="P402" s="44" t="str">
        <f t="shared" si="2"/>
        <v>MCSOPF1CPF - Desp. Alimentação / Refeição</v>
      </c>
      <c r="Q402" s="44" t="str">
        <f t="shared" si="3"/>
        <v>MCSOPF1</v>
      </c>
      <c r="R402" s="44" t="str">
        <f t="shared" si="4"/>
        <v>MCSOPF1</v>
      </c>
      <c r="S402" s="38"/>
      <c r="T402" s="304">
        <f t="shared" si="5"/>
        <v>46113</v>
      </c>
      <c r="U402" s="304" t="str">
        <f t="shared" si="6"/>
        <v/>
      </c>
      <c r="V402" s="300" t="s">
        <v>761</v>
      </c>
    </row>
    <row r="403" spans="2:22" s="300" customFormat="1" x14ac:dyDescent="0.25">
      <c r="B403" s="301" t="s">
        <v>25</v>
      </c>
      <c r="C403" s="302"/>
      <c r="D403" s="86" t="str">
        <f>INDEX(Cad_Natureza!$B$3:$C$52,MATCH('2026'!F403,Cad_Natureza!$C$3:$C$52,0),MATCH('2026'!D$2,Cad_Natureza!$B$3:$C$3,0))</f>
        <v>OUG1</v>
      </c>
      <c r="E403" s="84" t="s">
        <v>1615</v>
      </c>
      <c r="F403" s="85" t="s">
        <v>748</v>
      </c>
      <c r="G403" s="86" t="s">
        <v>25</v>
      </c>
      <c r="H403" s="87">
        <v>46139</v>
      </c>
      <c r="I403" s="87"/>
      <c r="J403" s="79" t="s">
        <v>1827</v>
      </c>
      <c r="K403" s="62">
        <v>-18</v>
      </c>
      <c r="L403" s="62">
        <f t="shared" si="97"/>
        <v>439.15000000000089</v>
      </c>
      <c r="M403" s="302"/>
      <c r="N403" s="44" t="str">
        <f t="shared" si="0"/>
        <v>MCSOUG1CPF - Outros gastos</v>
      </c>
      <c r="O403" s="44" t="str">
        <f t="shared" si="1"/>
        <v>OUG1CPF - Outros gastos</v>
      </c>
      <c r="P403" s="44" t="str">
        <f t="shared" si="2"/>
        <v>MCSOUG1CPF - Outros gastos</v>
      </c>
      <c r="Q403" s="44" t="str">
        <f t="shared" si="3"/>
        <v>MCSOUG1</v>
      </c>
      <c r="R403" s="44" t="str">
        <f t="shared" si="4"/>
        <v>MCSOUG1</v>
      </c>
      <c r="S403" s="38"/>
      <c r="T403" s="304">
        <f t="shared" si="5"/>
        <v>46113</v>
      </c>
      <c r="U403" s="304" t="str">
        <f t="shared" si="6"/>
        <v/>
      </c>
      <c r="V403" s="300" t="s">
        <v>731</v>
      </c>
    </row>
    <row r="404" spans="2:22" s="300" customFormat="1" x14ac:dyDescent="0.25">
      <c r="B404" s="301" t="s">
        <v>25</v>
      </c>
      <c r="C404" s="302"/>
      <c r="D404" s="86" t="str">
        <f>INDEX(Cad_Natureza!$B$3:$C$52,MATCH('2026'!F404,Cad_Natureza!$C$3:$C$52,0),MATCH('2026'!D$2,Cad_Natureza!$B$3:$C$3,0))</f>
        <v>GAST1</v>
      </c>
      <c r="E404" s="84" t="s">
        <v>1616</v>
      </c>
      <c r="F404" s="85" t="s">
        <v>742</v>
      </c>
      <c r="G404" s="86" t="s">
        <v>25</v>
      </c>
      <c r="H404" s="87">
        <v>46139</v>
      </c>
      <c r="I404" s="87"/>
      <c r="J404" s="79" t="s">
        <v>1340</v>
      </c>
      <c r="K404" s="62">
        <v>-4</v>
      </c>
      <c r="L404" s="62">
        <f t="shared" si="97"/>
        <v>435.15000000000089</v>
      </c>
      <c r="M404" s="302"/>
      <c r="N404" s="44" t="str">
        <f t="shared" si="0"/>
        <v>MCSGAST1CPF - Desp. Lazer e Entretenimento - Bares</v>
      </c>
      <c r="O404" s="44" t="str">
        <f t="shared" si="1"/>
        <v>GAST1CPF - Desp. Lazer e Entretenimento - Bares</v>
      </c>
      <c r="P404" s="44" t="str">
        <f t="shared" si="2"/>
        <v>MCSGAST1CPF - Desp. Lazer e Entretenimento - Bares</v>
      </c>
      <c r="Q404" s="44" t="str">
        <f t="shared" si="3"/>
        <v>MCSGAST1</v>
      </c>
      <c r="R404" s="44" t="str">
        <f t="shared" si="4"/>
        <v>MCSGAST1</v>
      </c>
      <c r="S404" s="38"/>
      <c r="T404" s="304">
        <f t="shared" si="5"/>
        <v>46113</v>
      </c>
      <c r="U404" s="304" t="str">
        <f t="shared" si="6"/>
        <v/>
      </c>
      <c r="V404" s="300" t="s">
        <v>731</v>
      </c>
    </row>
    <row r="405" spans="2:22" s="300" customFormat="1" x14ac:dyDescent="0.25">
      <c r="B405" s="301" t="s">
        <v>25</v>
      </c>
      <c r="C405" s="302"/>
      <c r="D405" s="86" t="str">
        <f>INDEX(Cad_Natureza!$B$3:$C$52,MATCH('2026'!F405,Cad_Natureza!$C$3:$C$52,0),MATCH('2026'!D$2,Cad_Natureza!$B$3:$C$3,0))</f>
        <v>OPF1</v>
      </c>
      <c r="E405" s="84" t="s">
        <v>1617</v>
      </c>
      <c r="F405" s="85" t="s">
        <v>744</v>
      </c>
      <c r="G405" s="86" t="s">
        <v>25</v>
      </c>
      <c r="H405" s="87">
        <v>46140</v>
      </c>
      <c r="I405" s="87"/>
      <c r="J405" s="79" t="s">
        <v>182</v>
      </c>
      <c r="K405" s="62">
        <v>-20</v>
      </c>
      <c r="L405" s="62">
        <f t="shared" si="97"/>
        <v>415.15000000000089</v>
      </c>
      <c r="M405" s="302"/>
      <c r="N405" s="44" t="str">
        <f t="shared" si="0"/>
        <v>MCSOPF1CPF - Desp. Alimentação / Refeição</v>
      </c>
      <c r="O405" s="44" t="str">
        <f t="shared" si="1"/>
        <v>OPF1CPF - Desp. Alimentação / Refeição</v>
      </c>
      <c r="P405" s="44" t="str">
        <f t="shared" si="2"/>
        <v>MCSOPF1CPF - Desp. Alimentação / Refeição</v>
      </c>
      <c r="Q405" s="44" t="str">
        <f t="shared" si="3"/>
        <v>MCSOPF1</v>
      </c>
      <c r="R405" s="44" t="str">
        <f t="shared" si="4"/>
        <v>MCSOPF1</v>
      </c>
      <c r="S405" s="38"/>
      <c r="T405" s="304">
        <f t="shared" si="5"/>
        <v>46113</v>
      </c>
      <c r="U405" s="304" t="str">
        <f t="shared" si="6"/>
        <v/>
      </c>
      <c r="V405" s="300" t="s">
        <v>761</v>
      </c>
    </row>
    <row r="406" spans="2:22" s="300" customFormat="1" x14ac:dyDescent="0.25">
      <c r="B406" s="301" t="s">
        <v>25</v>
      </c>
      <c r="C406" s="302"/>
      <c r="D406" s="86" t="str">
        <f>INDEX(Cad_Natureza!$B$3:$C$52,MATCH('2026'!F406,Cad_Natureza!$C$3:$C$52,0),MATCH('2026'!D$2,Cad_Natureza!$B$3:$C$3,0))</f>
        <v>GAST1</v>
      </c>
      <c r="E406" s="84" t="s">
        <v>1618</v>
      </c>
      <c r="F406" s="85" t="s">
        <v>742</v>
      </c>
      <c r="G406" s="86" t="s">
        <v>25</v>
      </c>
      <c r="H406" s="87">
        <v>46140</v>
      </c>
      <c r="I406" s="87"/>
      <c r="J406" s="79" t="s">
        <v>1340</v>
      </c>
      <c r="K406" s="62">
        <v>-6</v>
      </c>
      <c r="L406" s="62">
        <f t="shared" si="97"/>
        <v>409.15000000000089</v>
      </c>
      <c r="M406" s="302"/>
      <c r="N406" s="44" t="str">
        <f t="shared" si="0"/>
        <v>MCSGAST1CPF - Desp. Lazer e Entretenimento - Bares</v>
      </c>
      <c r="O406" s="44" t="str">
        <f t="shared" si="1"/>
        <v>GAST1CPF - Desp. Lazer e Entretenimento - Bares</v>
      </c>
      <c r="P406" s="44" t="str">
        <f t="shared" si="2"/>
        <v>MCSGAST1CPF - Desp. Lazer e Entretenimento - Bares</v>
      </c>
      <c r="Q406" s="44" t="str">
        <f t="shared" si="3"/>
        <v>MCSGAST1</v>
      </c>
      <c r="R406" s="44" t="str">
        <f t="shared" si="4"/>
        <v>MCSGAST1</v>
      </c>
      <c r="S406" s="38"/>
      <c r="T406" s="304">
        <f t="shared" si="5"/>
        <v>46113</v>
      </c>
      <c r="U406" s="304" t="str">
        <f t="shared" si="6"/>
        <v/>
      </c>
      <c r="V406" s="300" t="s">
        <v>761</v>
      </c>
    </row>
    <row r="407" spans="2:22" s="300" customFormat="1" x14ac:dyDescent="0.25">
      <c r="B407" s="301" t="s">
        <v>25</v>
      </c>
      <c r="C407" s="302"/>
      <c r="D407" s="86" t="str">
        <f>INDEX(Cad_Natureza!$B$3:$C$52,MATCH('2026'!F407,Cad_Natureza!$C$3:$C$52,0),MATCH('2026'!D$2,Cad_Natureza!$B$3:$C$3,0))</f>
        <v>OPF2</v>
      </c>
      <c r="E407" s="84" t="s">
        <v>1619</v>
      </c>
      <c r="F407" s="85" t="s">
        <v>741</v>
      </c>
      <c r="G407" s="86" t="s">
        <v>25</v>
      </c>
      <c r="H407" s="87">
        <v>46141</v>
      </c>
      <c r="I407" s="87"/>
      <c r="J407" s="79" t="s">
        <v>184</v>
      </c>
      <c r="K407" s="62">
        <v>-80</v>
      </c>
      <c r="L407" s="62">
        <f t="shared" si="97"/>
        <v>329.15000000000089</v>
      </c>
      <c r="M407" s="302"/>
      <c r="N407" s="44" t="str">
        <f t="shared" si="0"/>
        <v>MCSOPF2CPF - Desp. Transporte / Combustível</v>
      </c>
      <c r="O407" s="44" t="str">
        <f t="shared" si="1"/>
        <v>OPF2CPF - Desp. Transporte / Combustível</v>
      </c>
      <c r="P407" s="44" t="str">
        <f t="shared" si="2"/>
        <v>MCSOPF2CPF - Desp. Transporte / Combustível</v>
      </c>
      <c r="Q407" s="44" t="str">
        <f t="shared" si="3"/>
        <v>MCSOPF2</v>
      </c>
      <c r="R407" s="44" t="str">
        <f t="shared" si="4"/>
        <v>MCSOPF2</v>
      </c>
      <c r="S407" s="38"/>
      <c r="T407" s="304">
        <f t="shared" si="5"/>
        <v>46113</v>
      </c>
      <c r="U407" s="304" t="str">
        <f t="shared" si="6"/>
        <v/>
      </c>
      <c r="V407" s="300" t="s">
        <v>761</v>
      </c>
    </row>
    <row r="408" spans="2:22" s="300" customFormat="1" x14ac:dyDescent="0.25">
      <c r="B408" s="301" t="s">
        <v>25</v>
      </c>
      <c r="C408" s="302"/>
      <c r="D408" s="86" t="str">
        <f>INDEX(Cad_Natureza!$B$3:$C$52,MATCH('2026'!F408,Cad_Natureza!$C$3:$C$52,0),MATCH('2026'!D$2,Cad_Natureza!$B$3:$C$3,0))</f>
        <v>GAST2</v>
      </c>
      <c r="E408" s="84" t="s">
        <v>1620</v>
      </c>
      <c r="F408" s="85" t="s">
        <v>743</v>
      </c>
      <c r="G408" s="86" t="s">
        <v>25</v>
      </c>
      <c r="H408" s="87">
        <v>46141</v>
      </c>
      <c r="I408" s="87"/>
      <c r="J408" s="79" t="s">
        <v>180</v>
      </c>
      <c r="K408" s="62">
        <v>-35</v>
      </c>
      <c r="L408" s="62">
        <f t="shared" si="97"/>
        <v>294.15000000000089</v>
      </c>
      <c r="M408" s="302"/>
      <c r="N408" s="44" t="str">
        <f t="shared" si="0"/>
        <v>MCSGAST2CPF - Desp. Lazer e Entretenimento - Cigarro</v>
      </c>
      <c r="O408" s="44" t="str">
        <f t="shared" si="1"/>
        <v>GAST2CPF - Desp. Lazer e Entretenimento - Cigarro</v>
      </c>
      <c r="P408" s="44" t="str">
        <f t="shared" si="2"/>
        <v>MCSGAST2CPF - Desp. Lazer e Entretenimento - Cigarro</v>
      </c>
      <c r="Q408" s="44" t="str">
        <f t="shared" si="3"/>
        <v>MCSGAST2</v>
      </c>
      <c r="R408" s="44" t="str">
        <f t="shared" si="4"/>
        <v>MCSGAST2</v>
      </c>
      <c r="S408" s="38"/>
      <c r="T408" s="304">
        <f t="shared" si="5"/>
        <v>46113</v>
      </c>
      <c r="U408" s="304" t="str">
        <f t="shared" si="6"/>
        <v/>
      </c>
      <c r="V408" s="300" t="s">
        <v>761</v>
      </c>
    </row>
    <row r="409" spans="2:22" s="300" customFormat="1" x14ac:dyDescent="0.25">
      <c r="B409" s="301" t="s">
        <v>25</v>
      </c>
      <c r="C409" s="302"/>
      <c r="D409" s="86" t="str">
        <f>INDEX(Cad_Natureza!$B$3:$C$52,MATCH('2026'!F409,Cad_Natureza!$C$3:$C$52,0),MATCH('2026'!D$2,Cad_Natureza!$B$3:$C$3,0))</f>
        <v>GAST1</v>
      </c>
      <c r="E409" s="84" t="s">
        <v>1621</v>
      </c>
      <c r="F409" s="85" t="s">
        <v>742</v>
      </c>
      <c r="G409" s="86" t="s">
        <v>25</v>
      </c>
      <c r="H409" s="87">
        <v>46141</v>
      </c>
      <c r="I409" s="87"/>
      <c r="J409" s="79" t="s">
        <v>1828</v>
      </c>
      <c r="K409" s="62">
        <v>-30</v>
      </c>
      <c r="L409" s="62">
        <f t="shared" si="97"/>
        <v>264.15000000000089</v>
      </c>
      <c r="M409" s="302"/>
      <c r="N409" s="44" t="str">
        <f t="shared" si="0"/>
        <v>MCSGAST1CPF - Desp. Lazer e Entretenimento - Bares</v>
      </c>
      <c r="O409" s="44" t="str">
        <f t="shared" si="1"/>
        <v>GAST1CPF - Desp. Lazer e Entretenimento - Bares</v>
      </c>
      <c r="P409" s="44" t="str">
        <f t="shared" si="2"/>
        <v>MCSGAST1CPF - Desp. Lazer e Entretenimento - Bares</v>
      </c>
      <c r="Q409" s="44" t="str">
        <f t="shared" si="3"/>
        <v>MCSGAST1</v>
      </c>
      <c r="R409" s="44" t="str">
        <f t="shared" si="4"/>
        <v>MCSGAST1</v>
      </c>
      <c r="S409" s="38"/>
      <c r="T409" s="304">
        <f t="shared" si="5"/>
        <v>46113</v>
      </c>
      <c r="U409" s="304" t="str">
        <f t="shared" si="6"/>
        <v/>
      </c>
      <c r="V409" s="300" t="s">
        <v>761</v>
      </c>
    </row>
    <row r="410" spans="2:22" s="300" customFormat="1" x14ac:dyDescent="0.25">
      <c r="B410" s="301" t="s">
        <v>25</v>
      </c>
      <c r="C410" s="302"/>
      <c r="D410" s="86" t="str">
        <f>INDEX(Cad_Natureza!$B$3:$C$52,MATCH('2026'!F410,Cad_Natureza!$C$3:$C$52,0),MATCH('2026'!D$2,Cad_Natureza!$B$3:$C$3,0))</f>
        <v>OPF1</v>
      </c>
      <c r="E410" s="84" t="s">
        <v>1622</v>
      </c>
      <c r="F410" s="85" t="s">
        <v>744</v>
      </c>
      <c r="G410" s="86" t="s">
        <v>25</v>
      </c>
      <c r="H410" s="87">
        <v>46142</v>
      </c>
      <c r="I410" s="87"/>
      <c r="J410" s="79" t="s">
        <v>182</v>
      </c>
      <c r="K410" s="62">
        <v>-20</v>
      </c>
      <c r="L410" s="62">
        <f t="shared" si="97"/>
        <v>244.15000000000089</v>
      </c>
      <c r="M410" s="302"/>
      <c r="N410" s="44" t="str">
        <f t="shared" si="0"/>
        <v>MCSOPF1CPF - Desp. Alimentação / Refeição</v>
      </c>
      <c r="O410" s="44" t="str">
        <f t="shared" si="1"/>
        <v>OPF1CPF - Desp. Alimentação / Refeição</v>
      </c>
      <c r="P410" s="44" t="str">
        <f t="shared" si="2"/>
        <v>MCSOPF1CPF - Desp. Alimentação / Refeição</v>
      </c>
      <c r="Q410" s="44" t="str">
        <f t="shared" si="3"/>
        <v>MCSOPF1</v>
      </c>
      <c r="R410" s="44" t="str">
        <f t="shared" si="4"/>
        <v>MCSOPF1</v>
      </c>
      <c r="S410" s="38"/>
      <c r="T410" s="304">
        <f t="shared" si="5"/>
        <v>46113</v>
      </c>
      <c r="U410" s="304" t="str">
        <f t="shared" si="6"/>
        <v/>
      </c>
      <c r="V410" s="300" t="s">
        <v>731</v>
      </c>
    </row>
    <row r="411" spans="2:22" s="300" customFormat="1" x14ac:dyDescent="0.25">
      <c r="B411" s="301" t="s">
        <v>25</v>
      </c>
      <c r="C411" s="302"/>
      <c r="D411" s="86" t="str">
        <f>INDEX(Cad_Natureza!$B$3:$C$52,MATCH('2026'!F411,Cad_Natureza!$C$3:$C$52,0),MATCH('2026'!D$2,Cad_Natureza!$B$3:$C$3,0))</f>
        <v>OUG1</v>
      </c>
      <c r="E411" s="84" t="s">
        <v>1623</v>
      </c>
      <c r="F411" s="85" t="s">
        <v>748</v>
      </c>
      <c r="G411" s="86" t="s">
        <v>25</v>
      </c>
      <c r="H411" s="87">
        <v>46142</v>
      </c>
      <c r="I411" s="87"/>
      <c r="J411" s="79" t="s">
        <v>1829</v>
      </c>
      <c r="K411" s="62">
        <v>-4</v>
      </c>
      <c r="L411" s="62">
        <f t="shared" si="97"/>
        <v>240.15000000000089</v>
      </c>
      <c r="M411" s="302"/>
      <c r="N411" s="44" t="str">
        <f t="shared" si="0"/>
        <v>MCSOUG1CPF - Outros gastos</v>
      </c>
      <c r="O411" s="44" t="str">
        <f t="shared" si="1"/>
        <v>OUG1CPF - Outros gastos</v>
      </c>
      <c r="P411" s="44" t="str">
        <f t="shared" si="2"/>
        <v>MCSOUG1CPF - Outros gastos</v>
      </c>
      <c r="Q411" s="44" t="str">
        <f t="shared" si="3"/>
        <v>MCSOUG1</v>
      </c>
      <c r="R411" s="44" t="str">
        <f t="shared" si="4"/>
        <v>MCSOUG1</v>
      </c>
      <c r="S411" s="38"/>
      <c r="T411" s="304">
        <f t="shared" si="5"/>
        <v>46113</v>
      </c>
      <c r="U411" s="304" t="str">
        <f t="shared" si="6"/>
        <v/>
      </c>
      <c r="V411" s="300" t="s">
        <v>731</v>
      </c>
    </row>
    <row r="412" spans="2:22" s="291" customFormat="1" x14ac:dyDescent="0.25">
      <c r="B412" s="288" t="s">
        <v>25</v>
      </c>
      <c r="C412" s="83"/>
      <c r="D412" s="63" t="str">
        <f>INDEX(Cad_Natureza!$B$3:$C$52,MATCH('2026'!F412,Cad_Natureza!$C$3:$C$52,0),MATCH('2026'!D$2,Cad_Natureza!$B$3:$C$3,0))</f>
        <v>REC5</v>
      </c>
      <c r="E412" s="64" t="s">
        <v>1624</v>
      </c>
      <c r="F412" s="65" t="s">
        <v>740</v>
      </c>
      <c r="G412" s="63" t="s">
        <v>25</v>
      </c>
      <c r="H412" s="66">
        <v>46146</v>
      </c>
      <c r="I412" s="66"/>
      <c r="J412" s="67" t="s">
        <v>1830</v>
      </c>
      <c r="K412" s="68">
        <v>120</v>
      </c>
      <c r="L412" s="68">
        <f t="shared" si="97"/>
        <v>360.15000000000089</v>
      </c>
      <c r="M412" s="83"/>
      <c r="N412" s="44" t="str">
        <f t="shared" si="0"/>
        <v>MCSREC5CPF - Outras receitas</v>
      </c>
      <c r="O412" s="44" t="str">
        <f t="shared" si="1"/>
        <v>REC5CPF - Outras receitas</v>
      </c>
      <c r="P412" s="44" t="str">
        <f t="shared" si="2"/>
        <v>MCSREC5CPF - Outras receitas</v>
      </c>
      <c r="Q412" s="44" t="str">
        <f t="shared" si="3"/>
        <v>MCSREC5</v>
      </c>
      <c r="R412" s="44" t="str">
        <f t="shared" si="4"/>
        <v>MCSREC5</v>
      </c>
      <c r="S412" s="38"/>
      <c r="T412" s="290">
        <f t="shared" si="5"/>
        <v>46143</v>
      </c>
      <c r="U412" s="290" t="str">
        <f t="shared" si="6"/>
        <v/>
      </c>
      <c r="V412" s="291" t="s">
        <v>761</v>
      </c>
    </row>
    <row r="413" spans="2:22" s="300" customFormat="1" x14ac:dyDescent="0.25">
      <c r="B413" s="301" t="s">
        <v>25</v>
      </c>
      <c r="C413" s="302"/>
      <c r="D413" s="86" t="str">
        <f>INDEX(Cad_Natureza!$B$3:$C$52,MATCH('2026'!F413,Cad_Natureza!$C$3:$C$52,0),MATCH('2026'!D$2,Cad_Natureza!$B$3:$C$3,0))</f>
        <v>OPF2</v>
      </c>
      <c r="E413" s="84" t="s">
        <v>1625</v>
      </c>
      <c r="F413" s="85" t="s">
        <v>741</v>
      </c>
      <c r="G413" s="86" t="s">
        <v>25</v>
      </c>
      <c r="H413" s="87">
        <v>46146</v>
      </c>
      <c r="I413" s="87"/>
      <c r="J413" s="79" t="s">
        <v>184</v>
      </c>
      <c r="K413" s="62">
        <v>-50</v>
      </c>
      <c r="L413" s="62">
        <f t="shared" si="97"/>
        <v>310.15000000000089</v>
      </c>
      <c r="M413" s="302"/>
      <c r="N413" s="44" t="str">
        <f t="shared" si="0"/>
        <v>MCSOPF2CPF - Desp. Transporte / Combustível</v>
      </c>
      <c r="O413" s="44" t="str">
        <f t="shared" si="1"/>
        <v>OPF2CPF - Desp. Transporte / Combustível</v>
      </c>
      <c r="P413" s="44" t="str">
        <f t="shared" si="2"/>
        <v>MCSOPF2CPF - Desp. Transporte / Combustível</v>
      </c>
      <c r="Q413" s="44" t="str">
        <f t="shared" si="3"/>
        <v>MCSOPF2</v>
      </c>
      <c r="R413" s="44" t="str">
        <f t="shared" si="4"/>
        <v>MCSOPF2</v>
      </c>
      <c r="S413" s="38"/>
      <c r="T413" s="304">
        <f t="shared" si="5"/>
        <v>46143</v>
      </c>
      <c r="U413" s="304" t="str">
        <f t="shared" si="6"/>
        <v/>
      </c>
      <c r="V413" s="300" t="s">
        <v>761</v>
      </c>
    </row>
    <row r="414" spans="2:22" s="300" customFormat="1" x14ac:dyDescent="0.25">
      <c r="B414" s="301" t="s">
        <v>25</v>
      </c>
      <c r="C414" s="302"/>
      <c r="D414" s="86" t="str">
        <f>INDEX(Cad_Natureza!$B$3:$C$52,MATCH('2026'!F414,Cad_Natureza!$C$3:$C$52,0),MATCH('2026'!D$2,Cad_Natureza!$B$3:$C$3,0))</f>
        <v>DESP3</v>
      </c>
      <c r="E414" s="84" t="s">
        <v>1626</v>
      </c>
      <c r="F414" s="85" t="s">
        <v>736</v>
      </c>
      <c r="G414" s="86" t="s">
        <v>25</v>
      </c>
      <c r="H414" s="87">
        <v>46146</v>
      </c>
      <c r="I414" s="87"/>
      <c r="J414" s="79" t="s">
        <v>1831</v>
      </c>
      <c r="K414" s="62">
        <v>-157.94999999999999</v>
      </c>
      <c r="L414" s="62">
        <f t="shared" si="97"/>
        <v>152.2000000000009</v>
      </c>
      <c r="M414" s="302"/>
      <c r="N414" s="44" t="str">
        <f t="shared" si="0"/>
        <v xml:space="preserve">MCSDESP3CPF - Desp. com veículo - Manut. / Gastos </v>
      </c>
      <c r="O414" s="44" t="str">
        <f t="shared" si="1"/>
        <v xml:space="preserve">DESP3CPF - Desp. com veículo - Manut. / Gastos </v>
      </c>
      <c r="P414" s="44" t="str">
        <f t="shared" si="2"/>
        <v xml:space="preserve">MCSDESP3CPF - Desp. com veículo - Manut. / Gastos </v>
      </c>
      <c r="Q414" s="44" t="str">
        <f t="shared" si="3"/>
        <v>MCSDESP3</v>
      </c>
      <c r="R414" s="44" t="str">
        <f t="shared" si="4"/>
        <v>MCSDESP3</v>
      </c>
      <c r="S414" s="38"/>
      <c r="T414" s="304">
        <f t="shared" si="5"/>
        <v>46143</v>
      </c>
      <c r="U414" s="304" t="str">
        <f t="shared" si="6"/>
        <v/>
      </c>
      <c r="V414" s="300" t="s">
        <v>761</v>
      </c>
    </row>
    <row r="415" spans="2:22" s="300" customFormat="1" x14ac:dyDescent="0.25">
      <c r="B415" s="301" t="s">
        <v>25</v>
      </c>
      <c r="C415" s="302"/>
      <c r="D415" s="86" t="str">
        <f>INDEX(Cad_Natureza!$B$3:$C$52,MATCH('2026'!F415,Cad_Natureza!$C$3:$C$52,0),MATCH('2026'!D$2,Cad_Natureza!$B$3:$C$3,0))</f>
        <v>OPF2</v>
      </c>
      <c r="E415" s="84" t="s">
        <v>1625</v>
      </c>
      <c r="F415" s="85" t="s">
        <v>741</v>
      </c>
      <c r="G415" s="86" t="s">
        <v>25</v>
      </c>
      <c r="H415" s="87">
        <v>46146</v>
      </c>
      <c r="I415" s="87"/>
      <c r="J415" s="79" t="s">
        <v>184</v>
      </c>
      <c r="K415" s="62">
        <v>-50</v>
      </c>
      <c r="L415" s="62">
        <f t="shared" si="97"/>
        <v>102.2000000000009</v>
      </c>
      <c r="M415" s="302"/>
      <c r="N415" s="44" t="str">
        <f t="shared" si="0"/>
        <v>MCSOPF2CPF - Desp. Transporte / Combustível</v>
      </c>
      <c r="O415" s="44" t="str">
        <f t="shared" si="1"/>
        <v>OPF2CPF - Desp. Transporte / Combustível</v>
      </c>
      <c r="P415" s="44" t="str">
        <f t="shared" si="2"/>
        <v>MCSOPF2CPF - Desp. Transporte / Combustível</v>
      </c>
      <c r="Q415" s="44" t="str">
        <f t="shared" si="3"/>
        <v>MCSOPF2</v>
      </c>
      <c r="R415" s="44" t="str">
        <f t="shared" si="4"/>
        <v>MCSOPF2</v>
      </c>
      <c r="S415" s="38"/>
      <c r="T415" s="304">
        <f t="shared" si="5"/>
        <v>46143</v>
      </c>
      <c r="U415" s="304" t="str">
        <f t="shared" si="6"/>
        <v/>
      </c>
      <c r="V415" s="300" t="s">
        <v>761</v>
      </c>
    </row>
    <row r="416" spans="2:22" s="300" customFormat="1" x14ac:dyDescent="0.25">
      <c r="B416" s="301" t="s">
        <v>25</v>
      </c>
      <c r="C416" s="302"/>
      <c r="D416" s="86" t="str">
        <f>INDEX(Cad_Natureza!$B$3:$C$52,MATCH('2026'!F416,Cad_Natureza!$C$3:$C$52,0),MATCH('2026'!D$2,Cad_Natureza!$B$3:$C$3,0))</f>
        <v>DESP4</v>
      </c>
      <c r="E416" s="84" t="s">
        <v>1627</v>
      </c>
      <c r="F416" s="85" t="s">
        <v>753</v>
      </c>
      <c r="G416" s="86" t="s">
        <v>25</v>
      </c>
      <c r="H416" s="87">
        <v>46146</v>
      </c>
      <c r="I416" s="87"/>
      <c r="J416" s="79" t="s">
        <v>1832</v>
      </c>
      <c r="K416" s="62">
        <v>-20</v>
      </c>
      <c r="L416" s="62">
        <f t="shared" si="97"/>
        <v>82.200000000000898</v>
      </c>
      <c r="M416" s="302"/>
      <c r="N416" s="44" t="str">
        <f t="shared" si="0"/>
        <v>MCSDESP4CPF - Desp. Moradia</v>
      </c>
      <c r="O416" s="44" t="str">
        <f t="shared" si="1"/>
        <v>DESP4CPF - Desp. Moradia</v>
      </c>
      <c r="P416" s="44" t="str">
        <f t="shared" si="2"/>
        <v>MCSDESP4CPF - Desp. Moradia</v>
      </c>
      <c r="Q416" s="44" t="str">
        <f t="shared" si="3"/>
        <v>MCSDESP4</v>
      </c>
      <c r="R416" s="44" t="str">
        <f t="shared" si="4"/>
        <v>MCSDESP4</v>
      </c>
      <c r="S416" s="38"/>
      <c r="T416" s="304">
        <f t="shared" si="5"/>
        <v>46143</v>
      </c>
      <c r="U416" s="304" t="str">
        <f t="shared" si="6"/>
        <v/>
      </c>
      <c r="V416" s="300" t="s">
        <v>761</v>
      </c>
    </row>
    <row r="417" spans="2:22" s="291" customFormat="1" x14ac:dyDescent="0.25">
      <c r="B417" s="288" t="s">
        <v>25</v>
      </c>
      <c r="C417" s="83"/>
      <c r="D417" s="63" t="str">
        <f>INDEX(Cad_Natureza!$B$3:$C$52,MATCH('2026'!F417,Cad_Natureza!$C$3:$C$52,0),MATCH('2026'!D$2,Cad_Natureza!$B$3:$C$3,0))</f>
        <v>REC4</v>
      </c>
      <c r="E417" s="64" t="s">
        <v>325</v>
      </c>
      <c r="F417" s="65" t="s">
        <v>734</v>
      </c>
      <c r="G417" s="63" t="s">
        <v>25</v>
      </c>
      <c r="H417" s="66">
        <v>46146</v>
      </c>
      <c r="I417" s="66"/>
      <c r="J417" s="67" t="s">
        <v>183</v>
      </c>
      <c r="K417" s="68">
        <v>300</v>
      </c>
      <c r="L417" s="68">
        <f t="shared" si="97"/>
        <v>382.2000000000009</v>
      </c>
      <c r="M417" s="83"/>
      <c r="N417" s="44" t="str">
        <f t="shared" si="0"/>
        <v>MCSREC4CPF - Transf. Da conta PJ para a conta PF</v>
      </c>
      <c r="O417" s="44" t="str">
        <f t="shared" si="1"/>
        <v>REC4CPF - Transf. Da conta PJ para a conta PF</v>
      </c>
      <c r="P417" s="44" t="str">
        <f t="shared" si="2"/>
        <v>MCSREC4CPF - Transf. Da conta PJ para a conta PF</v>
      </c>
      <c r="Q417" s="44" t="str">
        <f t="shared" si="3"/>
        <v>MCSREC4</v>
      </c>
      <c r="R417" s="44" t="str">
        <f t="shared" si="4"/>
        <v>MCSREC4</v>
      </c>
      <c r="S417" s="38"/>
      <c r="T417" s="290">
        <f t="shared" si="5"/>
        <v>46143</v>
      </c>
      <c r="U417" s="290" t="str">
        <f t="shared" si="6"/>
        <v/>
      </c>
      <c r="V417" s="291" t="s">
        <v>731</v>
      </c>
    </row>
    <row r="418" spans="2:22" s="300" customFormat="1" x14ac:dyDescent="0.25">
      <c r="B418" s="301" t="s">
        <v>25</v>
      </c>
      <c r="C418" s="302"/>
      <c r="D418" s="86" t="str">
        <f>INDEX(Cad_Natureza!$B$3:$C$52,MATCH('2026'!F418,Cad_Natureza!$C$3:$C$52,0),MATCH('2026'!D$2,Cad_Natureza!$B$3:$C$3,0))</f>
        <v>DESP3</v>
      </c>
      <c r="E418" s="84" t="s">
        <v>1628</v>
      </c>
      <c r="F418" s="85" t="s">
        <v>736</v>
      </c>
      <c r="G418" s="86" t="s">
        <v>25</v>
      </c>
      <c r="H418" s="87">
        <v>46146</v>
      </c>
      <c r="I418" s="87"/>
      <c r="J418" s="79" t="s">
        <v>1833</v>
      </c>
      <c r="K418" s="62">
        <v>-150</v>
      </c>
      <c r="L418" s="62">
        <f t="shared" si="97"/>
        <v>232.2000000000009</v>
      </c>
      <c r="M418" s="302"/>
      <c r="N418" s="44" t="str">
        <f t="shared" si="0"/>
        <v xml:space="preserve">MCSDESP3CPF - Desp. com veículo - Manut. / Gastos </v>
      </c>
      <c r="O418" s="44" t="str">
        <f t="shared" si="1"/>
        <v xml:space="preserve">DESP3CPF - Desp. com veículo - Manut. / Gastos </v>
      </c>
      <c r="P418" s="44" t="str">
        <f t="shared" si="2"/>
        <v xml:space="preserve">MCSDESP3CPF - Desp. com veículo - Manut. / Gastos </v>
      </c>
      <c r="Q418" s="44" t="str">
        <f t="shared" si="3"/>
        <v>MCSDESP3</v>
      </c>
      <c r="R418" s="44" t="str">
        <f t="shared" si="4"/>
        <v>MCSDESP3</v>
      </c>
      <c r="S418" s="38"/>
      <c r="T418" s="304">
        <f t="shared" si="5"/>
        <v>46143</v>
      </c>
      <c r="U418" s="304" t="str">
        <f t="shared" si="6"/>
        <v/>
      </c>
      <c r="V418" s="300" t="s">
        <v>731</v>
      </c>
    </row>
    <row r="419" spans="2:22" s="300" customFormat="1" x14ac:dyDescent="0.25">
      <c r="B419" s="301" t="s">
        <v>25</v>
      </c>
      <c r="C419" s="302"/>
      <c r="D419" s="86" t="str">
        <f>INDEX(Cad_Natureza!$B$3:$C$52,MATCH('2026'!F419,Cad_Natureza!$C$3:$C$52,0),MATCH('2026'!D$2,Cad_Natureza!$B$3:$C$3,0))</f>
        <v>OPF2</v>
      </c>
      <c r="E419" s="84" t="s">
        <v>1629</v>
      </c>
      <c r="F419" s="85" t="s">
        <v>741</v>
      </c>
      <c r="G419" s="86" t="s">
        <v>25</v>
      </c>
      <c r="H419" s="87">
        <v>46146</v>
      </c>
      <c r="I419" s="87"/>
      <c r="J419" s="79" t="s">
        <v>184</v>
      </c>
      <c r="K419" s="62">
        <v>-70</v>
      </c>
      <c r="L419" s="62">
        <f t="shared" si="97"/>
        <v>162.2000000000009</v>
      </c>
      <c r="M419" s="302"/>
      <c r="N419" s="44" t="str">
        <f t="shared" si="0"/>
        <v>MCSOPF2CPF - Desp. Transporte / Combustível</v>
      </c>
      <c r="O419" s="44" t="str">
        <f t="shared" si="1"/>
        <v>OPF2CPF - Desp. Transporte / Combustível</v>
      </c>
      <c r="P419" s="44" t="str">
        <f t="shared" si="2"/>
        <v>MCSOPF2CPF - Desp. Transporte / Combustível</v>
      </c>
      <c r="Q419" s="44" t="str">
        <f t="shared" si="3"/>
        <v>MCSOPF2</v>
      </c>
      <c r="R419" s="44" t="str">
        <f t="shared" si="4"/>
        <v>MCSOPF2</v>
      </c>
      <c r="S419" s="38"/>
      <c r="T419" s="304">
        <f t="shared" si="5"/>
        <v>46143</v>
      </c>
      <c r="U419" s="304" t="str">
        <f t="shared" si="6"/>
        <v/>
      </c>
      <c r="V419" s="300" t="s">
        <v>761</v>
      </c>
    </row>
    <row r="420" spans="2:22" s="291" customFormat="1" x14ac:dyDescent="0.25">
      <c r="B420" s="288" t="s">
        <v>25</v>
      </c>
      <c r="C420" s="83"/>
      <c r="D420" s="63" t="str">
        <f>INDEX(Cad_Natureza!$B$3:$C$52,MATCH('2026'!F420,Cad_Natureza!$C$3:$C$52,0),MATCH('2026'!D$2,Cad_Natureza!$B$3:$C$3,0))</f>
        <v>REC5</v>
      </c>
      <c r="E420" s="64" t="s">
        <v>1630</v>
      </c>
      <c r="F420" s="65" t="s">
        <v>740</v>
      </c>
      <c r="G420" s="63" t="s">
        <v>25</v>
      </c>
      <c r="H420" s="66">
        <v>46146</v>
      </c>
      <c r="I420" s="66"/>
      <c r="J420" s="67" t="s">
        <v>1830</v>
      </c>
      <c r="K420" s="68">
        <v>49.99</v>
      </c>
      <c r="L420" s="68">
        <f t="shared" si="97"/>
        <v>212.19000000000091</v>
      </c>
      <c r="M420" s="83"/>
      <c r="N420" s="44" t="str">
        <f t="shared" si="0"/>
        <v>MCSREC5CPF - Outras receitas</v>
      </c>
      <c r="O420" s="44" t="str">
        <f t="shared" si="1"/>
        <v>REC5CPF - Outras receitas</v>
      </c>
      <c r="P420" s="44" t="str">
        <f t="shared" si="2"/>
        <v>MCSREC5CPF - Outras receitas</v>
      </c>
      <c r="Q420" s="44" t="str">
        <f t="shared" si="3"/>
        <v>MCSREC5</v>
      </c>
      <c r="R420" s="44" t="str">
        <f t="shared" si="4"/>
        <v>MCSREC5</v>
      </c>
      <c r="S420" s="38"/>
      <c r="T420" s="290">
        <f t="shared" si="5"/>
        <v>46143</v>
      </c>
      <c r="U420" s="290" t="str">
        <f t="shared" si="6"/>
        <v/>
      </c>
      <c r="V420" s="291" t="s">
        <v>761</v>
      </c>
    </row>
    <row r="421" spans="2:22" s="300" customFormat="1" x14ac:dyDescent="0.25">
      <c r="B421" s="301" t="s">
        <v>25</v>
      </c>
      <c r="C421" s="302"/>
      <c r="D421" s="86" t="str">
        <f>INDEX(Cad_Natureza!$B$3:$C$52,MATCH('2026'!F421,Cad_Natureza!$C$3:$C$52,0),MATCH('2026'!D$2,Cad_Natureza!$B$3:$C$3,0))</f>
        <v>OPF2</v>
      </c>
      <c r="E421" s="84" t="s">
        <v>1631</v>
      </c>
      <c r="F421" s="85" t="s">
        <v>741</v>
      </c>
      <c r="G421" s="86" t="s">
        <v>25</v>
      </c>
      <c r="H421" s="87">
        <v>46146</v>
      </c>
      <c r="I421" s="87"/>
      <c r="J421" s="79" t="s">
        <v>184</v>
      </c>
      <c r="K421" s="62">
        <v>-50</v>
      </c>
      <c r="L421" s="62">
        <f t="shared" si="97"/>
        <v>162.19000000000091</v>
      </c>
      <c r="M421" s="302"/>
      <c r="N421" s="44" t="str">
        <f t="shared" ref="N421:N440" si="105">B421&amp;D421&amp;F421</f>
        <v>MCSOPF2CPF - Desp. Transporte / Combustível</v>
      </c>
      <c r="O421" s="44" t="str">
        <f t="shared" ref="O421:O440" si="106">D421&amp;F421</f>
        <v>OPF2CPF - Desp. Transporte / Combustível</v>
      </c>
      <c r="P421" s="44" t="str">
        <f t="shared" ref="P421:P440" si="107">"MCS"&amp;D421&amp;F421</f>
        <v>MCSOPF2CPF - Desp. Transporte / Combustível</v>
      </c>
      <c r="Q421" s="44" t="str">
        <f t="shared" ref="Q421:Q440" si="108">"MCS"&amp;D421</f>
        <v>MCSOPF2</v>
      </c>
      <c r="R421" s="44" t="str">
        <f t="shared" ref="R421:R440" si="109">B421&amp;D421</f>
        <v>MCSOPF2</v>
      </c>
      <c r="S421" s="38"/>
      <c r="T421" s="304">
        <f t="shared" ref="T421:T440" si="110">(1&amp;"/"&amp;MONTH(H421)&amp;"/"&amp;YEAR(H421))*1</f>
        <v>46143</v>
      </c>
      <c r="U421" s="304" t="str">
        <f t="shared" ref="U421:U440" si="111">IF(I421="","",(1&amp;"/"&amp;MONTH(I421)&amp;"/"&amp;YEAR(I421))*1)</f>
        <v/>
      </c>
      <c r="V421" s="300" t="s">
        <v>761</v>
      </c>
    </row>
    <row r="422" spans="2:22" s="300" customFormat="1" x14ac:dyDescent="0.25">
      <c r="B422" s="301" t="s">
        <v>25</v>
      </c>
      <c r="C422" s="302"/>
      <c r="D422" s="86" t="str">
        <f>INDEX(Cad_Natureza!$B$3:$C$52,MATCH('2026'!F422,Cad_Natureza!$C$3:$C$52,0),MATCH('2026'!D$2,Cad_Natureza!$B$3:$C$3,0))</f>
        <v>OPF1</v>
      </c>
      <c r="E422" s="84" t="s">
        <v>1632</v>
      </c>
      <c r="F422" s="85" t="s">
        <v>744</v>
      </c>
      <c r="G422" s="86" t="s">
        <v>25</v>
      </c>
      <c r="H422" s="87">
        <v>46146</v>
      </c>
      <c r="I422" s="87"/>
      <c r="J422" s="79" t="s">
        <v>182</v>
      </c>
      <c r="K422" s="62">
        <v>-20</v>
      </c>
      <c r="L422" s="62">
        <f t="shared" si="97"/>
        <v>142.19000000000091</v>
      </c>
      <c r="M422" s="302"/>
      <c r="N422" s="44" t="str">
        <f t="shared" si="105"/>
        <v>MCSOPF1CPF - Desp. Alimentação / Refeição</v>
      </c>
      <c r="O422" s="44" t="str">
        <f t="shared" si="106"/>
        <v>OPF1CPF - Desp. Alimentação / Refeição</v>
      </c>
      <c r="P422" s="44" t="str">
        <f t="shared" si="107"/>
        <v>MCSOPF1CPF - Desp. Alimentação / Refeição</v>
      </c>
      <c r="Q422" s="44" t="str">
        <f t="shared" si="108"/>
        <v>MCSOPF1</v>
      </c>
      <c r="R422" s="44" t="str">
        <f t="shared" si="109"/>
        <v>MCSOPF1</v>
      </c>
      <c r="S422" s="38"/>
      <c r="T422" s="304">
        <f t="shared" si="110"/>
        <v>46143</v>
      </c>
      <c r="U422" s="304" t="str">
        <f t="shared" si="111"/>
        <v/>
      </c>
      <c r="V422" s="300" t="s">
        <v>761</v>
      </c>
    </row>
    <row r="423" spans="2:22" s="300" customFormat="1" x14ac:dyDescent="0.25">
      <c r="B423" s="301" t="s">
        <v>25</v>
      </c>
      <c r="C423" s="302"/>
      <c r="D423" s="86" t="str">
        <f>INDEX(Cad_Natureza!$B$3:$C$52,MATCH('2026'!F423,Cad_Natureza!$C$3:$C$52,0),MATCH('2026'!D$2,Cad_Natureza!$B$3:$C$3,0))</f>
        <v>OPF1</v>
      </c>
      <c r="E423" s="84" t="s">
        <v>1633</v>
      </c>
      <c r="F423" s="85" t="s">
        <v>744</v>
      </c>
      <c r="G423" s="86" t="s">
        <v>25</v>
      </c>
      <c r="H423" s="87">
        <v>46147</v>
      </c>
      <c r="I423" s="87"/>
      <c r="J423" s="79" t="s">
        <v>182</v>
      </c>
      <c r="K423" s="62">
        <v>-20</v>
      </c>
      <c r="L423" s="62">
        <f t="shared" si="97"/>
        <v>122.19000000000091</v>
      </c>
      <c r="M423" s="302"/>
      <c r="N423" s="44" t="str">
        <f t="shared" si="105"/>
        <v>MCSOPF1CPF - Desp. Alimentação / Refeição</v>
      </c>
      <c r="O423" s="44" t="str">
        <f t="shared" si="106"/>
        <v>OPF1CPF - Desp. Alimentação / Refeição</v>
      </c>
      <c r="P423" s="44" t="str">
        <f t="shared" si="107"/>
        <v>MCSOPF1CPF - Desp. Alimentação / Refeição</v>
      </c>
      <c r="Q423" s="44" t="str">
        <f t="shared" si="108"/>
        <v>MCSOPF1</v>
      </c>
      <c r="R423" s="44" t="str">
        <f t="shared" si="109"/>
        <v>MCSOPF1</v>
      </c>
      <c r="S423" s="38"/>
      <c r="T423" s="304">
        <f t="shared" si="110"/>
        <v>46143</v>
      </c>
      <c r="U423" s="304" t="str">
        <f t="shared" si="111"/>
        <v/>
      </c>
      <c r="V423" s="300" t="s">
        <v>731</v>
      </c>
    </row>
    <row r="424" spans="2:22" s="300" customFormat="1" x14ac:dyDescent="0.25">
      <c r="B424" s="301" t="s">
        <v>25</v>
      </c>
      <c r="C424" s="302"/>
      <c r="D424" s="86" t="str">
        <f>INDEX(Cad_Natureza!$B$3:$C$52,MATCH('2026'!F424,Cad_Natureza!$C$3:$C$52,0),MATCH('2026'!D$2,Cad_Natureza!$B$3:$C$3,0))</f>
        <v>GAST1</v>
      </c>
      <c r="E424" s="84" t="s">
        <v>1634</v>
      </c>
      <c r="F424" s="85" t="s">
        <v>742</v>
      </c>
      <c r="G424" s="86" t="s">
        <v>25</v>
      </c>
      <c r="H424" s="87">
        <v>46147</v>
      </c>
      <c r="I424" s="87"/>
      <c r="J424" s="79" t="s">
        <v>185</v>
      </c>
      <c r="K424" s="62">
        <v>-18.600000000000001</v>
      </c>
      <c r="L424" s="62">
        <f t="shared" si="97"/>
        <v>103.59000000000091</v>
      </c>
      <c r="M424" s="302"/>
      <c r="N424" s="44" t="str">
        <f t="shared" si="105"/>
        <v>MCSGAST1CPF - Desp. Lazer e Entretenimento - Bares</v>
      </c>
      <c r="O424" s="44" t="str">
        <f t="shared" si="106"/>
        <v>GAST1CPF - Desp. Lazer e Entretenimento - Bares</v>
      </c>
      <c r="P424" s="44" t="str">
        <f t="shared" si="107"/>
        <v>MCSGAST1CPF - Desp. Lazer e Entretenimento - Bares</v>
      </c>
      <c r="Q424" s="44" t="str">
        <f t="shared" si="108"/>
        <v>MCSGAST1</v>
      </c>
      <c r="R424" s="44" t="str">
        <f t="shared" si="109"/>
        <v>MCSGAST1</v>
      </c>
      <c r="S424" s="38"/>
      <c r="T424" s="304">
        <f t="shared" si="110"/>
        <v>46143</v>
      </c>
      <c r="U424" s="304" t="str">
        <f t="shared" si="111"/>
        <v/>
      </c>
      <c r="V424" s="300" t="s">
        <v>731</v>
      </c>
    </row>
    <row r="425" spans="2:22" s="300" customFormat="1" x14ac:dyDescent="0.25">
      <c r="B425" s="301" t="s">
        <v>25</v>
      </c>
      <c r="C425" s="302"/>
      <c r="D425" s="86" t="str">
        <f>INDEX(Cad_Natureza!$B$3:$C$52,MATCH('2026'!F425,Cad_Natureza!$C$3:$C$52,0),MATCH('2026'!D$2,Cad_Natureza!$B$3:$C$3,0))</f>
        <v>DESP4</v>
      </c>
      <c r="E425" s="84" t="s">
        <v>1635</v>
      </c>
      <c r="F425" s="85" t="s">
        <v>753</v>
      </c>
      <c r="G425" s="86" t="s">
        <v>25</v>
      </c>
      <c r="H425" s="87">
        <v>46147</v>
      </c>
      <c r="I425" s="87"/>
      <c r="J425" s="79" t="s">
        <v>1829</v>
      </c>
      <c r="K425" s="62">
        <v>-9</v>
      </c>
      <c r="L425" s="62">
        <f t="shared" si="97"/>
        <v>94.590000000000913</v>
      </c>
      <c r="M425" s="302"/>
      <c r="N425" s="44" t="str">
        <f t="shared" si="105"/>
        <v>MCSDESP4CPF - Desp. Moradia</v>
      </c>
      <c r="O425" s="44" t="str">
        <f t="shared" si="106"/>
        <v>DESP4CPF - Desp. Moradia</v>
      </c>
      <c r="P425" s="44" t="str">
        <f t="shared" si="107"/>
        <v>MCSDESP4CPF - Desp. Moradia</v>
      </c>
      <c r="Q425" s="44" t="str">
        <f t="shared" si="108"/>
        <v>MCSDESP4</v>
      </c>
      <c r="R425" s="44" t="str">
        <f t="shared" si="109"/>
        <v>MCSDESP4</v>
      </c>
      <c r="S425" s="38"/>
      <c r="T425" s="304">
        <f t="shared" si="110"/>
        <v>46143</v>
      </c>
      <c r="U425" s="304" t="str">
        <f t="shared" si="111"/>
        <v/>
      </c>
      <c r="V425" s="300" t="s">
        <v>761</v>
      </c>
    </row>
    <row r="426" spans="2:22" s="300" customFormat="1" x14ac:dyDescent="0.25">
      <c r="B426" s="301" t="s">
        <v>25</v>
      </c>
      <c r="C426" s="302"/>
      <c r="D426" s="86" t="str">
        <f>INDEX(Cad_Natureza!$B$3:$C$52,MATCH('2026'!F426,Cad_Natureza!$C$3:$C$52,0),MATCH('2026'!D$2,Cad_Natureza!$B$3:$C$3,0))</f>
        <v>FIN2</v>
      </c>
      <c r="E426" s="84" t="s">
        <v>1636</v>
      </c>
      <c r="F426" s="85" t="s">
        <v>751</v>
      </c>
      <c r="G426" s="86" t="s">
        <v>25</v>
      </c>
      <c r="H426" s="87">
        <v>46147</v>
      </c>
      <c r="I426" s="87"/>
      <c r="J426" s="79" t="s">
        <v>188</v>
      </c>
      <c r="K426" s="62">
        <v>-28</v>
      </c>
      <c r="L426" s="62">
        <f t="shared" si="97"/>
        <v>66.590000000000913</v>
      </c>
      <c r="M426" s="302"/>
      <c r="N426" s="44" t="str">
        <f t="shared" si="105"/>
        <v>MCSFIN2CPF - Desp. Financeiras - Juros / Tarifas</v>
      </c>
      <c r="O426" s="44" t="str">
        <f t="shared" si="106"/>
        <v>FIN2CPF - Desp. Financeiras - Juros / Tarifas</v>
      </c>
      <c r="P426" s="44" t="str">
        <f t="shared" si="107"/>
        <v>MCSFIN2CPF - Desp. Financeiras - Juros / Tarifas</v>
      </c>
      <c r="Q426" s="44" t="str">
        <f t="shared" si="108"/>
        <v>MCSFIN2</v>
      </c>
      <c r="R426" s="44" t="str">
        <f t="shared" si="109"/>
        <v>MCSFIN2</v>
      </c>
      <c r="S426" s="38"/>
      <c r="T426" s="304">
        <f t="shared" si="110"/>
        <v>46143</v>
      </c>
      <c r="U426" s="304" t="str">
        <f t="shared" si="111"/>
        <v/>
      </c>
      <c r="V426" s="300" t="s">
        <v>761</v>
      </c>
    </row>
    <row r="427" spans="2:22" s="300" customFormat="1" x14ac:dyDescent="0.25">
      <c r="B427" s="301" t="s">
        <v>25</v>
      </c>
      <c r="C427" s="302"/>
      <c r="D427" s="86" t="str">
        <f>INDEX(Cad_Natureza!$B$3:$C$52,MATCH('2026'!F427,Cad_Natureza!$C$3:$C$52,0),MATCH('2026'!D$2,Cad_Natureza!$B$3:$C$3,0))</f>
        <v>OPF1</v>
      </c>
      <c r="E427" s="84" t="s">
        <v>1637</v>
      </c>
      <c r="F427" s="85" t="s">
        <v>744</v>
      </c>
      <c r="G427" s="86" t="s">
        <v>25</v>
      </c>
      <c r="H427" s="87">
        <v>46148</v>
      </c>
      <c r="I427" s="87"/>
      <c r="J427" s="79" t="s">
        <v>182</v>
      </c>
      <c r="K427" s="62">
        <v>-22</v>
      </c>
      <c r="L427" s="62">
        <f t="shared" si="97"/>
        <v>44.590000000000913</v>
      </c>
      <c r="M427" s="302"/>
      <c r="N427" s="44" t="str">
        <f t="shared" si="105"/>
        <v>MCSOPF1CPF - Desp. Alimentação / Refeição</v>
      </c>
      <c r="O427" s="44" t="str">
        <f t="shared" si="106"/>
        <v>OPF1CPF - Desp. Alimentação / Refeição</v>
      </c>
      <c r="P427" s="44" t="str">
        <f t="shared" si="107"/>
        <v>MCSOPF1CPF - Desp. Alimentação / Refeição</v>
      </c>
      <c r="Q427" s="44" t="str">
        <f t="shared" si="108"/>
        <v>MCSOPF1</v>
      </c>
      <c r="R427" s="44" t="str">
        <f t="shared" si="109"/>
        <v>MCSOPF1</v>
      </c>
      <c r="S427" s="38"/>
      <c r="T427" s="304">
        <f t="shared" si="110"/>
        <v>46143</v>
      </c>
      <c r="U427" s="304" t="str">
        <f t="shared" si="111"/>
        <v/>
      </c>
      <c r="V427" s="300" t="s">
        <v>761</v>
      </c>
    </row>
    <row r="428" spans="2:22" s="300" customFormat="1" x14ac:dyDescent="0.25">
      <c r="B428" s="301" t="s">
        <v>25</v>
      </c>
      <c r="C428" s="302"/>
      <c r="D428" s="86" t="str">
        <f>INDEX(Cad_Natureza!$B$3:$C$52,MATCH('2026'!F428,Cad_Natureza!$C$3:$C$52,0),MATCH('2026'!D$2,Cad_Natureza!$B$3:$C$3,0))</f>
        <v>GAST2</v>
      </c>
      <c r="E428" s="84" t="s">
        <v>1638</v>
      </c>
      <c r="F428" s="85" t="s">
        <v>743</v>
      </c>
      <c r="G428" s="86" t="s">
        <v>25</v>
      </c>
      <c r="H428" s="87">
        <v>46148</v>
      </c>
      <c r="I428" s="87"/>
      <c r="J428" s="79" t="s">
        <v>180</v>
      </c>
      <c r="K428" s="62">
        <v>-3</v>
      </c>
      <c r="L428" s="62">
        <f t="shared" si="97"/>
        <v>41.590000000000913</v>
      </c>
      <c r="M428" s="302"/>
      <c r="N428" s="44" t="str">
        <f t="shared" si="105"/>
        <v>MCSGAST2CPF - Desp. Lazer e Entretenimento - Cigarro</v>
      </c>
      <c r="O428" s="44" t="str">
        <f t="shared" si="106"/>
        <v>GAST2CPF - Desp. Lazer e Entretenimento - Cigarro</v>
      </c>
      <c r="P428" s="44" t="str">
        <f t="shared" si="107"/>
        <v>MCSGAST2CPF - Desp. Lazer e Entretenimento - Cigarro</v>
      </c>
      <c r="Q428" s="44" t="str">
        <f t="shared" si="108"/>
        <v>MCSGAST2</v>
      </c>
      <c r="R428" s="44" t="str">
        <f t="shared" si="109"/>
        <v>MCSGAST2</v>
      </c>
      <c r="S428" s="38"/>
      <c r="T428" s="304">
        <f t="shared" si="110"/>
        <v>46143</v>
      </c>
      <c r="U428" s="304" t="str">
        <f t="shared" si="111"/>
        <v/>
      </c>
      <c r="V428" s="300" t="s">
        <v>761</v>
      </c>
    </row>
    <row r="429" spans="2:22" s="291" customFormat="1" x14ac:dyDescent="0.25">
      <c r="B429" s="288" t="s">
        <v>25</v>
      </c>
      <c r="C429" s="83"/>
      <c r="D429" s="63" t="str">
        <f>INDEX(Cad_Natureza!$B$3:$C$52,MATCH('2026'!F429,Cad_Natureza!$C$3:$C$52,0),MATCH('2026'!D$2,Cad_Natureza!$B$3:$C$3,0))</f>
        <v>REC7</v>
      </c>
      <c r="E429" s="64" t="s">
        <v>1639</v>
      </c>
      <c r="F429" s="65" t="s">
        <v>774</v>
      </c>
      <c r="G429" s="63" t="s">
        <v>25</v>
      </c>
      <c r="H429" s="66">
        <v>46148</v>
      </c>
      <c r="I429" s="66"/>
      <c r="J429" s="67" t="s">
        <v>1834</v>
      </c>
      <c r="K429" s="68">
        <v>170</v>
      </c>
      <c r="L429" s="68">
        <f t="shared" si="97"/>
        <v>211.59000000000091</v>
      </c>
      <c r="M429" s="83"/>
      <c r="N429" s="44" t="str">
        <f t="shared" si="105"/>
        <v>MCSREC7CPF - Rec. Financeiras - Empréstimos</v>
      </c>
      <c r="O429" s="44" t="str">
        <f t="shared" si="106"/>
        <v>REC7CPF - Rec. Financeiras - Empréstimos</v>
      </c>
      <c r="P429" s="44" t="str">
        <f t="shared" si="107"/>
        <v>MCSREC7CPF - Rec. Financeiras - Empréstimos</v>
      </c>
      <c r="Q429" s="44" t="str">
        <f t="shared" si="108"/>
        <v>MCSREC7</v>
      </c>
      <c r="R429" s="44" t="str">
        <f t="shared" si="109"/>
        <v>MCSREC7</v>
      </c>
      <c r="S429" s="38"/>
      <c r="T429" s="290">
        <f t="shared" si="110"/>
        <v>46143</v>
      </c>
      <c r="U429" s="290" t="str">
        <f t="shared" si="111"/>
        <v/>
      </c>
      <c r="V429" s="291" t="s">
        <v>761</v>
      </c>
    </row>
    <row r="430" spans="2:22" s="300" customFormat="1" x14ac:dyDescent="0.25">
      <c r="B430" s="301" t="s">
        <v>25</v>
      </c>
      <c r="C430" s="302"/>
      <c r="D430" s="86" t="str">
        <f>INDEX(Cad_Natureza!$B$3:$C$52,MATCH('2026'!F430,Cad_Natureza!$C$3:$C$52,0),MATCH('2026'!D$2,Cad_Natureza!$B$3:$C$3,0))</f>
        <v>OPF2</v>
      </c>
      <c r="E430" s="84" t="s">
        <v>1640</v>
      </c>
      <c r="F430" s="85" t="s">
        <v>741</v>
      </c>
      <c r="G430" s="86" t="s">
        <v>25</v>
      </c>
      <c r="H430" s="87">
        <v>46148</v>
      </c>
      <c r="I430" s="87"/>
      <c r="J430" s="79" t="s">
        <v>184</v>
      </c>
      <c r="K430" s="62">
        <v>-80</v>
      </c>
      <c r="L430" s="62">
        <f t="shared" si="97"/>
        <v>131.59000000000091</v>
      </c>
      <c r="M430" s="302"/>
      <c r="N430" s="44" t="str">
        <f t="shared" si="105"/>
        <v>MCSOPF2CPF - Desp. Transporte / Combustível</v>
      </c>
      <c r="O430" s="44" t="str">
        <f t="shared" si="106"/>
        <v>OPF2CPF - Desp. Transporte / Combustível</v>
      </c>
      <c r="P430" s="44" t="str">
        <f t="shared" si="107"/>
        <v>MCSOPF2CPF - Desp. Transporte / Combustível</v>
      </c>
      <c r="Q430" s="44" t="str">
        <f t="shared" si="108"/>
        <v>MCSOPF2</v>
      </c>
      <c r="R430" s="44" t="str">
        <f t="shared" si="109"/>
        <v>MCSOPF2</v>
      </c>
      <c r="S430" s="38"/>
      <c r="T430" s="304">
        <f t="shared" si="110"/>
        <v>46143</v>
      </c>
      <c r="U430" s="304" t="str">
        <f t="shared" si="111"/>
        <v/>
      </c>
      <c r="V430" s="300" t="s">
        <v>731</v>
      </c>
    </row>
    <row r="431" spans="2:22" s="300" customFormat="1" x14ac:dyDescent="0.25">
      <c r="B431" s="301" t="s">
        <v>25</v>
      </c>
      <c r="C431" s="302"/>
      <c r="D431" s="86" t="str">
        <f>INDEX(Cad_Natureza!$B$3:$C$52,MATCH('2026'!F431,Cad_Natureza!$C$3:$C$52,0),MATCH('2026'!D$2,Cad_Natureza!$B$3:$C$3,0))</f>
        <v>GAST2</v>
      </c>
      <c r="E431" s="84" t="s">
        <v>1641</v>
      </c>
      <c r="F431" s="85" t="s">
        <v>743</v>
      </c>
      <c r="G431" s="86" t="s">
        <v>25</v>
      </c>
      <c r="H431" s="87">
        <v>46148</v>
      </c>
      <c r="I431" s="87"/>
      <c r="J431" s="79" t="s">
        <v>180</v>
      </c>
      <c r="K431" s="62">
        <v>-35</v>
      </c>
      <c r="L431" s="62">
        <f t="shared" si="97"/>
        <v>96.590000000000913</v>
      </c>
      <c r="M431" s="302"/>
      <c r="N431" s="44" t="str">
        <f t="shared" si="105"/>
        <v>MCSGAST2CPF - Desp. Lazer e Entretenimento - Cigarro</v>
      </c>
      <c r="O431" s="44" t="str">
        <f t="shared" si="106"/>
        <v>GAST2CPF - Desp. Lazer e Entretenimento - Cigarro</v>
      </c>
      <c r="P431" s="44" t="str">
        <f t="shared" si="107"/>
        <v>MCSGAST2CPF - Desp. Lazer e Entretenimento - Cigarro</v>
      </c>
      <c r="Q431" s="44" t="str">
        <f t="shared" si="108"/>
        <v>MCSGAST2</v>
      </c>
      <c r="R431" s="44" t="str">
        <f t="shared" si="109"/>
        <v>MCSGAST2</v>
      </c>
      <c r="S431" s="38"/>
      <c r="T431" s="304">
        <f t="shared" si="110"/>
        <v>46143</v>
      </c>
      <c r="U431" s="304" t="str">
        <f t="shared" si="111"/>
        <v/>
      </c>
      <c r="V431" s="300" t="s">
        <v>731</v>
      </c>
    </row>
    <row r="432" spans="2:22" s="300" customFormat="1" x14ac:dyDescent="0.25">
      <c r="B432" s="301" t="s">
        <v>25</v>
      </c>
      <c r="C432" s="302"/>
      <c r="D432" s="86" t="str">
        <f>INDEX(Cad_Natureza!$B$3:$C$52,MATCH('2026'!F432,Cad_Natureza!$C$3:$C$52,0),MATCH('2026'!D$2,Cad_Natureza!$B$3:$C$3,0))</f>
        <v>DESP4</v>
      </c>
      <c r="E432" s="84" t="s">
        <v>1642</v>
      </c>
      <c r="F432" s="85" t="s">
        <v>753</v>
      </c>
      <c r="G432" s="86" t="s">
        <v>25</v>
      </c>
      <c r="H432" s="87">
        <v>46148</v>
      </c>
      <c r="I432" s="87"/>
      <c r="J432" s="79" t="s">
        <v>1835</v>
      </c>
      <c r="K432" s="62">
        <v>-9</v>
      </c>
      <c r="L432" s="62">
        <f t="shared" si="97"/>
        <v>87.590000000000913</v>
      </c>
      <c r="M432" s="302"/>
      <c r="N432" s="44" t="str">
        <f t="shared" si="105"/>
        <v>MCSDESP4CPF - Desp. Moradia</v>
      </c>
      <c r="O432" s="44" t="str">
        <f t="shared" si="106"/>
        <v>DESP4CPF - Desp. Moradia</v>
      </c>
      <c r="P432" s="44" t="str">
        <f t="shared" si="107"/>
        <v>MCSDESP4CPF - Desp. Moradia</v>
      </c>
      <c r="Q432" s="44" t="str">
        <f t="shared" si="108"/>
        <v>MCSDESP4</v>
      </c>
      <c r="R432" s="44" t="str">
        <f t="shared" si="109"/>
        <v>MCSDESP4</v>
      </c>
      <c r="S432" s="38"/>
      <c r="T432" s="304">
        <f t="shared" si="110"/>
        <v>46143</v>
      </c>
      <c r="U432" s="304" t="str">
        <f t="shared" si="111"/>
        <v/>
      </c>
      <c r="V432" s="300" t="s">
        <v>761</v>
      </c>
    </row>
    <row r="433" spans="2:22" s="300" customFormat="1" x14ac:dyDescent="0.25">
      <c r="B433" s="301" t="s">
        <v>25</v>
      </c>
      <c r="C433" s="302"/>
      <c r="D433" s="86" t="str">
        <f>INDEX(Cad_Natureza!$B$3:$C$52,MATCH('2026'!F433,Cad_Natureza!$C$3:$C$52,0),MATCH('2026'!D$2,Cad_Natureza!$B$3:$C$3,0))</f>
        <v>GAST1</v>
      </c>
      <c r="E433" s="84" t="s">
        <v>1643</v>
      </c>
      <c r="F433" s="85" t="s">
        <v>742</v>
      </c>
      <c r="G433" s="86" t="s">
        <v>25</v>
      </c>
      <c r="H433" s="87">
        <v>46148</v>
      </c>
      <c r="I433" s="87"/>
      <c r="J433" s="79" t="s">
        <v>1590</v>
      </c>
      <c r="K433" s="62">
        <v>-39</v>
      </c>
      <c r="L433" s="62">
        <f t="shared" si="97"/>
        <v>48.590000000000913</v>
      </c>
      <c r="M433" s="302"/>
      <c r="N433" s="44" t="str">
        <f t="shared" si="105"/>
        <v>MCSGAST1CPF - Desp. Lazer e Entretenimento - Bares</v>
      </c>
      <c r="O433" s="44" t="str">
        <f t="shared" si="106"/>
        <v>GAST1CPF - Desp. Lazer e Entretenimento - Bares</v>
      </c>
      <c r="P433" s="44" t="str">
        <f t="shared" si="107"/>
        <v>MCSGAST1CPF - Desp. Lazer e Entretenimento - Bares</v>
      </c>
      <c r="Q433" s="44" t="str">
        <f t="shared" si="108"/>
        <v>MCSGAST1</v>
      </c>
      <c r="R433" s="44" t="str">
        <f t="shared" si="109"/>
        <v>MCSGAST1</v>
      </c>
      <c r="S433" s="38"/>
      <c r="T433" s="304">
        <f t="shared" si="110"/>
        <v>46143</v>
      </c>
      <c r="U433" s="304" t="str">
        <f t="shared" si="111"/>
        <v/>
      </c>
      <c r="V433" s="300" t="s">
        <v>761</v>
      </c>
    </row>
    <row r="434" spans="2:22" s="300" customFormat="1" x14ac:dyDescent="0.25">
      <c r="B434" s="301" t="s">
        <v>25</v>
      </c>
      <c r="C434" s="302"/>
      <c r="D434" s="86" t="str">
        <f>INDEX(Cad_Natureza!$B$3:$C$52,MATCH('2026'!F434,Cad_Natureza!$C$3:$C$52,0),MATCH('2026'!D$2,Cad_Natureza!$B$3:$C$3,0))</f>
        <v>OPF1</v>
      </c>
      <c r="E434" s="84" t="s">
        <v>1644</v>
      </c>
      <c r="F434" s="85" t="s">
        <v>744</v>
      </c>
      <c r="G434" s="86" t="s">
        <v>25</v>
      </c>
      <c r="H434" s="87">
        <v>46149</v>
      </c>
      <c r="I434" s="87"/>
      <c r="J434" s="79" t="s">
        <v>182</v>
      </c>
      <c r="K434" s="62">
        <v>-20</v>
      </c>
      <c r="L434" s="62">
        <f t="shared" si="97"/>
        <v>28.590000000000913</v>
      </c>
      <c r="M434" s="302"/>
      <c r="N434" s="44" t="str">
        <f t="shared" si="105"/>
        <v>MCSOPF1CPF - Desp. Alimentação / Refeição</v>
      </c>
      <c r="O434" s="44" t="str">
        <f t="shared" si="106"/>
        <v>OPF1CPF - Desp. Alimentação / Refeição</v>
      </c>
      <c r="P434" s="44" t="str">
        <f t="shared" si="107"/>
        <v>MCSOPF1CPF - Desp. Alimentação / Refeição</v>
      </c>
      <c r="Q434" s="44" t="str">
        <f t="shared" si="108"/>
        <v>MCSOPF1</v>
      </c>
      <c r="R434" s="44" t="str">
        <f t="shared" si="109"/>
        <v>MCSOPF1</v>
      </c>
      <c r="S434" s="38"/>
      <c r="T434" s="304">
        <f t="shared" si="110"/>
        <v>46143</v>
      </c>
      <c r="U434" s="304" t="str">
        <f t="shared" si="111"/>
        <v/>
      </c>
      <c r="V434" s="300" t="s">
        <v>761</v>
      </c>
    </row>
    <row r="435" spans="2:22" s="291" customFormat="1" x14ac:dyDescent="0.25">
      <c r="B435" s="288" t="s">
        <v>25</v>
      </c>
      <c r="C435" s="83"/>
      <c r="D435" s="63" t="str">
        <f>INDEX(Cad_Natureza!$B$3:$C$52,MATCH('2026'!F435,Cad_Natureza!$C$3:$C$52,0),MATCH('2026'!D$2,Cad_Natureza!$B$3:$C$3,0))</f>
        <v>REC4</v>
      </c>
      <c r="E435" s="64" t="s">
        <v>1645</v>
      </c>
      <c r="F435" s="65" t="s">
        <v>734</v>
      </c>
      <c r="G435" s="63" t="s">
        <v>25</v>
      </c>
      <c r="H435" s="66">
        <v>46149</v>
      </c>
      <c r="I435" s="66"/>
      <c r="J435" s="67" t="s">
        <v>183</v>
      </c>
      <c r="K435" s="68">
        <v>1000</v>
      </c>
      <c r="L435" s="68">
        <f t="shared" si="97"/>
        <v>1028.5900000000008</v>
      </c>
      <c r="M435" s="83"/>
      <c r="N435" s="44" t="str">
        <f t="shared" si="105"/>
        <v>MCSREC4CPF - Transf. Da conta PJ para a conta PF</v>
      </c>
      <c r="O435" s="44" t="str">
        <f t="shared" si="106"/>
        <v>REC4CPF - Transf. Da conta PJ para a conta PF</v>
      </c>
      <c r="P435" s="44" t="str">
        <f t="shared" si="107"/>
        <v>MCSREC4CPF - Transf. Da conta PJ para a conta PF</v>
      </c>
      <c r="Q435" s="44" t="str">
        <f t="shared" si="108"/>
        <v>MCSREC4</v>
      </c>
      <c r="R435" s="44" t="str">
        <f t="shared" si="109"/>
        <v>MCSREC4</v>
      </c>
      <c r="S435" s="38"/>
      <c r="T435" s="290">
        <f t="shared" si="110"/>
        <v>46143</v>
      </c>
      <c r="U435" s="290" t="str">
        <f t="shared" si="111"/>
        <v/>
      </c>
      <c r="V435" s="291" t="s">
        <v>761</v>
      </c>
    </row>
    <row r="436" spans="2:22" s="300" customFormat="1" x14ac:dyDescent="0.25">
      <c r="B436" s="301" t="s">
        <v>25</v>
      </c>
      <c r="C436" s="302"/>
      <c r="D436" s="86" t="str">
        <f>INDEX(Cad_Natureza!$B$3:$C$52,MATCH('2026'!F436,Cad_Natureza!$C$3:$C$52,0),MATCH('2026'!D$2,Cad_Natureza!$B$3:$C$3,0))</f>
        <v>GAST1</v>
      </c>
      <c r="E436" s="84" t="s">
        <v>1646</v>
      </c>
      <c r="F436" s="85" t="s">
        <v>742</v>
      </c>
      <c r="G436" s="86" t="s">
        <v>25</v>
      </c>
      <c r="H436" s="87">
        <v>46150</v>
      </c>
      <c r="I436" s="87"/>
      <c r="J436" s="79" t="s">
        <v>180</v>
      </c>
      <c r="K436" s="62">
        <v>-2</v>
      </c>
      <c r="L436" s="62">
        <f t="shared" si="97"/>
        <v>1026.5900000000008</v>
      </c>
      <c r="M436" s="302"/>
      <c r="N436" s="44" t="str">
        <f t="shared" si="105"/>
        <v>MCSGAST1CPF - Desp. Lazer e Entretenimento - Bares</v>
      </c>
      <c r="O436" s="44" t="str">
        <f t="shared" si="106"/>
        <v>GAST1CPF - Desp. Lazer e Entretenimento - Bares</v>
      </c>
      <c r="P436" s="44" t="str">
        <f t="shared" si="107"/>
        <v>MCSGAST1CPF - Desp. Lazer e Entretenimento - Bares</v>
      </c>
      <c r="Q436" s="44" t="str">
        <f t="shared" si="108"/>
        <v>MCSGAST1</v>
      </c>
      <c r="R436" s="44" t="str">
        <f t="shared" si="109"/>
        <v>MCSGAST1</v>
      </c>
      <c r="S436" s="38"/>
      <c r="T436" s="304">
        <f t="shared" si="110"/>
        <v>46143</v>
      </c>
      <c r="U436" s="304" t="str">
        <f t="shared" si="111"/>
        <v/>
      </c>
      <c r="V436" s="300" t="s">
        <v>761</v>
      </c>
    </row>
    <row r="437" spans="2:22" s="300" customFormat="1" x14ac:dyDescent="0.25">
      <c r="B437" s="301" t="s">
        <v>25</v>
      </c>
      <c r="C437" s="302"/>
      <c r="D437" s="86" t="str">
        <f>INDEX(Cad_Natureza!$B$3:$C$52,MATCH('2026'!F437,Cad_Natureza!$C$3:$C$52,0),MATCH('2026'!D$2,Cad_Natureza!$B$3:$C$3,0))</f>
        <v>OPF1</v>
      </c>
      <c r="E437" s="84" t="s">
        <v>1647</v>
      </c>
      <c r="F437" s="85" t="s">
        <v>744</v>
      </c>
      <c r="G437" s="86" t="s">
        <v>25</v>
      </c>
      <c r="H437" s="87">
        <v>46150</v>
      </c>
      <c r="I437" s="87"/>
      <c r="J437" s="79" t="s">
        <v>182</v>
      </c>
      <c r="K437" s="62">
        <v>-20</v>
      </c>
      <c r="L437" s="62">
        <f t="shared" si="97"/>
        <v>1006.5900000000008</v>
      </c>
      <c r="M437" s="302"/>
      <c r="N437" s="44" t="str">
        <f t="shared" si="105"/>
        <v>MCSOPF1CPF - Desp. Alimentação / Refeição</v>
      </c>
      <c r="O437" s="44" t="str">
        <f t="shared" si="106"/>
        <v>OPF1CPF - Desp. Alimentação / Refeição</v>
      </c>
      <c r="P437" s="44" t="str">
        <f t="shared" si="107"/>
        <v>MCSOPF1CPF - Desp. Alimentação / Refeição</v>
      </c>
      <c r="Q437" s="44" t="str">
        <f t="shared" si="108"/>
        <v>MCSOPF1</v>
      </c>
      <c r="R437" s="44" t="str">
        <f t="shared" si="109"/>
        <v>MCSOPF1</v>
      </c>
      <c r="S437" s="38"/>
      <c r="T437" s="304">
        <f t="shared" si="110"/>
        <v>46143</v>
      </c>
      <c r="U437" s="304" t="str">
        <f t="shared" si="111"/>
        <v/>
      </c>
      <c r="V437" s="300" t="s">
        <v>731</v>
      </c>
    </row>
    <row r="438" spans="2:22" s="291" customFormat="1" x14ac:dyDescent="0.25">
      <c r="B438" s="288" t="s">
        <v>25</v>
      </c>
      <c r="C438" s="83"/>
      <c r="D438" s="63" t="str">
        <f>INDEX(Cad_Natureza!$B$3:$C$52,MATCH('2026'!F438,Cad_Natureza!$C$3:$C$52,0),MATCH('2026'!D$2,Cad_Natureza!$B$3:$C$3,0))</f>
        <v>OPF1</v>
      </c>
      <c r="E438" s="64" t="s">
        <v>1648</v>
      </c>
      <c r="F438" s="65" t="s">
        <v>744</v>
      </c>
      <c r="G438" s="63" t="s">
        <v>25</v>
      </c>
      <c r="H438" s="66">
        <v>46150</v>
      </c>
      <c r="I438" s="66"/>
      <c r="J438" s="67" t="s">
        <v>1865</v>
      </c>
      <c r="K438" s="68">
        <v>20</v>
      </c>
      <c r="L438" s="68">
        <f t="shared" si="97"/>
        <v>1026.5900000000008</v>
      </c>
      <c r="M438" s="83"/>
      <c r="N438" s="44" t="str">
        <f t="shared" si="105"/>
        <v>MCSOPF1CPF - Desp. Alimentação / Refeição</v>
      </c>
      <c r="O438" s="44" t="str">
        <f t="shared" si="106"/>
        <v>OPF1CPF - Desp. Alimentação / Refeição</v>
      </c>
      <c r="P438" s="44" t="str">
        <f t="shared" si="107"/>
        <v>MCSOPF1CPF - Desp. Alimentação / Refeição</v>
      </c>
      <c r="Q438" s="44" t="str">
        <f t="shared" si="108"/>
        <v>MCSOPF1</v>
      </c>
      <c r="R438" s="44" t="str">
        <f t="shared" si="109"/>
        <v>MCSOPF1</v>
      </c>
      <c r="S438" s="38"/>
      <c r="T438" s="290">
        <f t="shared" si="110"/>
        <v>46143</v>
      </c>
      <c r="U438" s="290" t="str">
        <f t="shared" si="111"/>
        <v/>
      </c>
      <c r="V438" s="291" t="s">
        <v>731</v>
      </c>
    </row>
    <row r="439" spans="2:22" s="300" customFormat="1" x14ac:dyDescent="0.25">
      <c r="B439" s="301" t="s">
        <v>25</v>
      </c>
      <c r="C439" s="302"/>
      <c r="D439" s="86" t="str">
        <f>INDEX(Cad_Natureza!$B$3:$C$52,MATCH('2026'!F439,Cad_Natureza!$C$3:$C$52,0),MATCH('2026'!D$2,Cad_Natureza!$B$3:$C$3,0))</f>
        <v>GAST2</v>
      </c>
      <c r="E439" s="84" t="s">
        <v>1649</v>
      </c>
      <c r="F439" s="85" t="s">
        <v>743</v>
      </c>
      <c r="G439" s="86" t="s">
        <v>25</v>
      </c>
      <c r="H439" s="87">
        <v>46150</v>
      </c>
      <c r="I439" s="87"/>
      <c r="J439" s="79" t="s">
        <v>180</v>
      </c>
      <c r="K439" s="62">
        <v>-35</v>
      </c>
      <c r="L439" s="62">
        <f t="shared" si="97"/>
        <v>991.59000000000083</v>
      </c>
      <c r="M439" s="302"/>
      <c r="N439" s="44" t="str">
        <f t="shared" si="105"/>
        <v>MCSGAST2CPF - Desp. Lazer e Entretenimento - Cigarro</v>
      </c>
      <c r="O439" s="44" t="str">
        <f t="shared" si="106"/>
        <v>GAST2CPF - Desp. Lazer e Entretenimento - Cigarro</v>
      </c>
      <c r="P439" s="44" t="str">
        <f t="shared" si="107"/>
        <v>MCSGAST2CPF - Desp. Lazer e Entretenimento - Cigarro</v>
      </c>
      <c r="Q439" s="44" t="str">
        <f t="shared" si="108"/>
        <v>MCSGAST2</v>
      </c>
      <c r="R439" s="44" t="str">
        <f t="shared" si="109"/>
        <v>MCSGAST2</v>
      </c>
      <c r="S439" s="38"/>
      <c r="T439" s="304">
        <f t="shared" si="110"/>
        <v>46143</v>
      </c>
      <c r="U439" s="304" t="str">
        <f t="shared" si="111"/>
        <v/>
      </c>
      <c r="V439" s="300" t="s">
        <v>761</v>
      </c>
    </row>
    <row r="440" spans="2:22" s="300" customFormat="1" x14ac:dyDescent="0.25">
      <c r="B440" s="301" t="s">
        <v>25</v>
      </c>
      <c r="C440" s="302"/>
      <c r="D440" s="86" t="str">
        <f>INDEX(Cad_Natureza!$B$3:$C$52,MATCH('2026'!F440,Cad_Natureza!$C$3:$C$52,0),MATCH('2026'!D$2,Cad_Natureza!$B$3:$C$3,0))</f>
        <v>GAST1</v>
      </c>
      <c r="E440" s="84" t="s">
        <v>1650</v>
      </c>
      <c r="F440" s="85" t="s">
        <v>742</v>
      </c>
      <c r="G440" s="86" t="s">
        <v>25</v>
      </c>
      <c r="H440" s="87">
        <v>46150</v>
      </c>
      <c r="I440" s="87"/>
      <c r="J440" s="79" t="s">
        <v>1590</v>
      </c>
      <c r="K440" s="62">
        <v>-26</v>
      </c>
      <c r="L440" s="62">
        <f t="shared" si="97"/>
        <v>965.59000000000083</v>
      </c>
      <c r="M440" s="302"/>
      <c r="N440" s="44" t="str">
        <f t="shared" si="105"/>
        <v>MCSGAST1CPF - Desp. Lazer e Entretenimento - Bares</v>
      </c>
      <c r="O440" s="44" t="str">
        <f t="shared" si="106"/>
        <v>GAST1CPF - Desp. Lazer e Entretenimento - Bares</v>
      </c>
      <c r="P440" s="44" t="str">
        <f t="shared" si="107"/>
        <v>MCSGAST1CPF - Desp. Lazer e Entretenimento - Bares</v>
      </c>
      <c r="Q440" s="44" t="str">
        <f t="shared" si="108"/>
        <v>MCSGAST1</v>
      </c>
      <c r="R440" s="44" t="str">
        <f t="shared" si="109"/>
        <v>MCSGAST1</v>
      </c>
      <c r="S440" s="38"/>
      <c r="T440" s="304">
        <f t="shared" si="110"/>
        <v>46143</v>
      </c>
      <c r="U440" s="304" t="str">
        <f t="shared" si="111"/>
        <v/>
      </c>
      <c r="V440" s="300" t="s">
        <v>761</v>
      </c>
    </row>
    <row r="441" spans="2:22" s="291" customFormat="1" x14ac:dyDescent="0.25">
      <c r="B441" s="288" t="s">
        <v>25</v>
      </c>
      <c r="C441" s="83"/>
      <c r="D441" s="63" t="str">
        <f>INDEX(Cad_Natureza!$B$3:$C$52,MATCH('2026'!F441,Cad_Natureza!$C$3:$C$52,0),MATCH('2026'!D$2,Cad_Natureza!$B$3:$C$3,0))</f>
        <v>DESP3</v>
      </c>
      <c r="E441" s="64" t="s">
        <v>1651</v>
      </c>
      <c r="F441" s="65" t="s">
        <v>736</v>
      </c>
      <c r="G441" s="63" t="s">
        <v>25</v>
      </c>
      <c r="H441" s="66">
        <v>46153</v>
      </c>
      <c r="I441" s="66"/>
      <c r="J441" s="67" t="s">
        <v>1836</v>
      </c>
      <c r="K441" s="68">
        <v>150</v>
      </c>
      <c r="L441" s="68">
        <f t="shared" si="97"/>
        <v>1115.5900000000008</v>
      </c>
      <c r="M441" s="83"/>
      <c r="N441" s="44" t="str">
        <f t="shared" si="0"/>
        <v xml:space="preserve">MCSDESP3CPF - Desp. com veículo - Manut. / Gastos </v>
      </c>
      <c r="O441" s="44" t="str">
        <f t="shared" si="1"/>
        <v xml:space="preserve">DESP3CPF - Desp. com veículo - Manut. / Gastos </v>
      </c>
      <c r="P441" s="44" t="str">
        <f t="shared" si="2"/>
        <v xml:space="preserve">MCSDESP3CPF - Desp. com veículo - Manut. / Gastos </v>
      </c>
      <c r="Q441" s="44" t="str">
        <f t="shared" si="3"/>
        <v>MCSDESP3</v>
      </c>
      <c r="R441" s="44" t="str">
        <f t="shared" si="4"/>
        <v>MCSDESP3</v>
      </c>
      <c r="S441" s="38"/>
      <c r="T441" s="290">
        <f t="shared" si="5"/>
        <v>46143</v>
      </c>
      <c r="U441" s="290" t="str">
        <f t="shared" si="6"/>
        <v/>
      </c>
      <c r="V441" s="291" t="s">
        <v>761</v>
      </c>
    </row>
    <row r="442" spans="2:22" s="300" customFormat="1" x14ac:dyDescent="0.25">
      <c r="B442" s="301" t="s">
        <v>25</v>
      </c>
      <c r="C442" s="302"/>
      <c r="D442" s="86" t="str">
        <f>INDEX(Cad_Natureza!$B$3:$C$52,MATCH('2026'!F442,Cad_Natureza!$C$3:$C$52,0),MATCH('2026'!D$2,Cad_Natureza!$B$3:$C$3,0))</f>
        <v>PENS3</v>
      </c>
      <c r="E442" s="84" t="s">
        <v>558</v>
      </c>
      <c r="F442" s="85" t="s">
        <v>746</v>
      </c>
      <c r="G442" s="86" t="s">
        <v>25</v>
      </c>
      <c r="H442" s="87">
        <v>46153</v>
      </c>
      <c r="I442" s="87"/>
      <c r="J442" s="78" t="s">
        <v>1837</v>
      </c>
      <c r="K442" s="62">
        <v>-581.22</v>
      </c>
      <c r="L442" s="62">
        <f t="shared" si="97"/>
        <v>534.3700000000008</v>
      </c>
      <c r="M442" s="302"/>
      <c r="N442" s="44" t="str">
        <f t="shared" si="0"/>
        <v>MCSPENS3CPF - Pensão - Plano de saúde</v>
      </c>
      <c r="O442" s="44" t="str">
        <f t="shared" si="1"/>
        <v>PENS3CPF - Pensão - Plano de saúde</v>
      </c>
      <c r="P442" s="44" t="str">
        <f t="shared" si="2"/>
        <v>MCSPENS3CPF - Pensão - Plano de saúde</v>
      </c>
      <c r="Q442" s="44" t="str">
        <f t="shared" si="3"/>
        <v>MCSPENS3</v>
      </c>
      <c r="R442" s="44" t="str">
        <f t="shared" si="4"/>
        <v>MCSPENS3</v>
      </c>
      <c r="S442" s="38"/>
      <c r="T442" s="304">
        <f t="shared" si="5"/>
        <v>46143</v>
      </c>
      <c r="U442" s="304" t="str">
        <f t="shared" si="6"/>
        <v/>
      </c>
      <c r="V442" s="300" t="s">
        <v>761</v>
      </c>
    </row>
    <row r="443" spans="2:22" s="300" customFormat="1" x14ac:dyDescent="0.25">
      <c r="B443" s="301" t="s">
        <v>25</v>
      </c>
      <c r="C443" s="302"/>
      <c r="D443" s="86" t="str">
        <f>INDEX(Cad_Natureza!$B$3:$C$52,MATCH('2026'!F443,Cad_Natureza!$C$3:$C$52,0),MATCH('2026'!D$2,Cad_Natureza!$B$3:$C$3,0))</f>
        <v>DESP3</v>
      </c>
      <c r="E443" s="84" t="s">
        <v>1652</v>
      </c>
      <c r="F443" s="85" t="s">
        <v>736</v>
      </c>
      <c r="G443" s="86" t="s">
        <v>25</v>
      </c>
      <c r="H443" s="87">
        <v>46153</v>
      </c>
      <c r="I443" s="87"/>
      <c r="J443" s="79" t="s">
        <v>1839</v>
      </c>
      <c r="K443" s="62">
        <v>-200</v>
      </c>
      <c r="L443" s="62">
        <f t="shared" si="97"/>
        <v>334.3700000000008</v>
      </c>
      <c r="M443" s="302"/>
      <c r="N443" s="44" t="str">
        <f t="shared" si="0"/>
        <v xml:space="preserve">MCSDESP3CPF - Desp. com veículo - Manut. / Gastos </v>
      </c>
      <c r="O443" s="44" t="str">
        <f t="shared" si="1"/>
        <v xml:space="preserve">DESP3CPF - Desp. com veículo - Manut. / Gastos </v>
      </c>
      <c r="P443" s="44" t="str">
        <f t="shared" si="2"/>
        <v xml:space="preserve">MCSDESP3CPF - Desp. com veículo - Manut. / Gastos </v>
      </c>
      <c r="Q443" s="44" t="str">
        <f t="shared" si="3"/>
        <v>MCSDESP3</v>
      </c>
      <c r="R443" s="44" t="str">
        <f t="shared" si="4"/>
        <v>MCSDESP3</v>
      </c>
      <c r="S443" s="38"/>
      <c r="T443" s="304">
        <f t="shared" si="5"/>
        <v>46143</v>
      </c>
      <c r="U443" s="304" t="str">
        <f t="shared" si="6"/>
        <v/>
      </c>
      <c r="V443" s="300" t="s">
        <v>731</v>
      </c>
    </row>
    <row r="444" spans="2:22" s="300" customFormat="1" x14ac:dyDescent="0.25">
      <c r="B444" s="301" t="s">
        <v>25</v>
      </c>
      <c r="C444" s="302"/>
      <c r="D444" s="86" t="str">
        <f>INDEX(Cad_Natureza!$B$3:$C$52,MATCH('2026'!F444,Cad_Natureza!$C$3:$C$52,0),MATCH('2026'!D$2,Cad_Natureza!$B$3:$C$3,0))</f>
        <v>OPF1</v>
      </c>
      <c r="E444" s="84" t="s">
        <v>1653</v>
      </c>
      <c r="F444" s="85" t="s">
        <v>744</v>
      </c>
      <c r="G444" s="86" t="s">
        <v>25</v>
      </c>
      <c r="H444" s="87">
        <v>46153</v>
      </c>
      <c r="I444" s="87"/>
      <c r="J444" s="79" t="s">
        <v>457</v>
      </c>
      <c r="K444" s="62">
        <v>-7</v>
      </c>
      <c r="L444" s="62">
        <f t="shared" si="97"/>
        <v>327.3700000000008</v>
      </c>
      <c r="M444" s="302"/>
      <c r="N444" s="44" t="str">
        <f t="shared" si="0"/>
        <v>MCSOPF1CPF - Desp. Alimentação / Refeição</v>
      </c>
      <c r="O444" s="44" t="str">
        <f t="shared" si="1"/>
        <v>OPF1CPF - Desp. Alimentação / Refeição</v>
      </c>
      <c r="P444" s="44" t="str">
        <f t="shared" si="2"/>
        <v>MCSOPF1CPF - Desp. Alimentação / Refeição</v>
      </c>
      <c r="Q444" s="44" t="str">
        <f t="shared" si="3"/>
        <v>MCSOPF1</v>
      </c>
      <c r="R444" s="44" t="str">
        <f t="shared" si="4"/>
        <v>MCSOPF1</v>
      </c>
      <c r="S444" s="38"/>
      <c r="T444" s="304">
        <f t="shared" si="5"/>
        <v>46143</v>
      </c>
      <c r="U444" s="304" t="str">
        <f t="shared" si="6"/>
        <v/>
      </c>
      <c r="V444" s="300" t="s">
        <v>731</v>
      </c>
    </row>
    <row r="445" spans="2:22" s="300" customFormat="1" x14ac:dyDescent="0.25">
      <c r="B445" s="301" t="s">
        <v>25</v>
      </c>
      <c r="C445" s="302"/>
      <c r="D445" s="86" t="str">
        <f>INDEX(Cad_Natureza!$B$3:$C$52,MATCH('2026'!F445,Cad_Natureza!$C$3:$C$52,0),MATCH('2026'!D$2,Cad_Natureza!$B$3:$C$3,0))</f>
        <v>DESP3</v>
      </c>
      <c r="E445" s="84" t="s">
        <v>1654</v>
      </c>
      <c r="F445" s="85" t="s">
        <v>736</v>
      </c>
      <c r="G445" s="86" t="s">
        <v>25</v>
      </c>
      <c r="H445" s="87">
        <v>46153</v>
      </c>
      <c r="I445" s="87"/>
      <c r="J445" s="79" t="s">
        <v>1840</v>
      </c>
      <c r="K445" s="62">
        <v>-60</v>
      </c>
      <c r="L445" s="62">
        <f t="shared" si="97"/>
        <v>267.3700000000008</v>
      </c>
      <c r="M445" s="302"/>
      <c r="N445" s="44" t="str">
        <f t="shared" si="0"/>
        <v xml:space="preserve">MCSDESP3CPF - Desp. com veículo - Manut. / Gastos </v>
      </c>
      <c r="O445" s="44" t="str">
        <f t="shared" si="1"/>
        <v xml:space="preserve">DESP3CPF - Desp. com veículo - Manut. / Gastos </v>
      </c>
      <c r="P445" s="44" t="str">
        <f t="shared" si="2"/>
        <v xml:space="preserve">MCSDESP3CPF - Desp. com veículo - Manut. / Gastos </v>
      </c>
      <c r="Q445" s="44" t="str">
        <f t="shared" si="3"/>
        <v>MCSDESP3</v>
      </c>
      <c r="R445" s="44" t="str">
        <f t="shared" si="4"/>
        <v>MCSDESP3</v>
      </c>
      <c r="S445" s="38"/>
      <c r="T445" s="304">
        <f t="shared" si="5"/>
        <v>46143</v>
      </c>
      <c r="U445" s="304" t="str">
        <f t="shared" si="6"/>
        <v/>
      </c>
      <c r="V445" s="300" t="s">
        <v>761</v>
      </c>
    </row>
    <row r="446" spans="2:22" s="300" customFormat="1" x14ac:dyDescent="0.25">
      <c r="B446" s="301" t="s">
        <v>25</v>
      </c>
      <c r="C446" s="302"/>
      <c r="D446" s="86" t="str">
        <f>INDEX(Cad_Natureza!$B$3:$C$52,MATCH('2026'!F446,Cad_Natureza!$C$3:$C$52,0),MATCH('2026'!D$2,Cad_Natureza!$B$3:$C$3,0))</f>
        <v>DESP4</v>
      </c>
      <c r="E446" s="84" t="s">
        <v>1655</v>
      </c>
      <c r="F446" s="85" t="s">
        <v>753</v>
      </c>
      <c r="G446" s="86" t="s">
        <v>25</v>
      </c>
      <c r="H446" s="87">
        <v>46153</v>
      </c>
      <c r="I446" s="87"/>
      <c r="J446" s="79" t="s">
        <v>1841</v>
      </c>
      <c r="K446" s="62">
        <v>-17.489999999999998</v>
      </c>
      <c r="L446" s="62">
        <f t="shared" si="97"/>
        <v>249.88000000000079</v>
      </c>
      <c r="M446" s="302"/>
      <c r="N446" s="44" t="str">
        <f t="shared" si="0"/>
        <v>MCSDESP4CPF - Desp. Moradia</v>
      </c>
      <c r="O446" s="44" t="str">
        <f t="shared" si="1"/>
        <v>DESP4CPF - Desp. Moradia</v>
      </c>
      <c r="P446" s="44" t="str">
        <f t="shared" si="2"/>
        <v>MCSDESP4CPF - Desp. Moradia</v>
      </c>
      <c r="Q446" s="44" t="str">
        <f t="shared" si="3"/>
        <v>MCSDESP4</v>
      </c>
      <c r="R446" s="44" t="str">
        <f t="shared" si="4"/>
        <v>MCSDESP4</v>
      </c>
      <c r="S446" s="38"/>
      <c r="T446" s="304">
        <f t="shared" si="5"/>
        <v>46143</v>
      </c>
      <c r="U446" s="304" t="str">
        <f t="shared" si="6"/>
        <v/>
      </c>
      <c r="V446" s="300" t="s">
        <v>761</v>
      </c>
    </row>
    <row r="447" spans="2:22" s="300" customFormat="1" x14ac:dyDescent="0.25">
      <c r="B447" s="301" t="s">
        <v>25</v>
      </c>
      <c r="C447" s="302"/>
      <c r="D447" s="86" t="str">
        <f>INDEX(Cad_Natureza!$B$3:$C$52,MATCH('2026'!F447,Cad_Natureza!$C$3:$C$52,0),MATCH('2026'!D$2,Cad_Natureza!$B$3:$C$3,0))</f>
        <v>GAST1</v>
      </c>
      <c r="E447" s="84" t="s">
        <v>1656</v>
      </c>
      <c r="F447" s="85" t="s">
        <v>742</v>
      </c>
      <c r="G447" s="86" t="s">
        <v>25</v>
      </c>
      <c r="H447" s="87">
        <v>46153</v>
      </c>
      <c r="I447" s="87"/>
      <c r="J447" s="79" t="s">
        <v>185</v>
      </c>
      <c r="K447" s="62">
        <v>-6.5</v>
      </c>
      <c r="L447" s="62">
        <f t="shared" si="97"/>
        <v>243.38000000000079</v>
      </c>
      <c r="M447" s="302"/>
      <c r="N447" s="44" t="str">
        <f t="shared" si="0"/>
        <v>MCSGAST1CPF - Desp. Lazer e Entretenimento - Bares</v>
      </c>
      <c r="O447" s="44" t="str">
        <f t="shared" si="1"/>
        <v>GAST1CPF - Desp. Lazer e Entretenimento - Bares</v>
      </c>
      <c r="P447" s="44" t="str">
        <f t="shared" si="2"/>
        <v>MCSGAST1CPF - Desp. Lazer e Entretenimento - Bares</v>
      </c>
      <c r="Q447" s="44" t="str">
        <f t="shared" si="3"/>
        <v>MCSGAST1</v>
      </c>
      <c r="R447" s="44" t="str">
        <f t="shared" si="4"/>
        <v>MCSGAST1</v>
      </c>
      <c r="S447" s="38"/>
      <c r="T447" s="304">
        <f t="shared" si="5"/>
        <v>46143</v>
      </c>
      <c r="U447" s="304" t="str">
        <f t="shared" si="6"/>
        <v/>
      </c>
      <c r="V447" s="300" t="s">
        <v>761</v>
      </c>
    </row>
    <row r="448" spans="2:22" s="300" customFormat="1" x14ac:dyDescent="0.25">
      <c r="B448" s="301" t="s">
        <v>25</v>
      </c>
      <c r="C448" s="302"/>
      <c r="D448" s="86" t="str">
        <f>INDEX(Cad_Natureza!$B$3:$C$52,MATCH('2026'!F448,Cad_Natureza!$C$3:$C$52,0),MATCH('2026'!D$2,Cad_Natureza!$B$3:$C$3,0))</f>
        <v>GAST1</v>
      </c>
      <c r="E448" s="84" t="s">
        <v>1657</v>
      </c>
      <c r="F448" s="85" t="s">
        <v>742</v>
      </c>
      <c r="G448" s="86" t="s">
        <v>25</v>
      </c>
      <c r="H448" s="87">
        <v>46153</v>
      </c>
      <c r="I448" s="87"/>
      <c r="J448" s="79" t="s">
        <v>185</v>
      </c>
      <c r="K448" s="62">
        <v>-15</v>
      </c>
      <c r="L448" s="62">
        <f t="shared" si="97"/>
        <v>228.38000000000079</v>
      </c>
      <c r="M448" s="302"/>
      <c r="N448" s="44" t="str">
        <f t="shared" si="0"/>
        <v>MCSGAST1CPF - Desp. Lazer e Entretenimento - Bares</v>
      </c>
      <c r="O448" s="44" t="str">
        <f t="shared" si="1"/>
        <v>GAST1CPF - Desp. Lazer e Entretenimento - Bares</v>
      </c>
      <c r="P448" s="44" t="str">
        <f t="shared" si="2"/>
        <v>MCSGAST1CPF - Desp. Lazer e Entretenimento - Bares</v>
      </c>
      <c r="Q448" s="44" t="str">
        <f t="shared" si="3"/>
        <v>MCSGAST1</v>
      </c>
      <c r="R448" s="44" t="str">
        <f t="shared" si="4"/>
        <v>MCSGAST1</v>
      </c>
      <c r="S448" s="38"/>
      <c r="T448" s="304">
        <f t="shared" si="5"/>
        <v>46143</v>
      </c>
      <c r="U448" s="304" t="str">
        <f t="shared" si="6"/>
        <v/>
      </c>
      <c r="V448" s="300" t="s">
        <v>761</v>
      </c>
    </row>
    <row r="449" spans="2:22" s="300" customFormat="1" x14ac:dyDescent="0.25">
      <c r="B449" s="301" t="s">
        <v>25</v>
      </c>
      <c r="C449" s="302"/>
      <c r="D449" s="86" t="str">
        <f>INDEX(Cad_Natureza!$B$3:$C$52,MATCH('2026'!F449,Cad_Natureza!$C$3:$C$52,0),MATCH('2026'!D$2,Cad_Natureza!$B$3:$C$3,0))</f>
        <v>GAST1</v>
      </c>
      <c r="E449" s="84" t="s">
        <v>1657</v>
      </c>
      <c r="F449" s="85" t="s">
        <v>742</v>
      </c>
      <c r="G449" s="86" t="s">
        <v>25</v>
      </c>
      <c r="H449" s="87">
        <v>46153</v>
      </c>
      <c r="I449" s="87"/>
      <c r="J449" s="79" t="s">
        <v>185</v>
      </c>
      <c r="K449" s="62">
        <v>-6</v>
      </c>
      <c r="L449" s="62">
        <f t="shared" si="97"/>
        <v>222.38000000000079</v>
      </c>
      <c r="M449" s="302"/>
      <c r="N449" s="44" t="str">
        <f t="shared" si="0"/>
        <v>MCSGAST1CPF - Desp. Lazer e Entretenimento - Bares</v>
      </c>
      <c r="O449" s="44" t="str">
        <f t="shared" si="1"/>
        <v>GAST1CPF - Desp. Lazer e Entretenimento - Bares</v>
      </c>
      <c r="P449" s="44" t="str">
        <f t="shared" si="2"/>
        <v>MCSGAST1CPF - Desp. Lazer e Entretenimento - Bares</v>
      </c>
      <c r="Q449" s="44" t="str">
        <f t="shared" si="3"/>
        <v>MCSGAST1</v>
      </c>
      <c r="R449" s="44" t="str">
        <f t="shared" si="4"/>
        <v>MCSGAST1</v>
      </c>
      <c r="S449" s="38"/>
      <c r="T449" s="304">
        <f t="shared" si="5"/>
        <v>46143</v>
      </c>
      <c r="U449" s="304" t="str">
        <f t="shared" si="6"/>
        <v/>
      </c>
      <c r="V449" s="300" t="s">
        <v>761</v>
      </c>
    </row>
    <row r="450" spans="2:22" s="300" customFormat="1" x14ac:dyDescent="0.25">
      <c r="B450" s="301" t="s">
        <v>25</v>
      </c>
      <c r="C450" s="302"/>
      <c r="D450" s="86" t="str">
        <f>INDEX(Cad_Natureza!$B$3:$C$52,MATCH('2026'!F450,Cad_Natureza!$C$3:$C$52,0),MATCH('2026'!D$2,Cad_Natureza!$B$3:$C$3,0))</f>
        <v>GAST1</v>
      </c>
      <c r="E450" s="84" t="s">
        <v>1658</v>
      </c>
      <c r="F450" s="85" t="s">
        <v>742</v>
      </c>
      <c r="G450" s="86" t="s">
        <v>25</v>
      </c>
      <c r="H450" s="87">
        <v>46153</v>
      </c>
      <c r="I450" s="87"/>
      <c r="J450" s="79" t="s">
        <v>185</v>
      </c>
      <c r="K450" s="62">
        <v>-15</v>
      </c>
      <c r="L450" s="62">
        <f t="shared" si="97"/>
        <v>207.38000000000079</v>
      </c>
      <c r="M450" s="302"/>
      <c r="N450" s="44" t="str">
        <f t="shared" si="0"/>
        <v>MCSGAST1CPF - Desp. Lazer e Entretenimento - Bares</v>
      </c>
      <c r="O450" s="44" t="str">
        <f t="shared" si="1"/>
        <v>GAST1CPF - Desp. Lazer e Entretenimento - Bares</v>
      </c>
      <c r="P450" s="44" t="str">
        <f t="shared" si="2"/>
        <v>MCSGAST1CPF - Desp. Lazer e Entretenimento - Bares</v>
      </c>
      <c r="Q450" s="44" t="str">
        <f t="shared" si="3"/>
        <v>MCSGAST1</v>
      </c>
      <c r="R450" s="44" t="str">
        <f t="shared" si="4"/>
        <v>MCSGAST1</v>
      </c>
      <c r="S450" s="38"/>
      <c r="T450" s="304">
        <f t="shared" si="5"/>
        <v>46143</v>
      </c>
      <c r="U450" s="304" t="str">
        <f t="shared" si="6"/>
        <v/>
      </c>
      <c r="V450" s="300" t="s">
        <v>731</v>
      </c>
    </row>
    <row r="451" spans="2:22" s="300" customFormat="1" x14ac:dyDescent="0.25">
      <c r="B451" s="301" t="s">
        <v>25</v>
      </c>
      <c r="C451" s="302"/>
      <c r="D451" s="86" t="str">
        <f>INDEX(Cad_Natureza!$B$3:$C$52,MATCH('2026'!F451,Cad_Natureza!$C$3:$C$52,0),MATCH('2026'!D$2,Cad_Natureza!$B$3:$C$3,0))</f>
        <v>GAST1</v>
      </c>
      <c r="E451" s="84" t="s">
        <v>1658</v>
      </c>
      <c r="F451" s="85" t="s">
        <v>742</v>
      </c>
      <c r="G451" s="86" t="s">
        <v>25</v>
      </c>
      <c r="H451" s="87">
        <v>46153</v>
      </c>
      <c r="I451" s="87"/>
      <c r="J451" s="79" t="s">
        <v>185</v>
      </c>
      <c r="K451" s="62">
        <v>-10</v>
      </c>
      <c r="L451" s="62">
        <f t="shared" si="97"/>
        <v>197.38000000000079</v>
      </c>
      <c r="M451" s="302"/>
      <c r="N451" s="44" t="str">
        <f t="shared" si="0"/>
        <v>MCSGAST1CPF - Desp. Lazer e Entretenimento - Bares</v>
      </c>
      <c r="O451" s="44" t="str">
        <f t="shared" si="1"/>
        <v>GAST1CPF - Desp. Lazer e Entretenimento - Bares</v>
      </c>
      <c r="P451" s="44" t="str">
        <f t="shared" si="2"/>
        <v>MCSGAST1CPF - Desp. Lazer e Entretenimento - Bares</v>
      </c>
      <c r="Q451" s="44" t="str">
        <f t="shared" si="3"/>
        <v>MCSGAST1</v>
      </c>
      <c r="R451" s="44" t="str">
        <f t="shared" si="4"/>
        <v>MCSGAST1</v>
      </c>
      <c r="S451" s="38"/>
      <c r="T451" s="304">
        <f t="shared" si="5"/>
        <v>46143</v>
      </c>
      <c r="U451" s="304" t="str">
        <f t="shared" si="6"/>
        <v/>
      </c>
      <c r="V451" s="300" t="s">
        <v>731</v>
      </c>
    </row>
    <row r="452" spans="2:22" s="300" customFormat="1" x14ac:dyDescent="0.25">
      <c r="B452" s="301" t="s">
        <v>25</v>
      </c>
      <c r="C452" s="302"/>
      <c r="D452" s="86" t="str">
        <f>INDEX(Cad_Natureza!$B$3:$C$52,MATCH('2026'!F452,Cad_Natureza!$C$3:$C$52,0),MATCH('2026'!D$2,Cad_Natureza!$B$3:$C$3,0))</f>
        <v>PENS6</v>
      </c>
      <c r="E452" s="84" t="s">
        <v>1659</v>
      </c>
      <c r="F452" s="306" t="s">
        <v>37</v>
      </c>
      <c r="G452" s="86" t="s">
        <v>25</v>
      </c>
      <c r="H452" s="87">
        <v>46153</v>
      </c>
      <c r="I452" s="87"/>
      <c r="J452" s="78" t="s">
        <v>1842</v>
      </c>
      <c r="K452" s="62">
        <v>-140.54</v>
      </c>
      <c r="L452" s="62">
        <f t="shared" ref="L452:L515" si="112">L451+K452</f>
        <v>56.840000000000799</v>
      </c>
      <c r="M452" s="302"/>
      <c r="N452" s="44" t="str">
        <f t="shared" si="0"/>
        <v>MCSPENS6CPF - Pensão - Farmácia e Saúde</v>
      </c>
      <c r="O452" s="44" t="str">
        <f t="shared" si="1"/>
        <v>PENS6CPF - Pensão - Farmácia e Saúde</v>
      </c>
      <c r="P452" s="44" t="str">
        <f t="shared" si="2"/>
        <v>MCSPENS6CPF - Pensão - Farmácia e Saúde</v>
      </c>
      <c r="Q452" s="44" t="str">
        <f t="shared" si="3"/>
        <v>MCSPENS6</v>
      </c>
      <c r="R452" s="44" t="str">
        <f t="shared" si="4"/>
        <v>MCSPENS6</v>
      </c>
      <c r="S452" s="38"/>
      <c r="T452" s="304">
        <f t="shared" si="5"/>
        <v>46143</v>
      </c>
      <c r="U452" s="304" t="str">
        <f t="shared" si="6"/>
        <v/>
      </c>
      <c r="V452" s="300" t="s">
        <v>761</v>
      </c>
    </row>
    <row r="453" spans="2:22" s="291" customFormat="1" x14ac:dyDescent="0.25">
      <c r="B453" s="288" t="s">
        <v>25</v>
      </c>
      <c r="C453" s="83"/>
      <c r="D453" s="63" t="str">
        <f>INDEX(Cad_Natureza!$B$3:$C$52,MATCH('2026'!F453,Cad_Natureza!$C$3:$C$52,0),MATCH('2026'!D$2,Cad_Natureza!$B$3:$C$3,0))</f>
        <v>REC4</v>
      </c>
      <c r="E453" s="64" t="s">
        <v>1660</v>
      </c>
      <c r="F453" s="65" t="s">
        <v>734</v>
      </c>
      <c r="G453" s="63" t="s">
        <v>25</v>
      </c>
      <c r="H453" s="66">
        <v>46153</v>
      </c>
      <c r="I453" s="66"/>
      <c r="J453" s="67" t="s">
        <v>183</v>
      </c>
      <c r="K453" s="68">
        <v>1000</v>
      </c>
      <c r="L453" s="68">
        <f t="shared" si="112"/>
        <v>1056.8400000000008</v>
      </c>
      <c r="M453" s="83"/>
      <c r="N453" s="44" t="str">
        <f t="shared" si="0"/>
        <v>MCSREC4CPF - Transf. Da conta PJ para a conta PF</v>
      </c>
      <c r="O453" s="44" t="str">
        <f t="shared" si="1"/>
        <v>REC4CPF - Transf. Da conta PJ para a conta PF</v>
      </c>
      <c r="P453" s="44" t="str">
        <f t="shared" si="2"/>
        <v>MCSREC4CPF - Transf. Da conta PJ para a conta PF</v>
      </c>
      <c r="Q453" s="44" t="str">
        <f t="shared" si="3"/>
        <v>MCSREC4</v>
      </c>
      <c r="R453" s="44" t="str">
        <f t="shared" si="4"/>
        <v>MCSREC4</v>
      </c>
      <c r="S453" s="38"/>
      <c r="T453" s="290">
        <f t="shared" si="5"/>
        <v>46143</v>
      </c>
      <c r="U453" s="290" t="str">
        <f t="shared" si="6"/>
        <v/>
      </c>
      <c r="V453" s="291" t="s">
        <v>761</v>
      </c>
    </row>
    <row r="454" spans="2:22" s="300" customFormat="1" x14ac:dyDescent="0.25">
      <c r="B454" s="301" t="s">
        <v>25</v>
      </c>
      <c r="C454" s="302"/>
      <c r="D454" s="86" t="str">
        <f>INDEX(Cad_Natureza!$B$3:$C$52,MATCH('2026'!F454,Cad_Natureza!$C$3:$C$52,0),MATCH('2026'!D$2,Cad_Natureza!$B$3:$C$3,0))</f>
        <v>DESP4</v>
      </c>
      <c r="E454" s="84" t="s">
        <v>1661</v>
      </c>
      <c r="F454" s="85" t="s">
        <v>753</v>
      </c>
      <c r="G454" s="86" t="s">
        <v>25</v>
      </c>
      <c r="H454" s="87">
        <v>46153</v>
      </c>
      <c r="I454" s="87"/>
      <c r="J454" s="79" t="s">
        <v>1330</v>
      </c>
      <c r="K454" s="62">
        <v>-300</v>
      </c>
      <c r="L454" s="62">
        <f t="shared" si="112"/>
        <v>756.84000000000083</v>
      </c>
      <c r="M454" s="302"/>
      <c r="N454" s="44" t="str">
        <f t="shared" si="0"/>
        <v>MCSDESP4CPF - Desp. Moradia</v>
      </c>
      <c r="O454" s="44" t="str">
        <f t="shared" si="1"/>
        <v>DESP4CPF - Desp. Moradia</v>
      </c>
      <c r="P454" s="44" t="str">
        <f t="shared" si="2"/>
        <v>MCSDESP4CPF - Desp. Moradia</v>
      </c>
      <c r="Q454" s="44" t="str">
        <f t="shared" si="3"/>
        <v>MCSDESP4</v>
      </c>
      <c r="R454" s="44" t="str">
        <f t="shared" si="4"/>
        <v>MCSDESP4</v>
      </c>
      <c r="S454" s="38"/>
      <c r="T454" s="304">
        <f t="shared" si="5"/>
        <v>46143</v>
      </c>
      <c r="U454" s="304" t="str">
        <f t="shared" si="6"/>
        <v/>
      </c>
      <c r="V454" s="300" t="s">
        <v>761</v>
      </c>
    </row>
    <row r="455" spans="2:22" s="300" customFormat="1" x14ac:dyDescent="0.25">
      <c r="B455" s="301" t="s">
        <v>25</v>
      </c>
      <c r="C455" s="302"/>
      <c r="D455" s="86" t="str">
        <f>INDEX(Cad_Natureza!$B$3:$C$52,MATCH('2026'!F455,Cad_Natureza!$C$3:$C$52,0),MATCH('2026'!D$2,Cad_Natureza!$B$3:$C$3,0))</f>
        <v>PENS6</v>
      </c>
      <c r="E455" s="84" t="s">
        <v>1662</v>
      </c>
      <c r="F455" s="85" t="s">
        <v>37</v>
      </c>
      <c r="G455" s="86" t="s">
        <v>25</v>
      </c>
      <c r="H455" s="87">
        <v>46153</v>
      </c>
      <c r="I455" s="87"/>
      <c r="J455" s="78" t="s">
        <v>568</v>
      </c>
      <c r="K455" s="62">
        <v>-45.98</v>
      </c>
      <c r="L455" s="62">
        <f t="shared" si="112"/>
        <v>710.86000000000081</v>
      </c>
      <c r="M455" s="302"/>
      <c r="N455" s="44" t="str">
        <f t="shared" si="0"/>
        <v>MCSPENS6CPF - Pensão - Farmácia e Saúde</v>
      </c>
      <c r="O455" s="44" t="str">
        <f t="shared" si="1"/>
        <v>PENS6CPF - Pensão - Farmácia e Saúde</v>
      </c>
      <c r="P455" s="44" t="str">
        <f t="shared" si="2"/>
        <v>MCSPENS6CPF - Pensão - Farmácia e Saúde</v>
      </c>
      <c r="Q455" s="44" t="str">
        <f t="shared" si="3"/>
        <v>MCSPENS6</v>
      </c>
      <c r="R455" s="44" t="str">
        <f t="shared" si="4"/>
        <v>MCSPENS6</v>
      </c>
      <c r="S455" s="38"/>
      <c r="T455" s="304">
        <f t="shared" si="5"/>
        <v>46143</v>
      </c>
      <c r="U455" s="304" t="str">
        <f t="shared" si="6"/>
        <v/>
      </c>
      <c r="V455" s="300" t="s">
        <v>761</v>
      </c>
    </row>
    <row r="456" spans="2:22" s="300" customFormat="1" x14ac:dyDescent="0.25">
      <c r="B456" s="301" t="s">
        <v>25</v>
      </c>
      <c r="C456" s="302"/>
      <c r="D456" s="86" t="str">
        <f>INDEX(Cad_Natureza!$B$3:$C$52,MATCH('2026'!F456,Cad_Natureza!$C$3:$C$52,0),MATCH('2026'!D$2,Cad_Natureza!$B$3:$C$3,0))</f>
        <v>DESP4</v>
      </c>
      <c r="E456" s="84" t="s">
        <v>1663</v>
      </c>
      <c r="F456" s="85" t="s">
        <v>753</v>
      </c>
      <c r="G456" s="86" t="s">
        <v>25</v>
      </c>
      <c r="H456" s="87">
        <v>46153</v>
      </c>
      <c r="I456" s="87"/>
      <c r="J456" s="79" t="s">
        <v>1841</v>
      </c>
      <c r="K456" s="62">
        <v>-28</v>
      </c>
      <c r="L456" s="62">
        <f t="shared" si="112"/>
        <v>682.86000000000081</v>
      </c>
      <c r="M456" s="302"/>
      <c r="N456" s="44" t="str">
        <f t="shared" si="0"/>
        <v>MCSDESP4CPF - Desp. Moradia</v>
      </c>
      <c r="O456" s="44" t="str">
        <f t="shared" si="1"/>
        <v>DESP4CPF - Desp. Moradia</v>
      </c>
      <c r="P456" s="44" t="str">
        <f t="shared" si="2"/>
        <v>MCSDESP4CPF - Desp. Moradia</v>
      </c>
      <c r="Q456" s="44" t="str">
        <f t="shared" si="3"/>
        <v>MCSDESP4</v>
      </c>
      <c r="R456" s="44" t="str">
        <f t="shared" si="4"/>
        <v>MCSDESP4</v>
      </c>
      <c r="S456" s="38"/>
      <c r="T456" s="304">
        <f t="shared" si="5"/>
        <v>46143</v>
      </c>
      <c r="U456" s="304" t="str">
        <f t="shared" si="6"/>
        <v/>
      </c>
      <c r="V456" s="300" t="s">
        <v>761</v>
      </c>
    </row>
    <row r="457" spans="2:22" s="300" customFormat="1" x14ac:dyDescent="0.25">
      <c r="B457" s="301" t="s">
        <v>25</v>
      </c>
      <c r="C457" s="302"/>
      <c r="D457" s="86" t="str">
        <f>INDEX(Cad_Natureza!$B$3:$C$52,MATCH('2026'!F457,Cad_Natureza!$C$3:$C$52,0),MATCH('2026'!D$2,Cad_Natureza!$B$3:$C$3,0))</f>
        <v>OPF2</v>
      </c>
      <c r="E457" s="84" t="s">
        <v>1664</v>
      </c>
      <c r="F457" s="85" t="s">
        <v>741</v>
      </c>
      <c r="G457" s="86" t="s">
        <v>25</v>
      </c>
      <c r="H457" s="87">
        <v>46153</v>
      </c>
      <c r="I457" s="87"/>
      <c r="J457" s="79" t="s">
        <v>184</v>
      </c>
      <c r="K457" s="62">
        <v>-80</v>
      </c>
      <c r="L457" s="62">
        <f t="shared" si="112"/>
        <v>602.86000000000081</v>
      </c>
      <c r="M457" s="302"/>
      <c r="N457" s="44" t="str">
        <f t="shared" si="0"/>
        <v>MCSOPF2CPF - Desp. Transporte / Combustível</v>
      </c>
      <c r="O457" s="44" t="str">
        <f t="shared" si="1"/>
        <v>OPF2CPF - Desp. Transporte / Combustível</v>
      </c>
      <c r="P457" s="44" t="str">
        <f t="shared" si="2"/>
        <v>MCSOPF2CPF - Desp. Transporte / Combustível</v>
      </c>
      <c r="Q457" s="44" t="str">
        <f t="shared" si="3"/>
        <v>MCSOPF2</v>
      </c>
      <c r="R457" s="44" t="str">
        <f t="shared" si="4"/>
        <v>MCSOPF2</v>
      </c>
      <c r="S457" s="38"/>
      <c r="T457" s="304">
        <f t="shared" si="5"/>
        <v>46143</v>
      </c>
      <c r="U457" s="304" t="str">
        <f t="shared" si="6"/>
        <v/>
      </c>
      <c r="V457" s="300" t="s">
        <v>731</v>
      </c>
    </row>
    <row r="458" spans="2:22" s="300" customFormat="1" x14ac:dyDescent="0.25">
      <c r="B458" s="301" t="s">
        <v>25</v>
      </c>
      <c r="C458" s="302"/>
      <c r="D458" s="86" t="str">
        <f>INDEX(Cad_Natureza!$B$3:$C$52,MATCH('2026'!F458,Cad_Natureza!$C$3:$C$52,0),MATCH('2026'!D$2,Cad_Natureza!$B$3:$C$3,0))</f>
        <v>FIN3</v>
      </c>
      <c r="E458" s="84" t="s">
        <v>1665</v>
      </c>
      <c r="F458" s="85" t="s">
        <v>939</v>
      </c>
      <c r="G458" s="86" t="s">
        <v>25</v>
      </c>
      <c r="H458" s="87">
        <v>46153</v>
      </c>
      <c r="I458" s="87"/>
      <c r="J458" s="79" t="s">
        <v>572</v>
      </c>
      <c r="K458" s="62">
        <v>-290.26</v>
      </c>
      <c r="L458" s="62">
        <f t="shared" si="112"/>
        <v>312.60000000000082</v>
      </c>
      <c r="M458" s="302"/>
      <c r="N458" s="44" t="str">
        <f t="shared" si="0"/>
        <v>MCSFIN3CPF - Desp. Financeiras - Empréstimos bancários</v>
      </c>
      <c r="O458" s="44" t="str">
        <f t="shared" si="1"/>
        <v>FIN3CPF - Desp. Financeiras - Empréstimos bancários</v>
      </c>
      <c r="P458" s="44" t="str">
        <f t="shared" si="2"/>
        <v>MCSFIN3CPF - Desp. Financeiras - Empréstimos bancários</v>
      </c>
      <c r="Q458" s="44" t="str">
        <f t="shared" si="3"/>
        <v>MCSFIN3</v>
      </c>
      <c r="R458" s="44" t="str">
        <f t="shared" si="4"/>
        <v>MCSFIN3</v>
      </c>
      <c r="S458" s="38"/>
      <c r="T458" s="304">
        <f t="shared" si="5"/>
        <v>46143</v>
      </c>
      <c r="U458" s="304" t="str">
        <f t="shared" si="6"/>
        <v/>
      </c>
      <c r="V458" s="300" t="s">
        <v>731</v>
      </c>
    </row>
    <row r="459" spans="2:22" s="300" customFormat="1" x14ac:dyDescent="0.25">
      <c r="B459" s="301" t="s">
        <v>25</v>
      </c>
      <c r="C459" s="302"/>
      <c r="D459" s="86" t="str">
        <f>INDEX(Cad_Natureza!$B$3:$C$52,MATCH('2026'!F459,Cad_Natureza!$C$3:$C$52,0),MATCH('2026'!D$2,Cad_Natureza!$B$3:$C$3,0))</f>
        <v>FIN3</v>
      </c>
      <c r="E459" s="84" t="s">
        <v>1665</v>
      </c>
      <c r="F459" s="85" t="s">
        <v>939</v>
      </c>
      <c r="G459" s="86" t="s">
        <v>25</v>
      </c>
      <c r="H459" s="87">
        <v>46153</v>
      </c>
      <c r="I459" s="87"/>
      <c r="J459" s="79" t="s">
        <v>572</v>
      </c>
      <c r="K459" s="62">
        <v>-6.79</v>
      </c>
      <c r="L459" s="62">
        <f t="shared" si="112"/>
        <v>305.8100000000008</v>
      </c>
      <c r="M459" s="302"/>
      <c r="N459" s="44" t="str">
        <f t="shared" si="0"/>
        <v>MCSFIN3CPF - Desp. Financeiras - Empréstimos bancários</v>
      </c>
      <c r="O459" s="44" t="str">
        <f t="shared" si="1"/>
        <v>FIN3CPF - Desp. Financeiras - Empréstimos bancários</v>
      </c>
      <c r="P459" s="44" t="str">
        <f t="shared" si="2"/>
        <v>MCSFIN3CPF - Desp. Financeiras - Empréstimos bancários</v>
      </c>
      <c r="Q459" s="44" t="str">
        <f t="shared" si="3"/>
        <v>MCSFIN3</v>
      </c>
      <c r="R459" s="44" t="str">
        <f t="shared" si="4"/>
        <v>MCSFIN3</v>
      </c>
      <c r="S459" s="38"/>
      <c r="T459" s="304">
        <f t="shared" si="5"/>
        <v>46143</v>
      </c>
      <c r="U459" s="304" t="str">
        <f t="shared" si="6"/>
        <v/>
      </c>
      <c r="V459" s="300" t="s">
        <v>761</v>
      </c>
    </row>
    <row r="460" spans="2:22" s="300" customFormat="1" x14ac:dyDescent="0.25">
      <c r="B460" s="301" t="s">
        <v>25</v>
      </c>
      <c r="C460" s="302"/>
      <c r="D460" s="86" t="str">
        <f>INDEX(Cad_Natureza!$B$3:$C$52,MATCH('2026'!F460,Cad_Natureza!$C$3:$C$52,0),MATCH('2026'!D$2,Cad_Natureza!$B$3:$C$3,0))</f>
        <v>OPF1</v>
      </c>
      <c r="E460" s="84" t="s">
        <v>1666</v>
      </c>
      <c r="F460" s="85" t="s">
        <v>744</v>
      </c>
      <c r="G460" s="86" t="s">
        <v>25</v>
      </c>
      <c r="H460" s="87">
        <v>46153</v>
      </c>
      <c r="I460" s="87"/>
      <c r="J460" s="79" t="s">
        <v>182</v>
      </c>
      <c r="K460" s="62">
        <v>-20</v>
      </c>
      <c r="L460" s="62">
        <f t="shared" si="112"/>
        <v>285.8100000000008</v>
      </c>
      <c r="M460" s="302"/>
      <c r="N460" s="44" t="str">
        <f t="shared" si="0"/>
        <v>MCSOPF1CPF - Desp. Alimentação / Refeição</v>
      </c>
      <c r="O460" s="44" t="str">
        <f t="shared" si="1"/>
        <v>OPF1CPF - Desp. Alimentação / Refeição</v>
      </c>
      <c r="P460" s="44" t="str">
        <f t="shared" si="2"/>
        <v>MCSOPF1CPF - Desp. Alimentação / Refeição</v>
      </c>
      <c r="Q460" s="44" t="str">
        <f t="shared" si="3"/>
        <v>MCSOPF1</v>
      </c>
      <c r="R460" s="44" t="str">
        <f t="shared" si="4"/>
        <v>MCSOPF1</v>
      </c>
      <c r="S460" s="38"/>
      <c r="T460" s="304">
        <f t="shared" si="5"/>
        <v>46143</v>
      </c>
      <c r="U460" s="304" t="str">
        <f t="shared" si="6"/>
        <v/>
      </c>
      <c r="V460" s="300" t="s">
        <v>761</v>
      </c>
    </row>
    <row r="461" spans="2:22" s="300" customFormat="1" x14ac:dyDescent="0.25">
      <c r="B461" s="301" t="s">
        <v>25</v>
      </c>
      <c r="C461" s="302"/>
      <c r="D461" s="86" t="str">
        <f>INDEX(Cad_Natureza!$B$3:$C$52,MATCH('2026'!F461,Cad_Natureza!$C$3:$C$52,0),MATCH('2026'!D$2,Cad_Natureza!$B$3:$C$3,0))</f>
        <v>GAST1</v>
      </c>
      <c r="E461" s="84" t="s">
        <v>1667</v>
      </c>
      <c r="F461" s="85" t="s">
        <v>742</v>
      </c>
      <c r="G461" s="86" t="s">
        <v>25</v>
      </c>
      <c r="H461" s="87">
        <v>46153</v>
      </c>
      <c r="I461" s="87"/>
      <c r="J461" s="79" t="s">
        <v>1340</v>
      </c>
      <c r="K461" s="62">
        <v>-29</v>
      </c>
      <c r="L461" s="62">
        <f t="shared" si="112"/>
        <v>256.8100000000008</v>
      </c>
      <c r="M461" s="302"/>
      <c r="N461" s="44" t="str">
        <f t="shared" ref="N461:N480" si="113">B461&amp;D461&amp;F461</f>
        <v>MCSGAST1CPF - Desp. Lazer e Entretenimento - Bares</v>
      </c>
      <c r="O461" s="44" t="str">
        <f t="shared" ref="O461:O480" si="114">D461&amp;F461</f>
        <v>GAST1CPF - Desp. Lazer e Entretenimento - Bares</v>
      </c>
      <c r="P461" s="44" t="str">
        <f t="shared" ref="P461:P480" si="115">"MCS"&amp;D461&amp;F461</f>
        <v>MCSGAST1CPF - Desp. Lazer e Entretenimento - Bares</v>
      </c>
      <c r="Q461" s="44" t="str">
        <f t="shared" ref="Q461:Q480" si="116">"MCS"&amp;D461</f>
        <v>MCSGAST1</v>
      </c>
      <c r="R461" s="44" t="str">
        <f t="shared" ref="R461:R480" si="117">B461&amp;D461</f>
        <v>MCSGAST1</v>
      </c>
      <c r="S461" s="38"/>
      <c r="T461" s="304">
        <f t="shared" ref="T461:T480" si="118">(1&amp;"/"&amp;MONTH(H461)&amp;"/"&amp;YEAR(H461))*1</f>
        <v>46143</v>
      </c>
      <c r="U461" s="304" t="str">
        <f t="shared" ref="U461:U480" si="119">IF(I461="","",(1&amp;"/"&amp;MONTH(I461)&amp;"/"&amp;YEAR(I461))*1)</f>
        <v/>
      </c>
      <c r="V461" s="300" t="s">
        <v>761</v>
      </c>
    </row>
    <row r="462" spans="2:22" s="300" customFormat="1" x14ac:dyDescent="0.25">
      <c r="B462" s="301" t="s">
        <v>25</v>
      </c>
      <c r="C462" s="302"/>
      <c r="D462" s="86" t="str">
        <f>INDEX(Cad_Natureza!$B$3:$C$52,MATCH('2026'!F462,Cad_Natureza!$C$3:$C$52,0),MATCH('2026'!D$2,Cad_Natureza!$B$3:$C$3,0))</f>
        <v>OPF1</v>
      </c>
      <c r="E462" s="84" t="s">
        <v>1668</v>
      </c>
      <c r="F462" s="85" t="s">
        <v>744</v>
      </c>
      <c r="G462" s="86" t="s">
        <v>25</v>
      </c>
      <c r="H462" s="87">
        <v>46154</v>
      </c>
      <c r="I462" s="87"/>
      <c r="J462" s="79" t="s">
        <v>182</v>
      </c>
      <c r="K462" s="62">
        <v>-20</v>
      </c>
      <c r="L462" s="62">
        <f t="shared" si="112"/>
        <v>236.8100000000008</v>
      </c>
      <c r="M462" s="302"/>
      <c r="N462" s="44" t="str">
        <f t="shared" si="113"/>
        <v>MCSOPF1CPF - Desp. Alimentação / Refeição</v>
      </c>
      <c r="O462" s="44" t="str">
        <f t="shared" si="114"/>
        <v>OPF1CPF - Desp. Alimentação / Refeição</v>
      </c>
      <c r="P462" s="44" t="str">
        <f t="shared" si="115"/>
        <v>MCSOPF1CPF - Desp. Alimentação / Refeição</v>
      </c>
      <c r="Q462" s="44" t="str">
        <f t="shared" si="116"/>
        <v>MCSOPF1</v>
      </c>
      <c r="R462" s="44" t="str">
        <f t="shared" si="117"/>
        <v>MCSOPF1</v>
      </c>
      <c r="S462" s="38"/>
      <c r="T462" s="304">
        <f t="shared" si="118"/>
        <v>46143</v>
      </c>
      <c r="U462" s="304" t="str">
        <f t="shared" si="119"/>
        <v/>
      </c>
      <c r="V462" s="300" t="s">
        <v>761</v>
      </c>
    </row>
    <row r="463" spans="2:22" s="300" customFormat="1" x14ac:dyDescent="0.25">
      <c r="B463" s="301" t="s">
        <v>25</v>
      </c>
      <c r="C463" s="302"/>
      <c r="D463" s="86" t="str">
        <f>INDEX(Cad_Natureza!$B$3:$C$52,MATCH('2026'!F463,Cad_Natureza!$C$3:$C$52,0),MATCH('2026'!D$2,Cad_Natureza!$B$3:$C$3,0))</f>
        <v>DESP2</v>
      </c>
      <c r="E463" s="84" t="s">
        <v>1669</v>
      </c>
      <c r="F463" s="85" t="s">
        <v>739</v>
      </c>
      <c r="G463" s="86" t="s">
        <v>25</v>
      </c>
      <c r="H463" s="87">
        <v>46154</v>
      </c>
      <c r="I463" s="87"/>
      <c r="J463" s="79" t="s">
        <v>1126</v>
      </c>
      <c r="K463" s="62">
        <v>-184.1</v>
      </c>
      <c r="L463" s="62">
        <f t="shared" si="112"/>
        <v>52.710000000000804</v>
      </c>
      <c r="M463" s="302"/>
      <c r="N463" s="44" t="str">
        <f t="shared" si="113"/>
        <v>MCSDESP2CPF - Desp. Telefone / Internet</v>
      </c>
      <c r="O463" s="44" t="str">
        <f t="shared" si="114"/>
        <v>DESP2CPF - Desp. Telefone / Internet</v>
      </c>
      <c r="P463" s="44" t="str">
        <f t="shared" si="115"/>
        <v>MCSDESP2CPF - Desp. Telefone / Internet</v>
      </c>
      <c r="Q463" s="44" t="str">
        <f t="shared" si="116"/>
        <v>MCSDESP2</v>
      </c>
      <c r="R463" s="44" t="str">
        <f t="shared" si="117"/>
        <v>MCSDESP2</v>
      </c>
      <c r="S463" s="38"/>
      <c r="T463" s="304">
        <f t="shared" si="118"/>
        <v>46143</v>
      </c>
      <c r="U463" s="304" t="str">
        <f t="shared" si="119"/>
        <v/>
      </c>
      <c r="V463" s="300" t="s">
        <v>731</v>
      </c>
    </row>
    <row r="464" spans="2:22" s="300" customFormat="1" x14ac:dyDescent="0.25">
      <c r="B464" s="301" t="s">
        <v>25</v>
      </c>
      <c r="C464" s="302"/>
      <c r="D464" s="86" t="str">
        <f>INDEX(Cad_Natureza!$B$3:$C$52,MATCH('2026'!F464,Cad_Natureza!$C$3:$C$52,0),MATCH('2026'!D$2,Cad_Natureza!$B$3:$C$3,0))</f>
        <v>GAST2</v>
      </c>
      <c r="E464" s="84" t="s">
        <v>1670</v>
      </c>
      <c r="F464" s="85" t="s">
        <v>743</v>
      </c>
      <c r="G464" s="86" t="s">
        <v>25</v>
      </c>
      <c r="H464" s="87">
        <v>46154</v>
      </c>
      <c r="I464" s="87"/>
      <c r="J464" s="79" t="s">
        <v>180</v>
      </c>
      <c r="K464" s="62">
        <v>-34</v>
      </c>
      <c r="L464" s="62">
        <f t="shared" si="112"/>
        <v>18.710000000000804</v>
      </c>
      <c r="M464" s="302"/>
      <c r="N464" s="44" t="str">
        <f t="shared" si="113"/>
        <v>MCSGAST2CPF - Desp. Lazer e Entretenimento - Cigarro</v>
      </c>
      <c r="O464" s="44" t="str">
        <f t="shared" si="114"/>
        <v>GAST2CPF - Desp. Lazer e Entretenimento - Cigarro</v>
      </c>
      <c r="P464" s="44" t="str">
        <f t="shared" si="115"/>
        <v>MCSGAST2CPF - Desp. Lazer e Entretenimento - Cigarro</v>
      </c>
      <c r="Q464" s="44" t="str">
        <f t="shared" si="116"/>
        <v>MCSGAST2</v>
      </c>
      <c r="R464" s="44" t="str">
        <f t="shared" si="117"/>
        <v>MCSGAST2</v>
      </c>
      <c r="S464" s="38"/>
      <c r="T464" s="304">
        <f t="shared" si="118"/>
        <v>46143</v>
      </c>
      <c r="U464" s="304" t="str">
        <f t="shared" si="119"/>
        <v/>
      </c>
      <c r="V464" s="300" t="s">
        <v>731</v>
      </c>
    </row>
    <row r="465" spans="2:22" s="300" customFormat="1" x14ac:dyDescent="0.25">
      <c r="B465" s="301" t="s">
        <v>25</v>
      </c>
      <c r="C465" s="302"/>
      <c r="D465" s="86" t="str">
        <f>INDEX(Cad_Natureza!$B$3:$C$52,MATCH('2026'!F465,Cad_Natureza!$C$3:$C$52,0),MATCH('2026'!D$2,Cad_Natureza!$B$3:$C$3,0))</f>
        <v>GAST1</v>
      </c>
      <c r="E465" s="84" t="s">
        <v>1671</v>
      </c>
      <c r="F465" s="85" t="s">
        <v>742</v>
      </c>
      <c r="G465" s="86" t="s">
        <v>25</v>
      </c>
      <c r="H465" s="87">
        <v>46154</v>
      </c>
      <c r="I465" s="87"/>
      <c r="J465" s="79" t="s">
        <v>185</v>
      </c>
      <c r="K465" s="62">
        <v>-18.600000000000001</v>
      </c>
      <c r="L465" s="62">
        <f t="shared" si="112"/>
        <v>0.11000000000080234</v>
      </c>
      <c r="M465" s="302"/>
      <c r="N465" s="44" t="str">
        <f t="shared" si="113"/>
        <v>MCSGAST1CPF - Desp. Lazer e Entretenimento - Bares</v>
      </c>
      <c r="O465" s="44" t="str">
        <f t="shared" si="114"/>
        <v>GAST1CPF - Desp. Lazer e Entretenimento - Bares</v>
      </c>
      <c r="P465" s="44" t="str">
        <f t="shared" si="115"/>
        <v>MCSGAST1CPF - Desp. Lazer e Entretenimento - Bares</v>
      </c>
      <c r="Q465" s="44" t="str">
        <f t="shared" si="116"/>
        <v>MCSGAST1</v>
      </c>
      <c r="R465" s="44" t="str">
        <f t="shared" si="117"/>
        <v>MCSGAST1</v>
      </c>
      <c r="S465" s="38"/>
      <c r="T465" s="304">
        <f t="shared" si="118"/>
        <v>46143</v>
      </c>
      <c r="U465" s="304" t="str">
        <f t="shared" si="119"/>
        <v/>
      </c>
      <c r="V465" s="300" t="s">
        <v>761</v>
      </c>
    </row>
    <row r="466" spans="2:22" s="291" customFormat="1" x14ac:dyDescent="0.25">
      <c r="B466" s="288" t="s">
        <v>25</v>
      </c>
      <c r="C466" s="83"/>
      <c r="D466" s="63" t="str">
        <f>INDEX(Cad_Natureza!$B$3:$C$52,MATCH('2026'!F466,Cad_Natureza!$C$3:$C$52,0),MATCH('2026'!D$2,Cad_Natureza!$B$3:$C$3,0))</f>
        <v>REC4</v>
      </c>
      <c r="E466" s="64" t="s">
        <v>1672</v>
      </c>
      <c r="F466" s="65" t="s">
        <v>734</v>
      </c>
      <c r="G466" s="63" t="s">
        <v>25</v>
      </c>
      <c r="H466" s="66">
        <v>46154</v>
      </c>
      <c r="I466" s="66"/>
      <c r="J466" s="67" t="s">
        <v>183</v>
      </c>
      <c r="K466" s="68">
        <v>1000</v>
      </c>
      <c r="L466" s="68">
        <f t="shared" si="112"/>
        <v>1000.1100000000008</v>
      </c>
      <c r="M466" s="83"/>
      <c r="N466" s="44" t="str">
        <f t="shared" si="113"/>
        <v>MCSREC4CPF - Transf. Da conta PJ para a conta PF</v>
      </c>
      <c r="O466" s="44" t="str">
        <f t="shared" si="114"/>
        <v>REC4CPF - Transf. Da conta PJ para a conta PF</v>
      </c>
      <c r="P466" s="44" t="str">
        <f t="shared" si="115"/>
        <v>MCSREC4CPF - Transf. Da conta PJ para a conta PF</v>
      </c>
      <c r="Q466" s="44" t="str">
        <f t="shared" si="116"/>
        <v>MCSREC4</v>
      </c>
      <c r="R466" s="44" t="str">
        <f t="shared" si="117"/>
        <v>MCSREC4</v>
      </c>
      <c r="S466" s="38"/>
      <c r="T466" s="290">
        <f t="shared" si="118"/>
        <v>46143</v>
      </c>
      <c r="U466" s="290" t="str">
        <f t="shared" si="119"/>
        <v/>
      </c>
      <c r="V466" s="291" t="s">
        <v>761</v>
      </c>
    </row>
    <row r="467" spans="2:22" s="300" customFormat="1" x14ac:dyDescent="0.25">
      <c r="B467" s="301" t="s">
        <v>25</v>
      </c>
      <c r="C467" s="302"/>
      <c r="D467" s="86" t="str">
        <f>INDEX(Cad_Natureza!$B$3:$C$52,MATCH('2026'!F467,Cad_Natureza!$C$3:$C$52,0),MATCH('2026'!D$2,Cad_Natureza!$B$3:$C$3,0))</f>
        <v>OPF2</v>
      </c>
      <c r="E467" s="84" t="s">
        <v>1673</v>
      </c>
      <c r="F467" s="85" t="s">
        <v>741</v>
      </c>
      <c r="G467" s="86" t="s">
        <v>25</v>
      </c>
      <c r="H467" s="87">
        <v>46154</v>
      </c>
      <c r="I467" s="87"/>
      <c r="J467" s="79" t="s">
        <v>184</v>
      </c>
      <c r="K467" s="62">
        <v>-80</v>
      </c>
      <c r="L467" s="62">
        <f t="shared" si="112"/>
        <v>920.11000000000081</v>
      </c>
      <c r="M467" s="302"/>
      <c r="N467" s="44" t="str">
        <f t="shared" si="113"/>
        <v>MCSOPF2CPF - Desp. Transporte / Combustível</v>
      </c>
      <c r="O467" s="44" t="str">
        <f t="shared" si="114"/>
        <v>OPF2CPF - Desp. Transporte / Combustível</v>
      </c>
      <c r="P467" s="44" t="str">
        <f t="shared" si="115"/>
        <v>MCSOPF2CPF - Desp. Transporte / Combustível</v>
      </c>
      <c r="Q467" s="44" t="str">
        <f t="shared" si="116"/>
        <v>MCSOPF2</v>
      </c>
      <c r="R467" s="44" t="str">
        <f t="shared" si="117"/>
        <v>MCSOPF2</v>
      </c>
      <c r="S467" s="38"/>
      <c r="T467" s="304">
        <f t="shared" si="118"/>
        <v>46143</v>
      </c>
      <c r="U467" s="304" t="str">
        <f t="shared" si="119"/>
        <v/>
      </c>
      <c r="V467" s="300" t="s">
        <v>761</v>
      </c>
    </row>
    <row r="468" spans="2:22" s="300" customFormat="1" x14ac:dyDescent="0.25">
      <c r="B468" s="301" t="s">
        <v>25</v>
      </c>
      <c r="C468" s="302"/>
      <c r="D468" s="86" t="str">
        <f>INDEX(Cad_Natureza!$B$3:$C$52,MATCH('2026'!F468,Cad_Natureza!$C$3:$C$52,0),MATCH('2026'!D$2,Cad_Natureza!$B$3:$C$3,0))</f>
        <v>OPF1</v>
      </c>
      <c r="E468" s="84" t="s">
        <v>1674</v>
      </c>
      <c r="F468" s="85" t="s">
        <v>744</v>
      </c>
      <c r="G468" s="86" t="s">
        <v>25</v>
      </c>
      <c r="H468" s="87">
        <v>46155</v>
      </c>
      <c r="I468" s="87"/>
      <c r="J468" s="79" t="s">
        <v>182</v>
      </c>
      <c r="K468" s="62">
        <v>-20</v>
      </c>
      <c r="L468" s="62">
        <f t="shared" si="112"/>
        <v>900.11000000000081</v>
      </c>
      <c r="M468" s="302"/>
      <c r="N468" s="44" t="str">
        <f t="shared" si="113"/>
        <v>MCSOPF1CPF - Desp. Alimentação / Refeição</v>
      </c>
      <c r="O468" s="44" t="str">
        <f t="shared" si="114"/>
        <v>OPF1CPF - Desp. Alimentação / Refeição</v>
      </c>
      <c r="P468" s="44" t="str">
        <f t="shared" si="115"/>
        <v>MCSOPF1CPF - Desp. Alimentação / Refeição</v>
      </c>
      <c r="Q468" s="44" t="str">
        <f t="shared" si="116"/>
        <v>MCSOPF1</v>
      </c>
      <c r="R468" s="44" t="str">
        <f t="shared" si="117"/>
        <v>MCSOPF1</v>
      </c>
      <c r="S468" s="38"/>
      <c r="T468" s="304">
        <f t="shared" si="118"/>
        <v>46143</v>
      </c>
      <c r="U468" s="304" t="str">
        <f t="shared" si="119"/>
        <v/>
      </c>
      <c r="V468" s="300" t="s">
        <v>761</v>
      </c>
    </row>
    <row r="469" spans="2:22" s="300" customFormat="1" x14ac:dyDescent="0.25">
      <c r="B469" s="301" t="s">
        <v>25</v>
      </c>
      <c r="C469" s="302"/>
      <c r="D469" s="86" t="str">
        <f>INDEX(Cad_Natureza!$B$3:$C$52,MATCH('2026'!F469,Cad_Natureza!$C$3:$C$52,0),MATCH('2026'!D$2,Cad_Natureza!$B$3:$C$3,0))</f>
        <v>OUG1</v>
      </c>
      <c r="E469" s="84" t="s">
        <v>1675</v>
      </c>
      <c r="F469" s="85" t="s">
        <v>748</v>
      </c>
      <c r="G469" s="86" t="s">
        <v>25</v>
      </c>
      <c r="H469" s="87">
        <v>46155</v>
      </c>
      <c r="I469" s="87"/>
      <c r="J469" s="79" t="s">
        <v>354</v>
      </c>
      <c r="K469" s="62">
        <v>-20</v>
      </c>
      <c r="L469" s="62">
        <f t="shared" si="112"/>
        <v>880.11000000000081</v>
      </c>
      <c r="M469" s="302"/>
      <c r="N469" s="44" t="str">
        <f t="shared" si="113"/>
        <v>MCSOUG1CPF - Outros gastos</v>
      </c>
      <c r="O469" s="44" t="str">
        <f t="shared" si="114"/>
        <v>OUG1CPF - Outros gastos</v>
      </c>
      <c r="P469" s="44" t="str">
        <f t="shared" si="115"/>
        <v>MCSOUG1CPF - Outros gastos</v>
      </c>
      <c r="Q469" s="44" t="str">
        <f t="shared" si="116"/>
        <v>MCSOUG1</v>
      </c>
      <c r="R469" s="44" t="str">
        <f t="shared" si="117"/>
        <v>MCSOUG1</v>
      </c>
      <c r="S469" s="38"/>
      <c r="T469" s="304">
        <f t="shared" si="118"/>
        <v>46143</v>
      </c>
      <c r="U469" s="304" t="str">
        <f t="shared" si="119"/>
        <v/>
      </c>
      <c r="V469" s="300" t="s">
        <v>761</v>
      </c>
    </row>
    <row r="470" spans="2:22" s="300" customFormat="1" x14ac:dyDescent="0.25">
      <c r="B470" s="301" t="s">
        <v>25</v>
      </c>
      <c r="C470" s="302"/>
      <c r="D470" s="86" t="str">
        <f>INDEX(Cad_Natureza!$B$3:$C$52,MATCH('2026'!F470,Cad_Natureza!$C$3:$C$52,0),MATCH('2026'!D$2,Cad_Natureza!$B$3:$C$3,0))</f>
        <v>GAST1</v>
      </c>
      <c r="E470" s="84" t="s">
        <v>1676</v>
      </c>
      <c r="F470" s="85" t="s">
        <v>742</v>
      </c>
      <c r="G470" s="86" t="s">
        <v>25</v>
      </c>
      <c r="H470" s="87">
        <v>46155</v>
      </c>
      <c r="I470" s="87"/>
      <c r="J470" s="79" t="s">
        <v>1828</v>
      </c>
      <c r="K470" s="62">
        <v>-30</v>
      </c>
      <c r="L470" s="62">
        <f t="shared" si="112"/>
        <v>850.11000000000081</v>
      </c>
      <c r="M470" s="302"/>
      <c r="N470" s="44" t="str">
        <f t="shared" si="113"/>
        <v>MCSGAST1CPF - Desp. Lazer e Entretenimento - Bares</v>
      </c>
      <c r="O470" s="44" t="str">
        <f t="shared" si="114"/>
        <v>GAST1CPF - Desp. Lazer e Entretenimento - Bares</v>
      </c>
      <c r="P470" s="44" t="str">
        <f t="shared" si="115"/>
        <v>MCSGAST1CPF - Desp. Lazer e Entretenimento - Bares</v>
      </c>
      <c r="Q470" s="44" t="str">
        <f t="shared" si="116"/>
        <v>MCSGAST1</v>
      </c>
      <c r="R470" s="44" t="str">
        <f t="shared" si="117"/>
        <v>MCSGAST1</v>
      </c>
      <c r="S470" s="38"/>
      <c r="T470" s="304">
        <f t="shared" si="118"/>
        <v>46143</v>
      </c>
      <c r="U470" s="304" t="str">
        <f t="shared" si="119"/>
        <v/>
      </c>
      <c r="V470" s="300" t="s">
        <v>731</v>
      </c>
    </row>
    <row r="471" spans="2:22" s="300" customFormat="1" x14ac:dyDescent="0.25">
      <c r="B471" s="301" t="s">
        <v>25</v>
      </c>
      <c r="C471" s="302"/>
      <c r="D471" s="86" t="str">
        <f>INDEX(Cad_Natureza!$B$3:$C$52,MATCH('2026'!F471,Cad_Natureza!$C$3:$C$52,0),MATCH('2026'!D$2,Cad_Natureza!$B$3:$C$3,0))</f>
        <v>GAST1</v>
      </c>
      <c r="E471" s="84" t="s">
        <v>1677</v>
      </c>
      <c r="F471" s="85" t="s">
        <v>742</v>
      </c>
      <c r="G471" s="86" t="s">
        <v>25</v>
      </c>
      <c r="H471" s="87">
        <v>46155</v>
      </c>
      <c r="I471" s="87"/>
      <c r="J471" s="79" t="s">
        <v>1340</v>
      </c>
      <c r="K471" s="62">
        <v>-20</v>
      </c>
      <c r="L471" s="62">
        <f t="shared" si="112"/>
        <v>830.11000000000081</v>
      </c>
      <c r="M471" s="302"/>
      <c r="N471" s="44" t="str">
        <f t="shared" si="113"/>
        <v>MCSGAST1CPF - Desp. Lazer e Entretenimento - Bares</v>
      </c>
      <c r="O471" s="44" t="str">
        <f t="shared" si="114"/>
        <v>GAST1CPF - Desp. Lazer e Entretenimento - Bares</v>
      </c>
      <c r="P471" s="44" t="str">
        <f t="shared" si="115"/>
        <v>MCSGAST1CPF - Desp. Lazer e Entretenimento - Bares</v>
      </c>
      <c r="Q471" s="44" t="str">
        <f t="shared" si="116"/>
        <v>MCSGAST1</v>
      </c>
      <c r="R471" s="44" t="str">
        <f t="shared" si="117"/>
        <v>MCSGAST1</v>
      </c>
      <c r="S471" s="38"/>
      <c r="T471" s="304">
        <f t="shared" si="118"/>
        <v>46143</v>
      </c>
      <c r="U471" s="304" t="str">
        <f t="shared" si="119"/>
        <v/>
      </c>
      <c r="V471" s="300" t="s">
        <v>731</v>
      </c>
    </row>
    <row r="472" spans="2:22" s="300" customFormat="1" x14ac:dyDescent="0.25">
      <c r="B472" s="301" t="s">
        <v>25</v>
      </c>
      <c r="C472" s="302"/>
      <c r="D472" s="86" t="str">
        <f>INDEX(Cad_Natureza!$B$3:$C$52,MATCH('2026'!F472,Cad_Natureza!$C$3:$C$52,0),MATCH('2026'!D$2,Cad_Natureza!$B$3:$C$3,0))</f>
        <v>PENS1</v>
      </c>
      <c r="E472" s="84" t="s">
        <v>1678</v>
      </c>
      <c r="F472" s="85" t="s">
        <v>717</v>
      </c>
      <c r="G472" s="86" t="s">
        <v>25</v>
      </c>
      <c r="H472" s="87">
        <v>46155</v>
      </c>
      <c r="I472" s="87"/>
      <c r="J472" s="78" t="s">
        <v>1843</v>
      </c>
      <c r="K472" s="62">
        <v>-700</v>
      </c>
      <c r="L472" s="62">
        <f t="shared" si="112"/>
        <v>130.11000000000081</v>
      </c>
      <c r="M472" s="302"/>
      <c r="N472" s="44" t="str">
        <f t="shared" si="113"/>
        <v>MCSPENS1CPF - Pensão - Aluguel</v>
      </c>
      <c r="O472" s="44" t="str">
        <f t="shared" si="114"/>
        <v>PENS1CPF - Pensão - Aluguel</v>
      </c>
      <c r="P472" s="44" t="str">
        <f t="shared" si="115"/>
        <v>MCSPENS1CPF - Pensão - Aluguel</v>
      </c>
      <c r="Q472" s="44" t="str">
        <f t="shared" si="116"/>
        <v>MCSPENS1</v>
      </c>
      <c r="R472" s="44" t="str">
        <f t="shared" si="117"/>
        <v>MCSPENS1</v>
      </c>
      <c r="S472" s="38"/>
      <c r="T472" s="304">
        <f t="shared" si="118"/>
        <v>46143</v>
      </c>
      <c r="U472" s="304" t="str">
        <f t="shared" si="119"/>
        <v/>
      </c>
      <c r="V472" s="300" t="s">
        <v>761</v>
      </c>
    </row>
    <row r="473" spans="2:22" s="291" customFormat="1" x14ac:dyDescent="0.25">
      <c r="B473" s="288" t="s">
        <v>25</v>
      </c>
      <c r="C473" s="83"/>
      <c r="D473" s="63" t="str">
        <f>INDEX(Cad_Natureza!$B$3:$C$52,MATCH('2026'!F473,Cad_Natureza!$C$3:$C$52,0),MATCH('2026'!D$2,Cad_Natureza!$B$3:$C$3,0))</f>
        <v>REC4</v>
      </c>
      <c r="E473" s="64" t="s">
        <v>1679</v>
      </c>
      <c r="F473" s="65" t="s">
        <v>734</v>
      </c>
      <c r="G473" s="63" t="s">
        <v>25</v>
      </c>
      <c r="H473" s="66">
        <v>46156</v>
      </c>
      <c r="I473" s="66"/>
      <c r="J473" s="67" t="s">
        <v>183</v>
      </c>
      <c r="K473" s="68">
        <v>1000</v>
      </c>
      <c r="L473" s="68">
        <f t="shared" si="112"/>
        <v>1130.1100000000008</v>
      </c>
      <c r="M473" s="83"/>
      <c r="N473" s="44" t="str">
        <f t="shared" si="113"/>
        <v>MCSREC4CPF - Transf. Da conta PJ para a conta PF</v>
      </c>
      <c r="O473" s="44" t="str">
        <f t="shared" si="114"/>
        <v>REC4CPF - Transf. Da conta PJ para a conta PF</v>
      </c>
      <c r="P473" s="44" t="str">
        <f t="shared" si="115"/>
        <v>MCSREC4CPF - Transf. Da conta PJ para a conta PF</v>
      </c>
      <c r="Q473" s="44" t="str">
        <f t="shared" si="116"/>
        <v>MCSREC4</v>
      </c>
      <c r="R473" s="44" t="str">
        <f t="shared" si="117"/>
        <v>MCSREC4</v>
      </c>
      <c r="S473" s="38"/>
      <c r="T473" s="290">
        <f t="shared" si="118"/>
        <v>46143</v>
      </c>
      <c r="U473" s="290" t="str">
        <f t="shared" si="119"/>
        <v/>
      </c>
      <c r="V473" s="291" t="s">
        <v>761</v>
      </c>
    </row>
    <row r="474" spans="2:22" s="300" customFormat="1" x14ac:dyDescent="0.25">
      <c r="B474" s="301" t="s">
        <v>25</v>
      </c>
      <c r="C474" s="302"/>
      <c r="D474" s="86" t="str">
        <f>INDEX(Cad_Natureza!$B$3:$C$52,MATCH('2026'!F474,Cad_Natureza!$C$3:$C$52,0),MATCH('2026'!D$2,Cad_Natureza!$B$3:$C$3,0))</f>
        <v>OPF2</v>
      </c>
      <c r="E474" s="84" t="s">
        <v>1680</v>
      </c>
      <c r="F474" s="85" t="s">
        <v>741</v>
      </c>
      <c r="G474" s="86" t="s">
        <v>25</v>
      </c>
      <c r="H474" s="87">
        <v>46156</v>
      </c>
      <c r="I474" s="87"/>
      <c r="J474" s="79" t="s">
        <v>184</v>
      </c>
      <c r="K474" s="62">
        <v>-80</v>
      </c>
      <c r="L474" s="62">
        <f t="shared" si="112"/>
        <v>1050.1100000000008</v>
      </c>
      <c r="M474" s="302"/>
      <c r="N474" s="44" t="str">
        <f t="shared" si="113"/>
        <v>MCSOPF2CPF - Desp. Transporte / Combustível</v>
      </c>
      <c r="O474" s="44" t="str">
        <f t="shared" si="114"/>
        <v>OPF2CPF - Desp. Transporte / Combustível</v>
      </c>
      <c r="P474" s="44" t="str">
        <f t="shared" si="115"/>
        <v>MCSOPF2CPF - Desp. Transporte / Combustível</v>
      </c>
      <c r="Q474" s="44" t="str">
        <f t="shared" si="116"/>
        <v>MCSOPF2</v>
      </c>
      <c r="R474" s="44" t="str">
        <f t="shared" si="117"/>
        <v>MCSOPF2</v>
      </c>
      <c r="S474" s="38"/>
      <c r="T474" s="304">
        <f t="shared" si="118"/>
        <v>46143</v>
      </c>
      <c r="U474" s="304" t="str">
        <f t="shared" si="119"/>
        <v/>
      </c>
      <c r="V474" s="300" t="s">
        <v>761</v>
      </c>
    </row>
    <row r="475" spans="2:22" s="300" customFormat="1" x14ac:dyDescent="0.25">
      <c r="B475" s="301" t="s">
        <v>25</v>
      </c>
      <c r="C475" s="302"/>
      <c r="D475" s="86" t="str">
        <f>INDEX(Cad_Natureza!$B$3:$C$52,MATCH('2026'!F475,Cad_Natureza!$C$3:$C$52,0),MATCH('2026'!D$2,Cad_Natureza!$B$3:$C$3,0))</f>
        <v>OPF1</v>
      </c>
      <c r="E475" s="84" t="s">
        <v>1681</v>
      </c>
      <c r="F475" s="85" t="s">
        <v>744</v>
      </c>
      <c r="G475" s="86" t="s">
        <v>25</v>
      </c>
      <c r="H475" s="87">
        <v>46156</v>
      </c>
      <c r="I475" s="87"/>
      <c r="J475" s="79" t="s">
        <v>182</v>
      </c>
      <c r="K475" s="62">
        <v>-24</v>
      </c>
      <c r="L475" s="62">
        <f t="shared" si="112"/>
        <v>1026.1100000000008</v>
      </c>
      <c r="M475" s="302"/>
      <c r="N475" s="44" t="str">
        <f t="shared" si="113"/>
        <v>MCSOPF1CPF - Desp. Alimentação / Refeição</v>
      </c>
      <c r="O475" s="44" t="str">
        <f t="shared" si="114"/>
        <v>OPF1CPF - Desp. Alimentação / Refeição</v>
      </c>
      <c r="P475" s="44" t="str">
        <f t="shared" si="115"/>
        <v>MCSOPF1CPF - Desp. Alimentação / Refeição</v>
      </c>
      <c r="Q475" s="44" t="str">
        <f t="shared" si="116"/>
        <v>MCSOPF1</v>
      </c>
      <c r="R475" s="44" t="str">
        <f t="shared" si="117"/>
        <v>MCSOPF1</v>
      </c>
      <c r="S475" s="38"/>
      <c r="T475" s="304">
        <f t="shared" si="118"/>
        <v>46143</v>
      </c>
      <c r="U475" s="304" t="str">
        <f t="shared" si="119"/>
        <v/>
      </c>
      <c r="V475" s="300" t="s">
        <v>761</v>
      </c>
    </row>
    <row r="476" spans="2:22" s="300" customFormat="1" x14ac:dyDescent="0.25">
      <c r="B476" s="301" t="s">
        <v>25</v>
      </c>
      <c r="C476" s="302"/>
      <c r="D476" s="86" t="str">
        <f>INDEX(Cad_Natureza!$B$3:$C$52,MATCH('2026'!F476,Cad_Natureza!$C$3:$C$52,0),MATCH('2026'!D$2,Cad_Natureza!$B$3:$C$3,0))</f>
        <v>DESP4</v>
      </c>
      <c r="E476" s="84" t="s">
        <v>1682</v>
      </c>
      <c r="F476" s="85" t="s">
        <v>753</v>
      </c>
      <c r="G476" s="86" t="s">
        <v>25</v>
      </c>
      <c r="H476" s="87">
        <v>46156</v>
      </c>
      <c r="I476" s="87"/>
      <c r="J476" s="79" t="s">
        <v>1841</v>
      </c>
      <c r="K476" s="62">
        <v>-35</v>
      </c>
      <c r="L476" s="62">
        <f t="shared" si="112"/>
        <v>991.11000000000081</v>
      </c>
      <c r="M476" s="302"/>
      <c r="N476" s="44" t="str">
        <f t="shared" si="113"/>
        <v>MCSDESP4CPF - Desp. Moradia</v>
      </c>
      <c r="O476" s="44" t="str">
        <f t="shared" si="114"/>
        <v>DESP4CPF - Desp. Moradia</v>
      </c>
      <c r="P476" s="44" t="str">
        <f t="shared" si="115"/>
        <v>MCSDESP4CPF - Desp. Moradia</v>
      </c>
      <c r="Q476" s="44" t="str">
        <f t="shared" si="116"/>
        <v>MCSDESP4</v>
      </c>
      <c r="R476" s="44" t="str">
        <f t="shared" si="117"/>
        <v>MCSDESP4</v>
      </c>
      <c r="S476" s="38"/>
      <c r="T476" s="304">
        <f t="shared" si="118"/>
        <v>46143</v>
      </c>
      <c r="U476" s="304" t="str">
        <f t="shared" si="119"/>
        <v/>
      </c>
      <c r="V476" s="300" t="s">
        <v>761</v>
      </c>
    </row>
    <row r="477" spans="2:22" s="300" customFormat="1" x14ac:dyDescent="0.25">
      <c r="B477" s="301" t="s">
        <v>25</v>
      </c>
      <c r="C477" s="302"/>
      <c r="D477" s="86" t="str">
        <f>INDEX(Cad_Natureza!$B$3:$C$52,MATCH('2026'!F477,Cad_Natureza!$C$3:$C$52,0),MATCH('2026'!D$2,Cad_Natureza!$B$3:$C$3,0))</f>
        <v>OPF1</v>
      </c>
      <c r="E477" s="84" t="s">
        <v>1683</v>
      </c>
      <c r="F477" s="85" t="s">
        <v>744</v>
      </c>
      <c r="G477" s="86" t="s">
        <v>25</v>
      </c>
      <c r="H477" s="87">
        <v>46156</v>
      </c>
      <c r="I477" s="87"/>
      <c r="J477" s="79" t="s">
        <v>1844</v>
      </c>
      <c r="K477" s="62">
        <v>-42</v>
      </c>
      <c r="L477" s="62">
        <f t="shared" si="112"/>
        <v>949.11000000000081</v>
      </c>
      <c r="M477" s="302"/>
      <c r="N477" s="44" t="str">
        <f t="shared" si="113"/>
        <v>MCSOPF1CPF - Desp. Alimentação / Refeição</v>
      </c>
      <c r="O477" s="44" t="str">
        <f t="shared" si="114"/>
        <v>OPF1CPF - Desp. Alimentação / Refeição</v>
      </c>
      <c r="P477" s="44" t="str">
        <f t="shared" si="115"/>
        <v>MCSOPF1CPF - Desp. Alimentação / Refeição</v>
      </c>
      <c r="Q477" s="44" t="str">
        <f t="shared" si="116"/>
        <v>MCSOPF1</v>
      </c>
      <c r="R477" s="44" t="str">
        <f t="shared" si="117"/>
        <v>MCSOPF1</v>
      </c>
      <c r="S477" s="38"/>
      <c r="T477" s="304">
        <f t="shared" si="118"/>
        <v>46143</v>
      </c>
      <c r="U477" s="304" t="str">
        <f t="shared" si="119"/>
        <v/>
      </c>
      <c r="V477" s="300" t="s">
        <v>731</v>
      </c>
    </row>
    <row r="478" spans="2:22" s="300" customFormat="1" x14ac:dyDescent="0.25">
      <c r="B478" s="301" t="s">
        <v>25</v>
      </c>
      <c r="C478" s="302"/>
      <c r="D478" s="86" t="str">
        <f>INDEX(Cad_Natureza!$B$3:$C$52,MATCH('2026'!F478,Cad_Natureza!$C$3:$C$52,0),MATCH('2026'!D$2,Cad_Natureza!$B$3:$C$3,0))</f>
        <v>OPF1</v>
      </c>
      <c r="E478" s="84" t="s">
        <v>1684</v>
      </c>
      <c r="F478" s="85" t="s">
        <v>744</v>
      </c>
      <c r="G478" s="86" t="s">
        <v>25</v>
      </c>
      <c r="H478" s="87">
        <v>46157</v>
      </c>
      <c r="I478" s="87"/>
      <c r="J478" s="79" t="s">
        <v>182</v>
      </c>
      <c r="K478" s="62">
        <v>-24</v>
      </c>
      <c r="L478" s="62">
        <f t="shared" si="112"/>
        <v>925.11000000000081</v>
      </c>
      <c r="M478" s="302"/>
      <c r="N478" s="44" t="str">
        <f t="shared" si="113"/>
        <v>MCSOPF1CPF - Desp. Alimentação / Refeição</v>
      </c>
      <c r="O478" s="44" t="str">
        <f t="shared" si="114"/>
        <v>OPF1CPF - Desp. Alimentação / Refeição</v>
      </c>
      <c r="P478" s="44" t="str">
        <f t="shared" si="115"/>
        <v>MCSOPF1CPF - Desp. Alimentação / Refeição</v>
      </c>
      <c r="Q478" s="44" t="str">
        <f t="shared" si="116"/>
        <v>MCSOPF1</v>
      </c>
      <c r="R478" s="44" t="str">
        <f t="shared" si="117"/>
        <v>MCSOPF1</v>
      </c>
      <c r="S478" s="38"/>
      <c r="T478" s="304">
        <f t="shared" si="118"/>
        <v>46143</v>
      </c>
      <c r="U478" s="304" t="str">
        <f t="shared" si="119"/>
        <v/>
      </c>
      <c r="V478" s="300" t="s">
        <v>731</v>
      </c>
    </row>
    <row r="479" spans="2:22" s="300" customFormat="1" x14ac:dyDescent="0.25">
      <c r="B479" s="301" t="s">
        <v>25</v>
      </c>
      <c r="C479" s="302"/>
      <c r="D479" s="86" t="str">
        <f>INDEX(Cad_Natureza!$B$3:$C$52,MATCH('2026'!F479,Cad_Natureza!$C$3:$C$52,0),MATCH('2026'!D$2,Cad_Natureza!$B$3:$C$3,0))</f>
        <v>GAST1</v>
      </c>
      <c r="E479" s="84" t="s">
        <v>1685</v>
      </c>
      <c r="F479" s="85" t="s">
        <v>742</v>
      </c>
      <c r="G479" s="86" t="s">
        <v>25</v>
      </c>
      <c r="H479" s="87">
        <v>46157</v>
      </c>
      <c r="I479" s="87"/>
      <c r="J479" s="79" t="s">
        <v>185</v>
      </c>
      <c r="K479" s="62">
        <v>-35.35</v>
      </c>
      <c r="L479" s="62">
        <f t="shared" si="112"/>
        <v>889.76000000000079</v>
      </c>
      <c r="M479" s="302"/>
      <c r="N479" s="44" t="str">
        <f t="shared" si="113"/>
        <v>MCSGAST1CPF - Desp. Lazer e Entretenimento - Bares</v>
      </c>
      <c r="O479" s="44" t="str">
        <f t="shared" si="114"/>
        <v>GAST1CPF - Desp. Lazer e Entretenimento - Bares</v>
      </c>
      <c r="P479" s="44" t="str">
        <f t="shared" si="115"/>
        <v>MCSGAST1CPF - Desp. Lazer e Entretenimento - Bares</v>
      </c>
      <c r="Q479" s="44" t="str">
        <f t="shared" si="116"/>
        <v>MCSGAST1</v>
      </c>
      <c r="R479" s="44" t="str">
        <f t="shared" si="117"/>
        <v>MCSGAST1</v>
      </c>
      <c r="S479" s="38"/>
      <c r="T479" s="304">
        <f t="shared" si="118"/>
        <v>46143</v>
      </c>
      <c r="U479" s="304" t="str">
        <f t="shared" si="119"/>
        <v/>
      </c>
      <c r="V479" s="300" t="s">
        <v>761</v>
      </c>
    </row>
    <row r="480" spans="2:22" s="300" customFormat="1" x14ac:dyDescent="0.25">
      <c r="B480" s="301" t="s">
        <v>25</v>
      </c>
      <c r="C480" s="302"/>
      <c r="D480" s="86" t="str">
        <f>INDEX(Cad_Natureza!$B$3:$C$52,MATCH('2026'!F480,Cad_Natureza!$C$3:$C$52,0),MATCH('2026'!D$2,Cad_Natureza!$B$3:$C$3,0))</f>
        <v>GAST1</v>
      </c>
      <c r="E480" s="84" t="s">
        <v>1686</v>
      </c>
      <c r="F480" s="85" t="s">
        <v>742</v>
      </c>
      <c r="G480" s="86" t="s">
        <v>25</v>
      </c>
      <c r="H480" s="87">
        <v>46157</v>
      </c>
      <c r="I480" s="87"/>
      <c r="J480" s="79" t="s">
        <v>1590</v>
      </c>
      <c r="K480" s="62">
        <v>-12</v>
      </c>
      <c r="L480" s="62">
        <f t="shared" si="112"/>
        <v>877.76000000000079</v>
      </c>
      <c r="M480" s="302"/>
      <c r="N480" s="44" t="str">
        <f t="shared" si="113"/>
        <v>MCSGAST1CPF - Desp. Lazer e Entretenimento - Bares</v>
      </c>
      <c r="O480" s="44" t="str">
        <f t="shared" si="114"/>
        <v>GAST1CPF - Desp. Lazer e Entretenimento - Bares</v>
      </c>
      <c r="P480" s="44" t="str">
        <f t="shared" si="115"/>
        <v>MCSGAST1CPF - Desp. Lazer e Entretenimento - Bares</v>
      </c>
      <c r="Q480" s="44" t="str">
        <f t="shared" si="116"/>
        <v>MCSGAST1</v>
      </c>
      <c r="R480" s="44" t="str">
        <f t="shared" si="117"/>
        <v>MCSGAST1</v>
      </c>
      <c r="S480" s="38"/>
      <c r="T480" s="304">
        <f t="shared" si="118"/>
        <v>46143</v>
      </c>
      <c r="U480" s="304" t="str">
        <f t="shared" si="119"/>
        <v/>
      </c>
      <c r="V480" s="300" t="s">
        <v>761</v>
      </c>
    </row>
    <row r="481" spans="2:22" s="300" customFormat="1" x14ac:dyDescent="0.25">
      <c r="B481" s="301" t="s">
        <v>25</v>
      </c>
      <c r="C481" s="302"/>
      <c r="D481" s="86" t="str">
        <f>INDEX(Cad_Natureza!$B$3:$C$52,MATCH('2026'!F481,Cad_Natureza!$C$3:$C$52,0),MATCH('2026'!D$2,Cad_Natureza!$B$3:$C$3,0))</f>
        <v>OPF2</v>
      </c>
      <c r="E481" s="84" t="s">
        <v>1687</v>
      </c>
      <c r="F481" s="85" t="s">
        <v>741</v>
      </c>
      <c r="G481" s="86" t="s">
        <v>25</v>
      </c>
      <c r="H481" s="87">
        <v>46157</v>
      </c>
      <c r="I481" s="87"/>
      <c r="J481" s="79" t="s">
        <v>184</v>
      </c>
      <c r="K481" s="62">
        <v>-3.99</v>
      </c>
      <c r="L481" s="62">
        <f t="shared" si="112"/>
        <v>873.77000000000078</v>
      </c>
      <c r="M481" s="302"/>
      <c r="N481" s="44" t="str">
        <f t="shared" si="0"/>
        <v>MCSOPF2CPF - Desp. Transporte / Combustível</v>
      </c>
      <c r="O481" s="44" t="str">
        <f t="shared" si="1"/>
        <v>OPF2CPF - Desp. Transporte / Combustível</v>
      </c>
      <c r="P481" s="44" t="str">
        <f t="shared" si="2"/>
        <v>MCSOPF2CPF - Desp. Transporte / Combustível</v>
      </c>
      <c r="Q481" s="44" t="str">
        <f t="shared" si="3"/>
        <v>MCSOPF2</v>
      </c>
      <c r="R481" s="44" t="str">
        <f t="shared" si="4"/>
        <v>MCSOPF2</v>
      </c>
      <c r="S481" s="38"/>
      <c r="T481" s="304">
        <f t="shared" si="5"/>
        <v>46143</v>
      </c>
      <c r="U481" s="304" t="str">
        <f t="shared" si="6"/>
        <v/>
      </c>
      <c r="V481" s="300" t="s">
        <v>761</v>
      </c>
    </row>
    <row r="482" spans="2:22" s="300" customFormat="1" x14ac:dyDescent="0.25">
      <c r="B482" s="301" t="s">
        <v>25</v>
      </c>
      <c r="C482" s="302"/>
      <c r="D482" s="86" t="str">
        <f>INDEX(Cad_Natureza!$B$3:$C$52,MATCH('2026'!F482,Cad_Natureza!$C$3:$C$52,0),MATCH('2026'!D$2,Cad_Natureza!$B$3:$C$3,0))</f>
        <v>GAST1</v>
      </c>
      <c r="E482" s="84" t="s">
        <v>1688</v>
      </c>
      <c r="F482" s="85" t="s">
        <v>742</v>
      </c>
      <c r="G482" s="86" t="s">
        <v>25</v>
      </c>
      <c r="H482" s="87">
        <v>46157</v>
      </c>
      <c r="I482" s="87"/>
      <c r="J482" s="79" t="s">
        <v>185</v>
      </c>
      <c r="K482" s="62">
        <v>-15</v>
      </c>
      <c r="L482" s="62">
        <f t="shared" si="112"/>
        <v>858.77000000000078</v>
      </c>
      <c r="M482" s="302"/>
      <c r="N482" s="44" t="str">
        <f t="shared" si="0"/>
        <v>MCSGAST1CPF - Desp. Lazer e Entretenimento - Bares</v>
      </c>
      <c r="O482" s="44" t="str">
        <f t="shared" si="1"/>
        <v>GAST1CPF - Desp. Lazer e Entretenimento - Bares</v>
      </c>
      <c r="P482" s="44" t="str">
        <f t="shared" si="2"/>
        <v>MCSGAST1CPF - Desp. Lazer e Entretenimento - Bares</v>
      </c>
      <c r="Q482" s="44" t="str">
        <f t="shared" si="3"/>
        <v>MCSGAST1</v>
      </c>
      <c r="R482" s="44" t="str">
        <f t="shared" si="4"/>
        <v>MCSGAST1</v>
      </c>
      <c r="S482" s="38"/>
      <c r="T482" s="304">
        <f t="shared" si="5"/>
        <v>46143</v>
      </c>
      <c r="U482" s="304" t="str">
        <f t="shared" si="6"/>
        <v/>
      </c>
      <c r="V482" s="300" t="s">
        <v>761</v>
      </c>
    </row>
    <row r="483" spans="2:22" s="300" customFormat="1" x14ac:dyDescent="0.25">
      <c r="B483" s="301" t="s">
        <v>25</v>
      </c>
      <c r="C483" s="302"/>
      <c r="D483" s="86" t="str">
        <f>INDEX(Cad_Natureza!$B$3:$C$52,MATCH('2026'!F483,Cad_Natureza!$C$3:$C$52,0),MATCH('2026'!D$2,Cad_Natureza!$B$3:$C$3,0))</f>
        <v>GAST1</v>
      </c>
      <c r="E483" s="84" t="s">
        <v>1689</v>
      </c>
      <c r="F483" s="85" t="s">
        <v>742</v>
      </c>
      <c r="G483" s="86" t="s">
        <v>25</v>
      </c>
      <c r="H483" s="87">
        <v>46157</v>
      </c>
      <c r="I483" s="87"/>
      <c r="J483" s="79" t="s">
        <v>185</v>
      </c>
      <c r="K483" s="62">
        <v>-10</v>
      </c>
      <c r="L483" s="62">
        <f t="shared" si="112"/>
        <v>848.77000000000078</v>
      </c>
      <c r="M483" s="302"/>
      <c r="N483" s="44" t="str">
        <f t="shared" si="0"/>
        <v>MCSGAST1CPF - Desp. Lazer e Entretenimento - Bares</v>
      </c>
      <c r="O483" s="44" t="str">
        <f t="shared" si="1"/>
        <v>GAST1CPF - Desp. Lazer e Entretenimento - Bares</v>
      </c>
      <c r="P483" s="44" t="str">
        <f t="shared" si="2"/>
        <v>MCSGAST1CPF - Desp. Lazer e Entretenimento - Bares</v>
      </c>
      <c r="Q483" s="44" t="str">
        <f t="shared" si="3"/>
        <v>MCSGAST1</v>
      </c>
      <c r="R483" s="44" t="str">
        <f t="shared" si="4"/>
        <v>MCSGAST1</v>
      </c>
      <c r="S483" s="38"/>
      <c r="T483" s="304">
        <f t="shared" si="5"/>
        <v>46143</v>
      </c>
      <c r="U483" s="304" t="str">
        <f t="shared" si="6"/>
        <v/>
      </c>
      <c r="V483" s="300" t="s">
        <v>731</v>
      </c>
    </row>
    <row r="484" spans="2:22" s="300" customFormat="1" x14ac:dyDescent="0.25">
      <c r="B484" s="301" t="s">
        <v>25</v>
      </c>
      <c r="C484" s="302"/>
      <c r="D484" s="86" t="str">
        <f>INDEX(Cad_Natureza!$B$3:$C$52,MATCH('2026'!F484,Cad_Natureza!$C$3:$C$52,0),MATCH('2026'!D$2,Cad_Natureza!$B$3:$C$3,0))</f>
        <v>GAST1</v>
      </c>
      <c r="E484" s="84" t="s">
        <v>1689</v>
      </c>
      <c r="F484" s="85" t="s">
        <v>742</v>
      </c>
      <c r="G484" s="86" t="s">
        <v>25</v>
      </c>
      <c r="H484" s="87">
        <v>46157</v>
      </c>
      <c r="I484" s="87"/>
      <c r="J484" s="79" t="s">
        <v>185</v>
      </c>
      <c r="K484" s="62">
        <v>-7</v>
      </c>
      <c r="L484" s="62">
        <f t="shared" si="112"/>
        <v>841.77000000000078</v>
      </c>
      <c r="M484" s="302"/>
      <c r="N484" s="44" t="str">
        <f t="shared" si="0"/>
        <v>MCSGAST1CPF - Desp. Lazer e Entretenimento - Bares</v>
      </c>
      <c r="O484" s="44" t="str">
        <f t="shared" si="1"/>
        <v>GAST1CPF - Desp. Lazer e Entretenimento - Bares</v>
      </c>
      <c r="P484" s="44" t="str">
        <f t="shared" si="2"/>
        <v>MCSGAST1CPF - Desp. Lazer e Entretenimento - Bares</v>
      </c>
      <c r="Q484" s="44" t="str">
        <f t="shared" si="3"/>
        <v>MCSGAST1</v>
      </c>
      <c r="R484" s="44" t="str">
        <f t="shared" si="4"/>
        <v>MCSGAST1</v>
      </c>
      <c r="S484" s="38"/>
      <c r="T484" s="304">
        <f t="shared" si="5"/>
        <v>46143</v>
      </c>
      <c r="U484" s="304" t="str">
        <f t="shared" si="6"/>
        <v/>
      </c>
      <c r="V484" s="300" t="s">
        <v>731</v>
      </c>
    </row>
    <row r="485" spans="2:22" s="300" customFormat="1" x14ac:dyDescent="0.25">
      <c r="B485" s="301" t="s">
        <v>25</v>
      </c>
      <c r="C485" s="302"/>
      <c r="D485" s="86" t="str">
        <f>INDEX(Cad_Natureza!$B$3:$C$52,MATCH('2026'!F485,Cad_Natureza!$C$3:$C$52,0),MATCH('2026'!D$2,Cad_Natureza!$B$3:$C$3,0))</f>
        <v>GAST1</v>
      </c>
      <c r="E485" s="84" t="s">
        <v>1690</v>
      </c>
      <c r="F485" s="85" t="s">
        <v>742</v>
      </c>
      <c r="G485" s="86" t="s">
        <v>25</v>
      </c>
      <c r="H485" s="87">
        <v>46160</v>
      </c>
      <c r="I485" s="87"/>
      <c r="J485" s="79" t="s">
        <v>185</v>
      </c>
      <c r="K485" s="62">
        <v>-42</v>
      </c>
      <c r="L485" s="62">
        <f t="shared" si="112"/>
        <v>799.77000000000078</v>
      </c>
      <c r="M485" s="302"/>
      <c r="N485" s="44" t="str">
        <f t="shared" si="0"/>
        <v>MCSGAST1CPF - Desp. Lazer e Entretenimento - Bares</v>
      </c>
      <c r="O485" s="44" t="str">
        <f t="shared" si="1"/>
        <v>GAST1CPF - Desp. Lazer e Entretenimento - Bares</v>
      </c>
      <c r="P485" s="44" t="str">
        <f t="shared" si="2"/>
        <v>MCSGAST1CPF - Desp. Lazer e Entretenimento - Bares</v>
      </c>
      <c r="Q485" s="44" t="str">
        <f t="shared" si="3"/>
        <v>MCSGAST1</v>
      </c>
      <c r="R485" s="44" t="str">
        <f t="shared" si="4"/>
        <v>MCSGAST1</v>
      </c>
      <c r="S485" s="38"/>
      <c r="T485" s="304">
        <f t="shared" si="5"/>
        <v>46143</v>
      </c>
      <c r="U485" s="304" t="str">
        <f t="shared" si="6"/>
        <v/>
      </c>
      <c r="V485" s="300" t="s">
        <v>761</v>
      </c>
    </row>
    <row r="486" spans="2:22" s="300" customFormat="1" x14ac:dyDescent="0.25">
      <c r="B486" s="301" t="s">
        <v>25</v>
      </c>
      <c r="C486" s="302"/>
      <c r="D486" s="86" t="str">
        <f>INDEX(Cad_Natureza!$B$3:$C$52,MATCH('2026'!F486,Cad_Natureza!$C$3:$C$52,0),MATCH('2026'!D$2,Cad_Natureza!$B$3:$C$3,0))</f>
        <v>GAST1</v>
      </c>
      <c r="E486" s="84" t="s">
        <v>1690</v>
      </c>
      <c r="F486" s="85" t="s">
        <v>742</v>
      </c>
      <c r="G486" s="86" t="s">
        <v>25</v>
      </c>
      <c r="H486" s="87">
        <v>46160</v>
      </c>
      <c r="I486" s="87"/>
      <c r="J486" s="79" t="s">
        <v>185</v>
      </c>
      <c r="K486" s="62">
        <v>-12</v>
      </c>
      <c r="L486" s="62">
        <f t="shared" si="112"/>
        <v>787.77000000000078</v>
      </c>
      <c r="M486" s="302"/>
      <c r="N486" s="44" t="str">
        <f t="shared" si="0"/>
        <v>MCSGAST1CPF - Desp. Lazer e Entretenimento - Bares</v>
      </c>
      <c r="O486" s="44" t="str">
        <f t="shared" si="1"/>
        <v>GAST1CPF - Desp. Lazer e Entretenimento - Bares</v>
      </c>
      <c r="P486" s="44" t="str">
        <f t="shared" si="2"/>
        <v>MCSGAST1CPF - Desp. Lazer e Entretenimento - Bares</v>
      </c>
      <c r="Q486" s="44" t="str">
        <f t="shared" si="3"/>
        <v>MCSGAST1</v>
      </c>
      <c r="R486" s="44" t="str">
        <f t="shared" si="4"/>
        <v>MCSGAST1</v>
      </c>
      <c r="S486" s="38"/>
      <c r="T486" s="304">
        <f t="shared" si="5"/>
        <v>46143</v>
      </c>
      <c r="U486" s="304" t="str">
        <f t="shared" si="6"/>
        <v/>
      </c>
      <c r="V486" s="300" t="s">
        <v>761</v>
      </c>
    </row>
    <row r="487" spans="2:22" s="300" customFormat="1" x14ac:dyDescent="0.25">
      <c r="B487" s="301" t="s">
        <v>25</v>
      </c>
      <c r="C487" s="302"/>
      <c r="D487" s="86" t="str">
        <f>INDEX(Cad_Natureza!$B$3:$C$52,MATCH('2026'!F487,Cad_Natureza!$C$3:$C$52,0),MATCH('2026'!D$2,Cad_Natureza!$B$3:$C$3,0))</f>
        <v>GAST1</v>
      </c>
      <c r="E487" s="84" t="s">
        <v>1691</v>
      </c>
      <c r="F487" s="85" t="s">
        <v>742</v>
      </c>
      <c r="G487" s="86" t="s">
        <v>25</v>
      </c>
      <c r="H487" s="87">
        <v>46160</v>
      </c>
      <c r="I487" s="87"/>
      <c r="J487" s="79" t="s">
        <v>185</v>
      </c>
      <c r="K487" s="62">
        <v>-6.5</v>
      </c>
      <c r="L487" s="62">
        <f t="shared" si="112"/>
        <v>781.27000000000078</v>
      </c>
      <c r="M487" s="302"/>
      <c r="N487" s="44" t="str">
        <f t="shared" si="0"/>
        <v>MCSGAST1CPF - Desp. Lazer e Entretenimento - Bares</v>
      </c>
      <c r="O487" s="44" t="str">
        <f t="shared" si="1"/>
        <v>GAST1CPF - Desp. Lazer e Entretenimento - Bares</v>
      </c>
      <c r="P487" s="44" t="str">
        <f t="shared" si="2"/>
        <v>MCSGAST1CPF - Desp. Lazer e Entretenimento - Bares</v>
      </c>
      <c r="Q487" s="44" t="str">
        <f t="shared" si="3"/>
        <v>MCSGAST1</v>
      </c>
      <c r="R487" s="44" t="str">
        <f t="shared" si="4"/>
        <v>MCSGAST1</v>
      </c>
      <c r="S487" s="38"/>
      <c r="T487" s="304">
        <f t="shared" si="5"/>
        <v>46143</v>
      </c>
      <c r="U487" s="304" t="str">
        <f t="shared" si="6"/>
        <v/>
      </c>
      <c r="V487" s="300" t="s">
        <v>761</v>
      </c>
    </row>
    <row r="488" spans="2:22" s="300" customFormat="1" x14ac:dyDescent="0.25">
      <c r="B488" s="301" t="s">
        <v>25</v>
      </c>
      <c r="C488" s="302"/>
      <c r="D488" s="86" t="str">
        <f>INDEX(Cad_Natureza!$B$3:$C$52,MATCH('2026'!F488,Cad_Natureza!$C$3:$C$52,0),MATCH('2026'!D$2,Cad_Natureza!$B$3:$C$3,0))</f>
        <v>OPF1</v>
      </c>
      <c r="E488" s="84" t="s">
        <v>1692</v>
      </c>
      <c r="F488" s="85" t="s">
        <v>744</v>
      </c>
      <c r="G488" s="86" t="s">
        <v>25</v>
      </c>
      <c r="H488" s="87">
        <v>46160</v>
      </c>
      <c r="I488" s="87"/>
      <c r="J488" s="79" t="s">
        <v>457</v>
      </c>
      <c r="K488" s="62">
        <v>-7.5</v>
      </c>
      <c r="L488" s="62">
        <f t="shared" si="112"/>
        <v>773.77000000000078</v>
      </c>
      <c r="M488" s="302"/>
      <c r="N488" s="44" t="str">
        <f t="shared" si="0"/>
        <v>MCSOPF1CPF - Desp. Alimentação / Refeição</v>
      </c>
      <c r="O488" s="44" t="str">
        <f t="shared" si="1"/>
        <v>OPF1CPF - Desp. Alimentação / Refeição</v>
      </c>
      <c r="P488" s="44" t="str">
        <f t="shared" si="2"/>
        <v>MCSOPF1CPF - Desp. Alimentação / Refeição</v>
      </c>
      <c r="Q488" s="44" t="str">
        <f t="shared" si="3"/>
        <v>MCSOPF1</v>
      </c>
      <c r="R488" s="44" t="str">
        <f t="shared" si="4"/>
        <v>MCSOPF1</v>
      </c>
      <c r="S488" s="38"/>
      <c r="T488" s="304">
        <f t="shared" si="5"/>
        <v>46143</v>
      </c>
      <c r="U488" s="304" t="str">
        <f t="shared" si="6"/>
        <v/>
      </c>
      <c r="V488" s="300" t="s">
        <v>761</v>
      </c>
    </row>
    <row r="489" spans="2:22" s="300" customFormat="1" x14ac:dyDescent="0.25">
      <c r="B489" s="301" t="s">
        <v>25</v>
      </c>
      <c r="C489" s="302"/>
      <c r="D489" s="86" t="str">
        <f>INDEX(Cad_Natureza!$B$3:$C$52,MATCH('2026'!F489,Cad_Natureza!$C$3:$C$52,0),MATCH('2026'!D$2,Cad_Natureza!$B$3:$C$3,0))</f>
        <v>DESP2</v>
      </c>
      <c r="E489" s="84" t="s">
        <v>1693</v>
      </c>
      <c r="F489" s="85" t="s">
        <v>739</v>
      </c>
      <c r="G489" s="86" t="s">
        <v>25</v>
      </c>
      <c r="H489" s="87">
        <v>46160</v>
      </c>
      <c r="I489" s="87"/>
      <c r="J489" s="79" t="s">
        <v>1846</v>
      </c>
      <c r="K489" s="62">
        <v>-124.92</v>
      </c>
      <c r="L489" s="62">
        <f t="shared" si="112"/>
        <v>648.85000000000082</v>
      </c>
      <c r="M489" s="302"/>
      <c r="N489" s="44" t="str">
        <f t="shared" si="0"/>
        <v>MCSDESP2CPF - Desp. Telefone / Internet</v>
      </c>
      <c r="O489" s="44" t="str">
        <f t="shared" si="1"/>
        <v>DESP2CPF - Desp. Telefone / Internet</v>
      </c>
      <c r="P489" s="44" t="str">
        <f t="shared" si="2"/>
        <v>MCSDESP2CPF - Desp. Telefone / Internet</v>
      </c>
      <c r="Q489" s="44" t="str">
        <f t="shared" si="3"/>
        <v>MCSDESP2</v>
      </c>
      <c r="R489" s="44" t="str">
        <f t="shared" si="4"/>
        <v>MCSDESP2</v>
      </c>
      <c r="S489" s="38"/>
      <c r="T489" s="304">
        <f t="shared" si="5"/>
        <v>46143</v>
      </c>
      <c r="U489" s="304" t="str">
        <f t="shared" si="6"/>
        <v/>
      </c>
      <c r="V489" s="300" t="s">
        <v>761</v>
      </c>
    </row>
    <row r="490" spans="2:22" s="300" customFormat="1" x14ac:dyDescent="0.25">
      <c r="B490" s="301" t="s">
        <v>25</v>
      </c>
      <c r="C490" s="302"/>
      <c r="D490" s="86" t="str">
        <f>INDEX(Cad_Natureza!$B$3:$C$52,MATCH('2026'!F490,Cad_Natureza!$C$3:$C$52,0),MATCH('2026'!D$2,Cad_Natureza!$B$3:$C$3,0))</f>
        <v>DESP3</v>
      </c>
      <c r="E490" s="84" t="s">
        <v>1694</v>
      </c>
      <c r="F490" s="85" t="s">
        <v>736</v>
      </c>
      <c r="G490" s="86" t="s">
        <v>25</v>
      </c>
      <c r="H490" s="87">
        <v>46160</v>
      </c>
      <c r="I490" s="87"/>
      <c r="J490" s="79" t="s">
        <v>1847</v>
      </c>
      <c r="K490" s="62">
        <v>-15</v>
      </c>
      <c r="L490" s="62">
        <f t="shared" si="112"/>
        <v>633.85000000000082</v>
      </c>
      <c r="M490" s="302"/>
      <c r="N490" s="44" t="str">
        <f t="shared" si="0"/>
        <v xml:space="preserve">MCSDESP3CPF - Desp. com veículo - Manut. / Gastos </v>
      </c>
      <c r="O490" s="44" t="str">
        <f t="shared" si="1"/>
        <v xml:space="preserve">DESP3CPF - Desp. com veículo - Manut. / Gastos </v>
      </c>
      <c r="P490" s="44" t="str">
        <f t="shared" si="2"/>
        <v xml:space="preserve">MCSDESP3CPF - Desp. com veículo - Manut. / Gastos </v>
      </c>
      <c r="Q490" s="44" t="str">
        <f t="shared" si="3"/>
        <v>MCSDESP3</v>
      </c>
      <c r="R490" s="44" t="str">
        <f t="shared" si="4"/>
        <v>MCSDESP3</v>
      </c>
      <c r="S490" s="38"/>
      <c r="T490" s="304">
        <f t="shared" si="5"/>
        <v>46143</v>
      </c>
      <c r="U490" s="304" t="str">
        <f t="shared" si="6"/>
        <v/>
      </c>
      <c r="V490" s="300" t="s">
        <v>731</v>
      </c>
    </row>
    <row r="491" spans="2:22" s="300" customFormat="1" x14ac:dyDescent="0.25">
      <c r="B491" s="301" t="s">
        <v>25</v>
      </c>
      <c r="C491" s="302"/>
      <c r="D491" s="86" t="str">
        <f>INDEX(Cad_Natureza!$B$3:$C$52,MATCH('2026'!F491,Cad_Natureza!$C$3:$C$52,0),MATCH('2026'!D$2,Cad_Natureza!$B$3:$C$3,0))</f>
        <v>OPF1</v>
      </c>
      <c r="E491" s="84" t="s">
        <v>1695</v>
      </c>
      <c r="F491" s="85" t="s">
        <v>744</v>
      </c>
      <c r="G491" s="86" t="s">
        <v>25</v>
      </c>
      <c r="H491" s="87">
        <v>46160</v>
      </c>
      <c r="I491" s="87"/>
      <c r="J491" s="79" t="s">
        <v>457</v>
      </c>
      <c r="K491" s="62">
        <v>-25</v>
      </c>
      <c r="L491" s="62">
        <f t="shared" si="112"/>
        <v>608.85000000000082</v>
      </c>
      <c r="M491" s="302"/>
      <c r="N491" s="44" t="str">
        <f t="shared" si="0"/>
        <v>MCSOPF1CPF - Desp. Alimentação / Refeição</v>
      </c>
      <c r="O491" s="44" t="str">
        <f t="shared" si="1"/>
        <v>OPF1CPF - Desp. Alimentação / Refeição</v>
      </c>
      <c r="P491" s="44" t="str">
        <f t="shared" si="2"/>
        <v>MCSOPF1CPF - Desp. Alimentação / Refeição</v>
      </c>
      <c r="Q491" s="44" t="str">
        <f t="shared" si="3"/>
        <v>MCSOPF1</v>
      </c>
      <c r="R491" s="44" t="str">
        <f t="shared" si="4"/>
        <v>MCSOPF1</v>
      </c>
      <c r="S491" s="38"/>
      <c r="T491" s="304">
        <f t="shared" si="5"/>
        <v>46143</v>
      </c>
      <c r="U491" s="304" t="str">
        <f t="shared" si="6"/>
        <v/>
      </c>
      <c r="V491" s="300" t="s">
        <v>731</v>
      </c>
    </row>
    <row r="492" spans="2:22" s="300" customFormat="1" x14ac:dyDescent="0.25">
      <c r="B492" s="301" t="s">
        <v>25</v>
      </c>
      <c r="C492" s="302"/>
      <c r="D492" s="86" t="str">
        <f>INDEX(Cad_Natureza!$B$3:$C$52,MATCH('2026'!F492,Cad_Natureza!$C$3:$C$52,0),MATCH('2026'!D$2,Cad_Natureza!$B$3:$C$3,0))</f>
        <v>GAST1</v>
      </c>
      <c r="E492" s="84" t="s">
        <v>1696</v>
      </c>
      <c r="F492" s="85" t="s">
        <v>742</v>
      </c>
      <c r="G492" s="86" t="s">
        <v>25</v>
      </c>
      <c r="H492" s="87">
        <v>46160</v>
      </c>
      <c r="I492" s="87"/>
      <c r="J492" s="79" t="s">
        <v>1590</v>
      </c>
      <c r="K492" s="62">
        <v>-3</v>
      </c>
      <c r="L492" s="62">
        <f t="shared" si="112"/>
        <v>605.85000000000082</v>
      </c>
      <c r="M492" s="302"/>
      <c r="N492" s="44" t="str">
        <f t="shared" si="0"/>
        <v>MCSGAST1CPF - Desp. Lazer e Entretenimento - Bares</v>
      </c>
      <c r="O492" s="44" t="str">
        <f t="shared" si="1"/>
        <v>GAST1CPF - Desp. Lazer e Entretenimento - Bares</v>
      </c>
      <c r="P492" s="44" t="str">
        <f t="shared" si="2"/>
        <v>MCSGAST1CPF - Desp. Lazer e Entretenimento - Bares</v>
      </c>
      <c r="Q492" s="44" t="str">
        <f t="shared" si="3"/>
        <v>MCSGAST1</v>
      </c>
      <c r="R492" s="44" t="str">
        <f t="shared" si="4"/>
        <v>MCSGAST1</v>
      </c>
      <c r="S492" s="38"/>
      <c r="T492" s="304">
        <f t="shared" si="5"/>
        <v>46143</v>
      </c>
      <c r="U492" s="304" t="str">
        <f t="shared" si="6"/>
        <v/>
      </c>
      <c r="V492" s="300" t="s">
        <v>761</v>
      </c>
    </row>
    <row r="493" spans="2:22" s="300" customFormat="1" x14ac:dyDescent="0.25">
      <c r="B493" s="301" t="s">
        <v>25</v>
      </c>
      <c r="C493" s="302"/>
      <c r="D493" s="86" t="str">
        <f>INDEX(Cad_Natureza!$B$3:$C$52,MATCH('2026'!F493,Cad_Natureza!$C$3:$C$52,0),MATCH('2026'!D$2,Cad_Natureza!$B$3:$C$3,0))</f>
        <v>GAST1</v>
      </c>
      <c r="E493" s="84" t="s">
        <v>1697</v>
      </c>
      <c r="F493" s="85" t="s">
        <v>742</v>
      </c>
      <c r="G493" s="86" t="s">
        <v>25</v>
      </c>
      <c r="H493" s="87">
        <v>46160</v>
      </c>
      <c r="I493" s="87"/>
      <c r="J493" s="79" t="s">
        <v>185</v>
      </c>
      <c r="K493" s="62">
        <v>-25</v>
      </c>
      <c r="L493" s="62">
        <f t="shared" si="112"/>
        <v>580.85000000000082</v>
      </c>
      <c r="M493" s="302"/>
      <c r="N493" s="44" t="str">
        <f t="shared" si="0"/>
        <v>MCSGAST1CPF - Desp. Lazer e Entretenimento - Bares</v>
      </c>
      <c r="O493" s="44" t="str">
        <f t="shared" si="1"/>
        <v>GAST1CPF - Desp. Lazer e Entretenimento - Bares</v>
      </c>
      <c r="P493" s="44" t="str">
        <f t="shared" si="2"/>
        <v>MCSGAST1CPF - Desp. Lazer e Entretenimento - Bares</v>
      </c>
      <c r="Q493" s="44" t="str">
        <f t="shared" si="3"/>
        <v>MCSGAST1</v>
      </c>
      <c r="R493" s="44" t="str">
        <f t="shared" si="4"/>
        <v>MCSGAST1</v>
      </c>
      <c r="S493" s="38"/>
      <c r="T493" s="304">
        <f t="shared" si="5"/>
        <v>46143</v>
      </c>
      <c r="U493" s="304" t="str">
        <f t="shared" si="6"/>
        <v/>
      </c>
      <c r="V493" s="300" t="s">
        <v>761</v>
      </c>
    </row>
    <row r="494" spans="2:22" s="300" customFormat="1" x14ac:dyDescent="0.25">
      <c r="B494" s="301" t="s">
        <v>25</v>
      </c>
      <c r="C494" s="302"/>
      <c r="D494" s="86" t="str">
        <f>INDEX(Cad_Natureza!$B$3:$C$52,MATCH('2026'!F494,Cad_Natureza!$C$3:$C$52,0),MATCH('2026'!D$2,Cad_Natureza!$B$3:$C$3,0))</f>
        <v>GAST1</v>
      </c>
      <c r="E494" s="84" t="s">
        <v>1697</v>
      </c>
      <c r="F494" s="85" t="s">
        <v>742</v>
      </c>
      <c r="G494" s="86" t="s">
        <v>25</v>
      </c>
      <c r="H494" s="87">
        <v>46160</v>
      </c>
      <c r="I494" s="87"/>
      <c r="J494" s="79" t="s">
        <v>185</v>
      </c>
      <c r="K494" s="62">
        <v>-22</v>
      </c>
      <c r="L494" s="62">
        <f t="shared" si="112"/>
        <v>558.85000000000082</v>
      </c>
      <c r="M494" s="302"/>
      <c r="N494" s="44" t="str">
        <f t="shared" si="0"/>
        <v>MCSGAST1CPF - Desp. Lazer e Entretenimento - Bares</v>
      </c>
      <c r="O494" s="44" t="str">
        <f t="shared" si="1"/>
        <v>GAST1CPF - Desp. Lazer e Entretenimento - Bares</v>
      </c>
      <c r="P494" s="44" t="str">
        <f t="shared" si="2"/>
        <v>MCSGAST1CPF - Desp. Lazer e Entretenimento - Bares</v>
      </c>
      <c r="Q494" s="44" t="str">
        <f t="shared" si="3"/>
        <v>MCSGAST1</v>
      </c>
      <c r="R494" s="44" t="str">
        <f t="shared" si="4"/>
        <v>MCSGAST1</v>
      </c>
      <c r="S494" s="38"/>
      <c r="T494" s="304">
        <f t="shared" si="5"/>
        <v>46143</v>
      </c>
      <c r="U494" s="304" t="str">
        <f t="shared" si="6"/>
        <v/>
      </c>
      <c r="V494" s="300" t="s">
        <v>761</v>
      </c>
    </row>
    <row r="495" spans="2:22" s="300" customFormat="1" x14ac:dyDescent="0.25">
      <c r="B495" s="301" t="s">
        <v>25</v>
      </c>
      <c r="C495" s="302"/>
      <c r="D495" s="86" t="str">
        <f>INDEX(Cad_Natureza!$B$3:$C$52,MATCH('2026'!F495,Cad_Natureza!$C$3:$C$52,0),MATCH('2026'!D$2,Cad_Natureza!$B$3:$C$3,0))</f>
        <v>GAST1</v>
      </c>
      <c r="E495" s="84" t="s">
        <v>1697</v>
      </c>
      <c r="F495" s="85" t="s">
        <v>742</v>
      </c>
      <c r="G495" s="86" t="s">
        <v>25</v>
      </c>
      <c r="H495" s="87">
        <v>46160</v>
      </c>
      <c r="I495" s="87"/>
      <c r="J495" s="79" t="s">
        <v>185</v>
      </c>
      <c r="K495" s="62">
        <v>-48</v>
      </c>
      <c r="L495" s="62">
        <f t="shared" si="112"/>
        <v>510.85000000000082</v>
      </c>
      <c r="M495" s="302"/>
      <c r="N495" s="44" t="str">
        <f t="shared" si="0"/>
        <v>MCSGAST1CPF - Desp. Lazer e Entretenimento - Bares</v>
      </c>
      <c r="O495" s="44" t="str">
        <f t="shared" si="1"/>
        <v>GAST1CPF - Desp. Lazer e Entretenimento - Bares</v>
      </c>
      <c r="P495" s="44" t="str">
        <f t="shared" si="2"/>
        <v>MCSGAST1CPF - Desp. Lazer e Entretenimento - Bares</v>
      </c>
      <c r="Q495" s="44" t="str">
        <f t="shared" si="3"/>
        <v>MCSGAST1</v>
      </c>
      <c r="R495" s="44" t="str">
        <f t="shared" si="4"/>
        <v>MCSGAST1</v>
      </c>
      <c r="S495" s="38"/>
      <c r="T495" s="304">
        <f t="shared" si="5"/>
        <v>46143</v>
      </c>
      <c r="U495" s="304" t="str">
        <f t="shared" si="6"/>
        <v/>
      </c>
      <c r="V495" s="300" t="s">
        <v>761</v>
      </c>
    </row>
    <row r="496" spans="2:22" s="300" customFormat="1" x14ac:dyDescent="0.25">
      <c r="B496" s="301" t="s">
        <v>25</v>
      </c>
      <c r="C496" s="302"/>
      <c r="D496" s="86" t="str">
        <f>INDEX(Cad_Natureza!$B$3:$C$52,MATCH('2026'!F496,Cad_Natureza!$C$3:$C$52,0),MATCH('2026'!D$2,Cad_Natureza!$B$3:$C$3,0))</f>
        <v>GAST1</v>
      </c>
      <c r="E496" s="84" t="s">
        <v>1697</v>
      </c>
      <c r="F496" s="85" t="s">
        <v>742</v>
      </c>
      <c r="G496" s="86" t="s">
        <v>25</v>
      </c>
      <c r="H496" s="87">
        <v>46160</v>
      </c>
      <c r="I496" s="87"/>
      <c r="J496" s="79" t="s">
        <v>185</v>
      </c>
      <c r="K496" s="62">
        <v>-48</v>
      </c>
      <c r="L496" s="62">
        <f t="shared" si="112"/>
        <v>462.85000000000082</v>
      </c>
      <c r="M496" s="302"/>
      <c r="N496" s="44" t="str">
        <f t="shared" si="0"/>
        <v>MCSGAST1CPF - Desp. Lazer e Entretenimento - Bares</v>
      </c>
      <c r="O496" s="44" t="str">
        <f t="shared" si="1"/>
        <v>GAST1CPF - Desp. Lazer e Entretenimento - Bares</v>
      </c>
      <c r="P496" s="44" t="str">
        <f t="shared" si="2"/>
        <v>MCSGAST1CPF - Desp. Lazer e Entretenimento - Bares</v>
      </c>
      <c r="Q496" s="44" t="str">
        <f t="shared" si="3"/>
        <v>MCSGAST1</v>
      </c>
      <c r="R496" s="44" t="str">
        <f t="shared" si="4"/>
        <v>MCSGAST1</v>
      </c>
      <c r="S496" s="38"/>
      <c r="T496" s="304">
        <f t="shared" si="5"/>
        <v>46143</v>
      </c>
      <c r="U496" s="304" t="str">
        <f t="shared" si="6"/>
        <v/>
      </c>
      <c r="V496" s="300" t="s">
        <v>761</v>
      </c>
    </row>
    <row r="497" spans="2:22" s="300" customFormat="1" x14ac:dyDescent="0.25">
      <c r="B497" s="301" t="s">
        <v>25</v>
      </c>
      <c r="C497" s="302"/>
      <c r="D497" s="86" t="str">
        <f>INDEX(Cad_Natureza!$B$3:$C$52,MATCH('2026'!F497,Cad_Natureza!$C$3:$C$52,0),MATCH('2026'!D$2,Cad_Natureza!$B$3:$C$3,0))</f>
        <v>GAST1</v>
      </c>
      <c r="E497" s="84" t="s">
        <v>1698</v>
      </c>
      <c r="F497" s="85" t="s">
        <v>742</v>
      </c>
      <c r="G497" s="86" t="s">
        <v>25</v>
      </c>
      <c r="H497" s="87">
        <v>46160</v>
      </c>
      <c r="I497" s="87"/>
      <c r="J497" s="79" t="s">
        <v>1590</v>
      </c>
      <c r="K497" s="62">
        <v>-72</v>
      </c>
      <c r="L497" s="62">
        <f t="shared" si="112"/>
        <v>390.85000000000082</v>
      </c>
      <c r="M497" s="302"/>
      <c r="N497" s="44" t="str">
        <f t="shared" si="0"/>
        <v>MCSGAST1CPF - Desp. Lazer e Entretenimento - Bares</v>
      </c>
      <c r="O497" s="44" t="str">
        <f t="shared" si="1"/>
        <v>GAST1CPF - Desp. Lazer e Entretenimento - Bares</v>
      </c>
      <c r="P497" s="44" t="str">
        <f t="shared" si="2"/>
        <v>MCSGAST1CPF - Desp. Lazer e Entretenimento - Bares</v>
      </c>
      <c r="Q497" s="44" t="str">
        <f t="shared" si="3"/>
        <v>MCSGAST1</v>
      </c>
      <c r="R497" s="44" t="str">
        <f t="shared" si="4"/>
        <v>MCSGAST1</v>
      </c>
      <c r="S497" s="38"/>
      <c r="T497" s="304">
        <f t="shared" si="5"/>
        <v>46143</v>
      </c>
      <c r="U497" s="304" t="str">
        <f t="shared" si="6"/>
        <v/>
      </c>
      <c r="V497" s="300" t="s">
        <v>731</v>
      </c>
    </row>
    <row r="498" spans="2:22" s="300" customFormat="1" x14ac:dyDescent="0.25">
      <c r="B498" s="301" t="s">
        <v>25</v>
      </c>
      <c r="C498" s="302"/>
      <c r="D498" s="86" t="str">
        <f>INDEX(Cad_Natureza!$B$3:$C$52,MATCH('2026'!F498,Cad_Natureza!$C$3:$C$52,0),MATCH('2026'!D$2,Cad_Natureza!$B$3:$C$3,0))</f>
        <v>OUG1</v>
      </c>
      <c r="E498" s="84" t="s">
        <v>1699</v>
      </c>
      <c r="F498" s="85" t="s">
        <v>748</v>
      </c>
      <c r="G498" s="86" t="s">
        <v>25</v>
      </c>
      <c r="H498" s="87">
        <v>46160</v>
      </c>
      <c r="I498" s="87"/>
      <c r="J498" s="79" t="s">
        <v>1841</v>
      </c>
      <c r="K498" s="62">
        <v>-28</v>
      </c>
      <c r="L498" s="62">
        <f t="shared" si="112"/>
        <v>362.85000000000082</v>
      </c>
      <c r="M498" s="302"/>
      <c r="N498" s="44" t="str">
        <f t="shared" si="0"/>
        <v>MCSOUG1CPF - Outros gastos</v>
      </c>
      <c r="O498" s="44" t="str">
        <f t="shared" si="1"/>
        <v>OUG1CPF - Outros gastos</v>
      </c>
      <c r="P498" s="44" t="str">
        <f t="shared" si="2"/>
        <v>MCSOUG1CPF - Outros gastos</v>
      </c>
      <c r="Q498" s="44" t="str">
        <f t="shared" si="3"/>
        <v>MCSOUG1</v>
      </c>
      <c r="R498" s="44" t="str">
        <f t="shared" si="4"/>
        <v>MCSOUG1</v>
      </c>
      <c r="S498" s="38"/>
      <c r="T498" s="304">
        <f t="shared" si="5"/>
        <v>46143</v>
      </c>
      <c r="U498" s="304" t="str">
        <f t="shared" si="6"/>
        <v/>
      </c>
      <c r="V498" s="300" t="s">
        <v>731</v>
      </c>
    </row>
    <row r="499" spans="2:22" s="300" customFormat="1" x14ac:dyDescent="0.25">
      <c r="B499" s="301" t="s">
        <v>25</v>
      </c>
      <c r="C499" s="302"/>
      <c r="D499" s="86" t="str">
        <f>INDEX(Cad_Natureza!$B$3:$C$52,MATCH('2026'!F499,Cad_Natureza!$C$3:$C$52,0),MATCH('2026'!D$2,Cad_Natureza!$B$3:$C$3,0))</f>
        <v>OPF1</v>
      </c>
      <c r="E499" s="84" t="s">
        <v>1700</v>
      </c>
      <c r="F499" s="85" t="s">
        <v>744</v>
      </c>
      <c r="G499" s="86" t="s">
        <v>25</v>
      </c>
      <c r="H499" s="87">
        <v>46160</v>
      </c>
      <c r="I499" s="87"/>
      <c r="J499" s="79" t="s">
        <v>182</v>
      </c>
      <c r="K499" s="62">
        <v>-23.99</v>
      </c>
      <c r="L499" s="62">
        <f t="shared" si="112"/>
        <v>338.86000000000081</v>
      </c>
      <c r="M499" s="302"/>
      <c r="N499" s="44" t="str">
        <f t="shared" si="0"/>
        <v>MCSOPF1CPF - Desp. Alimentação / Refeição</v>
      </c>
      <c r="O499" s="44" t="str">
        <f t="shared" si="1"/>
        <v>OPF1CPF - Desp. Alimentação / Refeição</v>
      </c>
      <c r="P499" s="44" t="str">
        <f t="shared" si="2"/>
        <v>MCSOPF1CPF - Desp. Alimentação / Refeição</v>
      </c>
      <c r="Q499" s="44" t="str">
        <f t="shared" si="3"/>
        <v>MCSOPF1</v>
      </c>
      <c r="R499" s="44" t="str">
        <f t="shared" si="4"/>
        <v>MCSOPF1</v>
      </c>
      <c r="S499" s="38"/>
      <c r="T499" s="304">
        <f t="shared" si="5"/>
        <v>46143</v>
      </c>
      <c r="U499" s="304" t="str">
        <f t="shared" si="6"/>
        <v/>
      </c>
      <c r="V499" s="300" t="s">
        <v>761</v>
      </c>
    </row>
    <row r="500" spans="2:22" s="300" customFormat="1" x14ac:dyDescent="0.25">
      <c r="B500" s="301" t="s">
        <v>25</v>
      </c>
      <c r="C500" s="302"/>
      <c r="D500" s="86" t="str">
        <f>INDEX(Cad_Natureza!$B$3:$C$52,MATCH('2026'!F500,Cad_Natureza!$C$3:$C$52,0),MATCH('2026'!D$2,Cad_Natureza!$B$3:$C$3,0))</f>
        <v>OPF2</v>
      </c>
      <c r="E500" s="84" t="s">
        <v>1701</v>
      </c>
      <c r="F500" s="85" t="s">
        <v>741</v>
      </c>
      <c r="G500" s="86" t="s">
        <v>25</v>
      </c>
      <c r="H500" s="87">
        <v>46160</v>
      </c>
      <c r="I500" s="87"/>
      <c r="J500" s="79" t="s">
        <v>184</v>
      </c>
      <c r="K500" s="62">
        <v>-80</v>
      </c>
      <c r="L500" s="62">
        <f t="shared" si="112"/>
        <v>258.86000000000081</v>
      </c>
      <c r="M500" s="302"/>
      <c r="N500" s="44" t="str">
        <f t="shared" si="0"/>
        <v>MCSOPF2CPF - Desp. Transporte / Combustível</v>
      </c>
      <c r="O500" s="44" t="str">
        <f t="shared" si="1"/>
        <v>OPF2CPF - Desp. Transporte / Combustível</v>
      </c>
      <c r="P500" s="44" t="str">
        <f t="shared" si="2"/>
        <v>MCSOPF2CPF - Desp. Transporte / Combustível</v>
      </c>
      <c r="Q500" s="44" t="str">
        <f t="shared" si="3"/>
        <v>MCSOPF2</v>
      </c>
      <c r="R500" s="44" t="str">
        <f t="shared" si="4"/>
        <v>MCSOPF2</v>
      </c>
      <c r="S500" s="38"/>
      <c r="T500" s="304">
        <f t="shared" si="5"/>
        <v>46143</v>
      </c>
      <c r="U500" s="304" t="str">
        <f t="shared" si="6"/>
        <v/>
      </c>
      <c r="V500" s="300" t="s">
        <v>761</v>
      </c>
    </row>
    <row r="501" spans="2:22" s="300" customFormat="1" x14ac:dyDescent="0.25">
      <c r="B501" s="301" t="s">
        <v>25</v>
      </c>
      <c r="C501" s="302"/>
      <c r="D501" s="86" t="str">
        <f>INDEX(Cad_Natureza!$B$3:$C$52,MATCH('2026'!F501,Cad_Natureza!$C$3:$C$52,0),MATCH('2026'!D$2,Cad_Natureza!$B$3:$C$3,0))</f>
        <v>GAST1</v>
      </c>
      <c r="E501" s="84" t="s">
        <v>1702</v>
      </c>
      <c r="F501" s="85" t="s">
        <v>742</v>
      </c>
      <c r="G501" s="86" t="s">
        <v>25</v>
      </c>
      <c r="H501" s="87">
        <v>46160</v>
      </c>
      <c r="I501" s="87"/>
      <c r="J501" s="79" t="s">
        <v>1340</v>
      </c>
      <c r="K501" s="62">
        <v>-12</v>
      </c>
      <c r="L501" s="62">
        <f t="shared" si="112"/>
        <v>246.86000000000081</v>
      </c>
      <c r="M501" s="302"/>
      <c r="N501" s="44" t="str">
        <f t="shared" ref="N501:N520" si="120">B501&amp;D501&amp;F501</f>
        <v>MCSGAST1CPF - Desp. Lazer e Entretenimento - Bares</v>
      </c>
      <c r="O501" s="44" t="str">
        <f t="shared" ref="O501:O520" si="121">D501&amp;F501</f>
        <v>GAST1CPF - Desp. Lazer e Entretenimento - Bares</v>
      </c>
      <c r="P501" s="44" t="str">
        <f t="shared" ref="P501:P520" si="122">"MCS"&amp;D501&amp;F501</f>
        <v>MCSGAST1CPF - Desp. Lazer e Entretenimento - Bares</v>
      </c>
      <c r="Q501" s="44" t="str">
        <f t="shared" ref="Q501:Q520" si="123">"MCS"&amp;D501</f>
        <v>MCSGAST1</v>
      </c>
      <c r="R501" s="44" t="str">
        <f t="shared" ref="R501:R520" si="124">B501&amp;D501</f>
        <v>MCSGAST1</v>
      </c>
      <c r="S501" s="38"/>
      <c r="T501" s="304">
        <f t="shared" ref="T501:T520" si="125">(1&amp;"/"&amp;MONTH(H501)&amp;"/"&amp;YEAR(H501))*1</f>
        <v>46143</v>
      </c>
      <c r="U501" s="304" t="str">
        <f t="shared" ref="U501:U520" si="126">IF(I501="","",(1&amp;"/"&amp;MONTH(I501)&amp;"/"&amp;YEAR(I501))*1)</f>
        <v/>
      </c>
      <c r="V501" s="300" t="s">
        <v>761</v>
      </c>
    </row>
    <row r="502" spans="2:22" s="300" customFormat="1" x14ac:dyDescent="0.25">
      <c r="B502" s="301" t="s">
        <v>25</v>
      </c>
      <c r="C502" s="302"/>
      <c r="D502" s="86" t="str">
        <f>INDEX(Cad_Natureza!$B$3:$C$52,MATCH('2026'!F502,Cad_Natureza!$C$3:$C$52,0),MATCH('2026'!D$2,Cad_Natureza!$B$3:$C$3,0))</f>
        <v>GAST1</v>
      </c>
      <c r="E502" s="84" t="s">
        <v>1703</v>
      </c>
      <c r="F502" s="85" t="s">
        <v>742</v>
      </c>
      <c r="G502" s="86" t="s">
        <v>25</v>
      </c>
      <c r="H502" s="87">
        <v>46160</v>
      </c>
      <c r="I502" s="87"/>
      <c r="J502" s="79" t="s">
        <v>185</v>
      </c>
      <c r="K502" s="62">
        <v>-44</v>
      </c>
      <c r="L502" s="62">
        <f t="shared" si="112"/>
        <v>202.86000000000081</v>
      </c>
      <c r="M502" s="302"/>
      <c r="N502" s="44" t="str">
        <f t="shared" si="120"/>
        <v>MCSGAST1CPF - Desp. Lazer e Entretenimento - Bares</v>
      </c>
      <c r="O502" s="44" t="str">
        <f t="shared" si="121"/>
        <v>GAST1CPF - Desp. Lazer e Entretenimento - Bares</v>
      </c>
      <c r="P502" s="44" t="str">
        <f t="shared" si="122"/>
        <v>MCSGAST1CPF - Desp. Lazer e Entretenimento - Bares</v>
      </c>
      <c r="Q502" s="44" t="str">
        <f t="shared" si="123"/>
        <v>MCSGAST1</v>
      </c>
      <c r="R502" s="44" t="str">
        <f t="shared" si="124"/>
        <v>MCSGAST1</v>
      </c>
      <c r="S502" s="38"/>
      <c r="T502" s="304">
        <f t="shared" si="125"/>
        <v>46143</v>
      </c>
      <c r="U502" s="304" t="str">
        <f t="shared" si="126"/>
        <v/>
      </c>
      <c r="V502" s="300" t="s">
        <v>761</v>
      </c>
    </row>
    <row r="503" spans="2:22" s="300" customFormat="1" x14ac:dyDescent="0.25">
      <c r="B503" s="301" t="s">
        <v>25</v>
      </c>
      <c r="C503" s="302"/>
      <c r="D503" s="86" t="str">
        <f>INDEX(Cad_Natureza!$B$3:$C$52,MATCH('2026'!F503,Cad_Natureza!$C$3:$C$52,0),MATCH('2026'!D$2,Cad_Natureza!$B$3:$C$3,0))</f>
        <v>OPF1</v>
      </c>
      <c r="E503" s="84" t="s">
        <v>1704</v>
      </c>
      <c r="F503" s="85" t="s">
        <v>744</v>
      </c>
      <c r="G503" s="86" t="s">
        <v>25</v>
      </c>
      <c r="H503" s="87">
        <v>46161</v>
      </c>
      <c r="I503" s="87"/>
      <c r="J503" s="79" t="s">
        <v>182</v>
      </c>
      <c r="K503" s="62">
        <v>-23.99</v>
      </c>
      <c r="L503" s="62">
        <f t="shared" si="112"/>
        <v>178.8700000000008</v>
      </c>
      <c r="M503" s="302"/>
      <c r="N503" s="44" t="str">
        <f t="shared" si="120"/>
        <v>MCSOPF1CPF - Desp. Alimentação / Refeição</v>
      </c>
      <c r="O503" s="44" t="str">
        <f t="shared" si="121"/>
        <v>OPF1CPF - Desp. Alimentação / Refeição</v>
      </c>
      <c r="P503" s="44" t="str">
        <f t="shared" si="122"/>
        <v>MCSOPF1CPF - Desp. Alimentação / Refeição</v>
      </c>
      <c r="Q503" s="44" t="str">
        <f t="shared" si="123"/>
        <v>MCSOPF1</v>
      </c>
      <c r="R503" s="44" t="str">
        <f t="shared" si="124"/>
        <v>MCSOPF1</v>
      </c>
      <c r="S503" s="38"/>
      <c r="T503" s="304">
        <f t="shared" si="125"/>
        <v>46143</v>
      </c>
      <c r="U503" s="304" t="str">
        <f t="shared" si="126"/>
        <v/>
      </c>
      <c r="V503" s="300" t="s">
        <v>731</v>
      </c>
    </row>
    <row r="504" spans="2:22" s="300" customFormat="1" x14ac:dyDescent="0.25">
      <c r="B504" s="301" t="s">
        <v>25</v>
      </c>
      <c r="C504" s="302"/>
      <c r="D504" s="86" t="str">
        <f>INDEX(Cad_Natureza!$B$3:$C$52,MATCH('2026'!F504,Cad_Natureza!$C$3:$C$52,0),MATCH('2026'!D$2,Cad_Natureza!$B$3:$C$3,0))</f>
        <v>GAST1</v>
      </c>
      <c r="E504" s="84" t="s">
        <v>1705</v>
      </c>
      <c r="F504" s="85" t="s">
        <v>742</v>
      </c>
      <c r="G504" s="86" t="s">
        <v>25</v>
      </c>
      <c r="H504" s="87">
        <v>46161</v>
      </c>
      <c r="I504" s="87"/>
      <c r="J504" s="79" t="s">
        <v>1340</v>
      </c>
      <c r="K504" s="62">
        <v>-12</v>
      </c>
      <c r="L504" s="62">
        <f t="shared" si="112"/>
        <v>166.8700000000008</v>
      </c>
      <c r="M504" s="302"/>
      <c r="N504" s="44" t="str">
        <f t="shared" si="120"/>
        <v>MCSGAST1CPF - Desp. Lazer e Entretenimento - Bares</v>
      </c>
      <c r="O504" s="44" t="str">
        <f t="shared" si="121"/>
        <v>GAST1CPF - Desp. Lazer e Entretenimento - Bares</v>
      </c>
      <c r="P504" s="44" t="str">
        <f t="shared" si="122"/>
        <v>MCSGAST1CPF - Desp. Lazer e Entretenimento - Bares</v>
      </c>
      <c r="Q504" s="44" t="str">
        <f t="shared" si="123"/>
        <v>MCSGAST1</v>
      </c>
      <c r="R504" s="44" t="str">
        <f t="shared" si="124"/>
        <v>MCSGAST1</v>
      </c>
      <c r="S504" s="38"/>
      <c r="T504" s="304">
        <f t="shared" si="125"/>
        <v>46143</v>
      </c>
      <c r="U504" s="304" t="str">
        <f t="shared" si="126"/>
        <v/>
      </c>
      <c r="V504" s="300" t="s">
        <v>731</v>
      </c>
    </row>
    <row r="505" spans="2:22" s="300" customFormat="1" x14ac:dyDescent="0.25">
      <c r="B505" s="301" t="s">
        <v>25</v>
      </c>
      <c r="C505" s="302"/>
      <c r="D505" s="86" t="str">
        <f>INDEX(Cad_Natureza!$B$3:$C$52,MATCH('2026'!F505,Cad_Natureza!$C$3:$C$52,0),MATCH('2026'!D$2,Cad_Natureza!$B$3:$C$3,0))</f>
        <v>OPF1</v>
      </c>
      <c r="E505" s="84" t="s">
        <v>1706</v>
      </c>
      <c r="F505" s="85" t="s">
        <v>744</v>
      </c>
      <c r="G505" s="86" t="s">
        <v>25</v>
      </c>
      <c r="H505" s="87">
        <v>46162</v>
      </c>
      <c r="I505" s="87"/>
      <c r="J505" s="79" t="s">
        <v>182</v>
      </c>
      <c r="K505" s="62">
        <v>-24</v>
      </c>
      <c r="L505" s="62">
        <f t="shared" si="112"/>
        <v>142.8700000000008</v>
      </c>
      <c r="M505" s="302"/>
      <c r="N505" s="44" t="str">
        <f t="shared" si="120"/>
        <v>MCSOPF1CPF - Desp. Alimentação / Refeição</v>
      </c>
      <c r="O505" s="44" t="str">
        <f t="shared" si="121"/>
        <v>OPF1CPF - Desp. Alimentação / Refeição</v>
      </c>
      <c r="P505" s="44" t="str">
        <f t="shared" si="122"/>
        <v>MCSOPF1CPF - Desp. Alimentação / Refeição</v>
      </c>
      <c r="Q505" s="44" t="str">
        <f t="shared" si="123"/>
        <v>MCSOPF1</v>
      </c>
      <c r="R505" s="44" t="str">
        <f t="shared" si="124"/>
        <v>MCSOPF1</v>
      </c>
      <c r="S505" s="38"/>
      <c r="T505" s="304">
        <f t="shared" si="125"/>
        <v>46143</v>
      </c>
      <c r="U505" s="304" t="str">
        <f t="shared" si="126"/>
        <v/>
      </c>
      <c r="V505" s="300" t="s">
        <v>761</v>
      </c>
    </row>
    <row r="506" spans="2:22" s="300" customFormat="1" x14ac:dyDescent="0.25">
      <c r="B506" s="301" t="s">
        <v>25</v>
      </c>
      <c r="C506" s="302"/>
      <c r="D506" s="86" t="str">
        <f>INDEX(Cad_Natureza!$B$3:$C$52,MATCH('2026'!F506,Cad_Natureza!$C$3:$C$52,0),MATCH('2026'!D$2,Cad_Natureza!$B$3:$C$3,0))</f>
        <v>OPF2</v>
      </c>
      <c r="E506" s="84" t="s">
        <v>1707</v>
      </c>
      <c r="F506" s="85" t="s">
        <v>741</v>
      </c>
      <c r="G506" s="86" t="s">
        <v>25</v>
      </c>
      <c r="H506" s="87">
        <v>46162</v>
      </c>
      <c r="I506" s="87"/>
      <c r="J506" s="79" t="s">
        <v>184</v>
      </c>
      <c r="K506" s="62">
        <v>-80</v>
      </c>
      <c r="L506" s="62">
        <f t="shared" si="112"/>
        <v>62.8700000000008</v>
      </c>
      <c r="M506" s="302"/>
      <c r="N506" s="44" t="str">
        <f t="shared" si="120"/>
        <v>MCSOPF2CPF - Desp. Transporte / Combustível</v>
      </c>
      <c r="O506" s="44" t="str">
        <f t="shared" si="121"/>
        <v>OPF2CPF - Desp. Transporte / Combustível</v>
      </c>
      <c r="P506" s="44" t="str">
        <f t="shared" si="122"/>
        <v>MCSOPF2CPF - Desp. Transporte / Combustível</v>
      </c>
      <c r="Q506" s="44" t="str">
        <f t="shared" si="123"/>
        <v>MCSOPF2</v>
      </c>
      <c r="R506" s="44" t="str">
        <f t="shared" si="124"/>
        <v>MCSOPF2</v>
      </c>
      <c r="S506" s="38"/>
      <c r="T506" s="304">
        <f t="shared" si="125"/>
        <v>46143</v>
      </c>
      <c r="U506" s="304" t="str">
        <f t="shared" si="126"/>
        <v/>
      </c>
      <c r="V506" s="300" t="s">
        <v>761</v>
      </c>
    </row>
    <row r="507" spans="2:22" s="300" customFormat="1" x14ac:dyDescent="0.25">
      <c r="B507" s="301" t="s">
        <v>25</v>
      </c>
      <c r="C507" s="302"/>
      <c r="D507" s="86" t="str">
        <f>INDEX(Cad_Natureza!$B$3:$C$52,MATCH('2026'!F507,Cad_Natureza!$C$3:$C$52,0),MATCH('2026'!D$2,Cad_Natureza!$B$3:$C$3,0))</f>
        <v>GAST1</v>
      </c>
      <c r="E507" s="84" t="s">
        <v>1708</v>
      </c>
      <c r="F507" s="85" t="s">
        <v>742</v>
      </c>
      <c r="G507" s="86" t="s">
        <v>25</v>
      </c>
      <c r="H507" s="87">
        <v>46162</v>
      </c>
      <c r="I507" s="87"/>
      <c r="J507" s="79" t="s">
        <v>185</v>
      </c>
      <c r="K507" s="62">
        <v>-26.8</v>
      </c>
      <c r="L507" s="62">
        <f t="shared" si="112"/>
        <v>36.070000000000803</v>
      </c>
      <c r="M507" s="302"/>
      <c r="N507" s="44" t="str">
        <f t="shared" si="120"/>
        <v>MCSGAST1CPF - Desp. Lazer e Entretenimento - Bares</v>
      </c>
      <c r="O507" s="44" t="str">
        <f t="shared" si="121"/>
        <v>GAST1CPF - Desp. Lazer e Entretenimento - Bares</v>
      </c>
      <c r="P507" s="44" t="str">
        <f t="shared" si="122"/>
        <v>MCSGAST1CPF - Desp. Lazer e Entretenimento - Bares</v>
      </c>
      <c r="Q507" s="44" t="str">
        <f t="shared" si="123"/>
        <v>MCSGAST1</v>
      </c>
      <c r="R507" s="44" t="str">
        <f t="shared" si="124"/>
        <v>MCSGAST1</v>
      </c>
      <c r="S507" s="38"/>
      <c r="T507" s="304">
        <f t="shared" si="125"/>
        <v>46143</v>
      </c>
      <c r="U507" s="304" t="str">
        <f t="shared" si="126"/>
        <v/>
      </c>
      <c r="V507" s="300" t="s">
        <v>761</v>
      </c>
    </row>
    <row r="508" spans="2:22" s="300" customFormat="1" x14ac:dyDescent="0.25">
      <c r="B508" s="301" t="s">
        <v>25</v>
      </c>
      <c r="C508" s="302"/>
      <c r="D508" s="86" t="str">
        <f>INDEX(Cad_Natureza!$B$3:$C$52,MATCH('2026'!F508,Cad_Natureza!$C$3:$C$52,0),MATCH('2026'!D$2,Cad_Natureza!$B$3:$C$3,0))</f>
        <v>OPF1</v>
      </c>
      <c r="E508" s="84" t="s">
        <v>1709</v>
      </c>
      <c r="F508" s="85" t="s">
        <v>744</v>
      </c>
      <c r="G508" s="86" t="s">
        <v>25</v>
      </c>
      <c r="H508" s="87">
        <v>46163</v>
      </c>
      <c r="I508" s="87"/>
      <c r="J508" s="79" t="s">
        <v>182</v>
      </c>
      <c r="K508" s="62">
        <v>-24</v>
      </c>
      <c r="L508" s="62">
        <f t="shared" si="112"/>
        <v>12.070000000000803</v>
      </c>
      <c r="M508" s="302"/>
      <c r="N508" s="44" t="str">
        <f t="shared" si="120"/>
        <v>MCSOPF1CPF - Desp. Alimentação / Refeição</v>
      </c>
      <c r="O508" s="44" t="str">
        <f t="shared" si="121"/>
        <v>OPF1CPF - Desp. Alimentação / Refeição</v>
      </c>
      <c r="P508" s="44" t="str">
        <f t="shared" si="122"/>
        <v>MCSOPF1CPF - Desp. Alimentação / Refeição</v>
      </c>
      <c r="Q508" s="44" t="str">
        <f t="shared" si="123"/>
        <v>MCSOPF1</v>
      </c>
      <c r="R508" s="44" t="str">
        <f t="shared" si="124"/>
        <v>MCSOPF1</v>
      </c>
      <c r="S508" s="38"/>
      <c r="T508" s="304">
        <f t="shared" si="125"/>
        <v>46143</v>
      </c>
      <c r="U508" s="304" t="str">
        <f t="shared" si="126"/>
        <v/>
      </c>
      <c r="V508" s="300" t="s">
        <v>761</v>
      </c>
    </row>
    <row r="509" spans="2:22" s="300" customFormat="1" x14ac:dyDescent="0.25">
      <c r="B509" s="301" t="s">
        <v>25</v>
      </c>
      <c r="C509" s="302"/>
      <c r="D509" s="86" t="str">
        <f>INDEX(Cad_Natureza!$B$3:$C$52,MATCH('2026'!F509,Cad_Natureza!$C$3:$C$52,0),MATCH('2026'!D$2,Cad_Natureza!$B$3:$C$3,0))</f>
        <v>GAST1</v>
      </c>
      <c r="E509" s="84" t="s">
        <v>1710</v>
      </c>
      <c r="F509" s="85" t="s">
        <v>742</v>
      </c>
      <c r="G509" s="86" t="s">
        <v>25</v>
      </c>
      <c r="H509" s="87">
        <v>46163</v>
      </c>
      <c r="I509" s="87"/>
      <c r="J509" s="79" t="s">
        <v>1340</v>
      </c>
      <c r="K509" s="62">
        <v>-12</v>
      </c>
      <c r="L509" s="62">
        <f t="shared" si="112"/>
        <v>7.0000000000803198E-2</v>
      </c>
      <c r="M509" s="302"/>
      <c r="N509" s="44" t="str">
        <f t="shared" si="120"/>
        <v>MCSGAST1CPF - Desp. Lazer e Entretenimento - Bares</v>
      </c>
      <c r="O509" s="44" t="str">
        <f t="shared" si="121"/>
        <v>GAST1CPF - Desp. Lazer e Entretenimento - Bares</v>
      </c>
      <c r="P509" s="44" t="str">
        <f t="shared" si="122"/>
        <v>MCSGAST1CPF - Desp. Lazer e Entretenimento - Bares</v>
      </c>
      <c r="Q509" s="44" t="str">
        <f t="shared" si="123"/>
        <v>MCSGAST1</v>
      </c>
      <c r="R509" s="44" t="str">
        <f t="shared" si="124"/>
        <v>MCSGAST1</v>
      </c>
      <c r="S509" s="38"/>
      <c r="T509" s="304">
        <f t="shared" si="125"/>
        <v>46143</v>
      </c>
      <c r="U509" s="304" t="str">
        <f t="shared" si="126"/>
        <v/>
      </c>
      <c r="V509" s="300" t="s">
        <v>761</v>
      </c>
    </row>
    <row r="510" spans="2:22" s="291" customFormat="1" x14ac:dyDescent="0.25">
      <c r="B510" s="288" t="s">
        <v>25</v>
      </c>
      <c r="C510" s="83"/>
      <c r="D510" s="63" t="str">
        <f>INDEX(Cad_Natureza!$B$3:$C$52,MATCH('2026'!F510,Cad_Natureza!$C$3:$C$52,0),MATCH('2026'!D$2,Cad_Natureza!$B$3:$C$3,0))</f>
        <v>REC4</v>
      </c>
      <c r="E510" s="64" t="s">
        <v>1711</v>
      </c>
      <c r="F510" s="65" t="s">
        <v>734</v>
      </c>
      <c r="G510" s="63" t="s">
        <v>25</v>
      </c>
      <c r="H510" s="66">
        <v>46163</v>
      </c>
      <c r="I510" s="66"/>
      <c r="J510" s="67" t="s">
        <v>183</v>
      </c>
      <c r="K510" s="68">
        <v>1000</v>
      </c>
      <c r="L510" s="68">
        <f t="shared" si="112"/>
        <v>1000.0700000000008</v>
      </c>
      <c r="M510" s="83"/>
      <c r="N510" s="44" t="str">
        <f t="shared" si="120"/>
        <v>MCSREC4CPF - Transf. Da conta PJ para a conta PF</v>
      </c>
      <c r="O510" s="44" t="str">
        <f t="shared" si="121"/>
        <v>REC4CPF - Transf. Da conta PJ para a conta PF</v>
      </c>
      <c r="P510" s="44" t="str">
        <f t="shared" si="122"/>
        <v>MCSREC4CPF - Transf. Da conta PJ para a conta PF</v>
      </c>
      <c r="Q510" s="44" t="str">
        <f t="shared" si="123"/>
        <v>MCSREC4</v>
      </c>
      <c r="R510" s="44" t="str">
        <f t="shared" si="124"/>
        <v>MCSREC4</v>
      </c>
      <c r="S510" s="38"/>
      <c r="T510" s="290">
        <f t="shared" si="125"/>
        <v>46143</v>
      </c>
      <c r="U510" s="290" t="str">
        <f t="shared" si="126"/>
        <v/>
      </c>
      <c r="V510" s="291" t="s">
        <v>731</v>
      </c>
    </row>
    <row r="511" spans="2:22" s="300" customFormat="1" x14ac:dyDescent="0.25">
      <c r="B511" s="301" t="s">
        <v>25</v>
      </c>
      <c r="C511" s="302"/>
      <c r="D511" s="86" t="str">
        <f>INDEX(Cad_Natureza!$B$3:$C$52,MATCH('2026'!F511,Cad_Natureza!$C$3:$C$52,0),MATCH('2026'!D$2,Cad_Natureza!$B$3:$C$3,0))</f>
        <v>OPF2</v>
      </c>
      <c r="E511" s="84" t="s">
        <v>1712</v>
      </c>
      <c r="F511" s="85" t="s">
        <v>741</v>
      </c>
      <c r="G511" s="86" t="s">
        <v>25</v>
      </c>
      <c r="H511" s="87">
        <v>46163</v>
      </c>
      <c r="I511" s="87"/>
      <c r="J511" s="79" t="s">
        <v>184</v>
      </c>
      <c r="K511" s="62">
        <v>-100</v>
      </c>
      <c r="L511" s="62">
        <f t="shared" si="112"/>
        <v>900.07000000000085</v>
      </c>
      <c r="M511" s="302"/>
      <c r="N511" s="44" t="str">
        <f t="shared" si="120"/>
        <v>MCSOPF2CPF - Desp. Transporte / Combustível</v>
      </c>
      <c r="O511" s="44" t="str">
        <f t="shared" si="121"/>
        <v>OPF2CPF - Desp. Transporte / Combustível</v>
      </c>
      <c r="P511" s="44" t="str">
        <f t="shared" si="122"/>
        <v>MCSOPF2CPF - Desp. Transporte / Combustível</v>
      </c>
      <c r="Q511" s="44" t="str">
        <f t="shared" si="123"/>
        <v>MCSOPF2</v>
      </c>
      <c r="R511" s="44" t="str">
        <f t="shared" si="124"/>
        <v>MCSOPF2</v>
      </c>
      <c r="S511" s="38"/>
      <c r="T511" s="304">
        <f t="shared" si="125"/>
        <v>46143</v>
      </c>
      <c r="U511" s="304" t="str">
        <f t="shared" si="126"/>
        <v/>
      </c>
      <c r="V511" s="300" t="s">
        <v>731</v>
      </c>
    </row>
    <row r="512" spans="2:22" s="300" customFormat="1" x14ac:dyDescent="0.25">
      <c r="B512" s="301" t="s">
        <v>25</v>
      </c>
      <c r="C512" s="302"/>
      <c r="D512" s="86" t="str">
        <f>INDEX(Cad_Natureza!$B$3:$C$52,MATCH('2026'!F512,Cad_Natureza!$C$3:$C$52,0),MATCH('2026'!D$2,Cad_Natureza!$B$3:$C$3,0))</f>
        <v>OPF1</v>
      </c>
      <c r="E512" s="84" t="s">
        <v>1713</v>
      </c>
      <c r="F512" s="85" t="s">
        <v>744</v>
      </c>
      <c r="G512" s="86" t="s">
        <v>25</v>
      </c>
      <c r="H512" s="87">
        <v>46164</v>
      </c>
      <c r="I512" s="87"/>
      <c r="J512" s="79" t="s">
        <v>1848</v>
      </c>
      <c r="K512" s="62">
        <v>-23.2</v>
      </c>
      <c r="L512" s="62">
        <f t="shared" si="112"/>
        <v>876.8700000000008</v>
      </c>
      <c r="M512" s="302"/>
      <c r="N512" s="44" t="str">
        <f t="shared" si="120"/>
        <v>MCSOPF1CPF - Desp. Alimentação / Refeição</v>
      </c>
      <c r="O512" s="44" t="str">
        <f t="shared" si="121"/>
        <v>OPF1CPF - Desp. Alimentação / Refeição</v>
      </c>
      <c r="P512" s="44" t="str">
        <f t="shared" si="122"/>
        <v>MCSOPF1CPF - Desp. Alimentação / Refeição</v>
      </c>
      <c r="Q512" s="44" t="str">
        <f t="shared" si="123"/>
        <v>MCSOPF1</v>
      </c>
      <c r="R512" s="44" t="str">
        <f t="shared" si="124"/>
        <v>MCSOPF1</v>
      </c>
      <c r="S512" s="38"/>
      <c r="T512" s="304">
        <f t="shared" si="125"/>
        <v>46143</v>
      </c>
      <c r="U512" s="304" t="str">
        <f t="shared" si="126"/>
        <v/>
      </c>
      <c r="V512" s="300" t="s">
        <v>761</v>
      </c>
    </row>
    <row r="513" spans="2:22" s="300" customFormat="1" x14ac:dyDescent="0.25">
      <c r="B513" s="301" t="s">
        <v>25</v>
      </c>
      <c r="C513" s="302"/>
      <c r="D513" s="86" t="str">
        <f>INDEX(Cad_Natureza!$B$3:$C$52,MATCH('2026'!F513,Cad_Natureza!$C$3:$C$52,0),MATCH('2026'!D$2,Cad_Natureza!$B$3:$C$3,0))</f>
        <v>GAST2</v>
      </c>
      <c r="E513" s="84" t="s">
        <v>1714</v>
      </c>
      <c r="F513" s="85" t="s">
        <v>743</v>
      </c>
      <c r="G513" s="86" t="s">
        <v>25</v>
      </c>
      <c r="H513" s="87">
        <v>46164</v>
      </c>
      <c r="I513" s="87"/>
      <c r="J513" s="79" t="s">
        <v>180</v>
      </c>
      <c r="K513" s="62">
        <v>-35</v>
      </c>
      <c r="L513" s="62">
        <f t="shared" si="112"/>
        <v>841.8700000000008</v>
      </c>
      <c r="M513" s="302"/>
      <c r="N513" s="44" t="str">
        <f t="shared" si="120"/>
        <v>MCSGAST2CPF - Desp. Lazer e Entretenimento - Cigarro</v>
      </c>
      <c r="O513" s="44" t="str">
        <f t="shared" si="121"/>
        <v>GAST2CPF - Desp. Lazer e Entretenimento - Cigarro</v>
      </c>
      <c r="P513" s="44" t="str">
        <f t="shared" si="122"/>
        <v>MCSGAST2CPF - Desp. Lazer e Entretenimento - Cigarro</v>
      </c>
      <c r="Q513" s="44" t="str">
        <f t="shared" si="123"/>
        <v>MCSGAST2</v>
      </c>
      <c r="R513" s="44" t="str">
        <f t="shared" si="124"/>
        <v>MCSGAST2</v>
      </c>
      <c r="S513" s="38"/>
      <c r="T513" s="304">
        <f t="shared" si="125"/>
        <v>46143</v>
      </c>
      <c r="U513" s="304" t="str">
        <f t="shared" si="126"/>
        <v/>
      </c>
      <c r="V513" s="300" t="s">
        <v>761</v>
      </c>
    </row>
    <row r="514" spans="2:22" s="300" customFormat="1" x14ac:dyDescent="0.25">
      <c r="B514" s="301" t="s">
        <v>25</v>
      </c>
      <c r="C514" s="302"/>
      <c r="D514" s="86" t="str">
        <f>INDEX(Cad_Natureza!$B$3:$C$52,MATCH('2026'!F514,Cad_Natureza!$C$3:$C$52,0),MATCH('2026'!D$2,Cad_Natureza!$B$3:$C$3,0))</f>
        <v>GAST1</v>
      </c>
      <c r="E514" s="84" t="s">
        <v>1715</v>
      </c>
      <c r="F514" s="85" t="s">
        <v>742</v>
      </c>
      <c r="G514" s="86" t="s">
        <v>25</v>
      </c>
      <c r="H514" s="87">
        <v>46164</v>
      </c>
      <c r="I514" s="87"/>
      <c r="J514" s="79" t="s">
        <v>185</v>
      </c>
      <c r="K514" s="62">
        <v>-20.6</v>
      </c>
      <c r="L514" s="62">
        <f t="shared" si="112"/>
        <v>821.27000000000078</v>
      </c>
      <c r="M514" s="302"/>
      <c r="N514" s="44" t="str">
        <f t="shared" si="120"/>
        <v>MCSGAST1CPF - Desp. Lazer e Entretenimento - Bares</v>
      </c>
      <c r="O514" s="44" t="str">
        <f t="shared" si="121"/>
        <v>GAST1CPF - Desp. Lazer e Entretenimento - Bares</v>
      </c>
      <c r="P514" s="44" t="str">
        <f t="shared" si="122"/>
        <v>MCSGAST1CPF - Desp. Lazer e Entretenimento - Bares</v>
      </c>
      <c r="Q514" s="44" t="str">
        <f t="shared" si="123"/>
        <v>MCSGAST1</v>
      </c>
      <c r="R514" s="44" t="str">
        <f t="shared" si="124"/>
        <v>MCSGAST1</v>
      </c>
      <c r="S514" s="38"/>
      <c r="T514" s="304">
        <f t="shared" si="125"/>
        <v>46143</v>
      </c>
      <c r="U514" s="304" t="str">
        <f t="shared" si="126"/>
        <v/>
      </c>
      <c r="V514" s="300" t="s">
        <v>761</v>
      </c>
    </row>
    <row r="515" spans="2:22" s="300" customFormat="1" x14ac:dyDescent="0.25">
      <c r="B515" s="301" t="s">
        <v>25</v>
      </c>
      <c r="C515" s="302"/>
      <c r="D515" s="86" t="str">
        <f>INDEX(Cad_Natureza!$B$3:$C$52,MATCH('2026'!F515,Cad_Natureza!$C$3:$C$52,0),MATCH('2026'!D$2,Cad_Natureza!$B$3:$C$3,0))</f>
        <v>DESP4</v>
      </c>
      <c r="E515" s="84" t="s">
        <v>1716</v>
      </c>
      <c r="F515" s="85" t="s">
        <v>753</v>
      </c>
      <c r="G515" s="86" t="s">
        <v>25</v>
      </c>
      <c r="H515" s="87">
        <v>46164</v>
      </c>
      <c r="I515" s="87"/>
      <c r="J515" s="79" t="s">
        <v>1841</v>
      </c>
      <c r="K515" s="62">
        <v>-23.99</v>
      </c>
      <c r="L515" s="62">
        <f t="shared" si="112"/>
        <v>797.28000000000077</v>
      </c>
      <c r="M515" s="302"/>
      <c r="N515" s="44" t="str">
        <f t="shared" si="120"/>
        <v>MCSDESP4CPF - Desp. Moradia</v>
      </c>
      <c r="O515" s="44" t="str">
        <f t="shared" si="121"/>
        <v>DESP4CPF - Desp. Moradia</v>
      </c>
      <c r="P515" s="44" t="str">
        <f t="shared" si="122"/>
        <v>MCSDESP4CPF - Desp. Moradia</v>
      </c>
      <c r="Q515" s="44" t="str">
        <f t="shared" si="123"/>
        <v>MCSDESP4</v>
      </c>
      <c r="R515" s="44" t="str">
        <f t="shared" si="124"/>
        <v>MCSDESP4</v>
      </c>
      <c r="S515" s="38"/>
      <c r="T515" s="304">
        <f t="shared" si="125"/>
        <v>46143</v>
      </c>
      <c r="U515" s="304" t="str">
        <f t="shared" si="126"/>
        <v/>
      </c>
      <c r="V515" s="300" t="s">
        <v>761</v>
      </c>
    </row>
    <row r="516" spans="2:22" s="300" customFormat="1" x14ac:dyDescent="0.25">
      <c r="B516" s="301" t="s">
        <v>25</v>
      </c>
      <c r="C516" s="302"/>
      <c r="D516" s="86" t="str">
        <f>INDEX(Cad_Natureza!$B$3:$C$52,MATCH('2026'!F516,Cad_Natureza!$C$3:$C$52,0),MATCH('2026'!D$2,Cad_Natureza!$B$3:$C$3,0))</f>
        <v>PENS6</v>
      </c>
      <c r="E516" s="84" t="s">
        <v>1717</v>
      </c>
      <c r="F516" s="85" t="s">
        <v>37</v>
      </c>
      <c r="G516" s="86" t="s">
        <v>25</v>
      </c>
      <c r="H516" s="87">
        <v>46164</v>
      </c>
      <c r="I516" s="87"/>
      <c r="J516" s="78" t="s">
        <v>568</v>
      </c>
      <c r="K516" s="62">
        <v>-65.98</v>
      </c>
      <c r="L516" s="62">
        <f t="shared" ref="L516:L579" si="127">L515+K516</f>
        <v>731.30000000000075</v>
      </c>
      <c r="M516" s="302"/>
      <c r="N516" s="44" t="str">
        <f t="shared" si="120"/>
        <v>MCSPENS6CPF - Pensão - Farmácia e Saúde</v>
      </c>
      <c r="O516" s="44" t="str">
        <f t="shared" si="121"/>
        <v>PENS6CPF - Pensão - Farmácia e Saúde</v>
      </c>
      <c r="P516" s="44" t="str">
        <f t="shared" si="122"/>
        <v>MCSPENS6CPF - Pensão - Farmácia e Saúde</v>
      </c>
      <c r="Q516" s="44" t="str">
        <f t="shared" si="123"/>
        <v>MCSPENS6</v>
      </c>
      <c r="R516" s="44" t="str">
        <f t="shared" si="124"/>
        <v>MCSPENS6</v>
      </c>
      <c r="S516" s="38"/>
      <c r="T516" s="304">
        <f t="shared" si="125"/>
        <v>46143</v>
      </c>
      <c r="U516" s="304" t="str">
        <f t="shared" si="126"/>
        <v/>
      </c>
      <c r="V516" s="300" t="s">
        <v>761</v>
      </c>
    </row>
    <row r="517" spans="2:22" s="300" customFormat="1" x14ac:dyDescent="0.25">
      <c r="B517" s="301" t="s">
        <v>25</v>
      </c>
      <c r="C517" s="302"/>
      <c r="D517" s="86" t="str">
        <f>INDEX(Cad_Natureza!$B$3:$C$52,MATCH('2026'!F517,Cad_Natureza!$C$3:$C$52,0),MATCH('2026'!D$2,Cad_Natureza!$B$3:$C$3,0))</f>
        <v>PENS6</v>
      </c>
      <c r="E517" s="84" t="s">
        <v>1718</v>
      </c>
      <c r="F517" s="306" t="s">
        <v>37</v>
      </c>
      <c r="G517" s="86" t="s">
        <v>25</v>
      </c>
      <c r="H517" s="87">
        <v>46167</v>
      </c>
      <c r="I517" s="87"/>
      <c r="J517" s="78" t="s">
        <v>1842</v>
      </c>
      <c r="K517" s="62">
        <v>-66.27</v>
      </c>
      <c r="L517" s="62">
        <f t="shared" si="127"/>
        <v>665.03000000000077</v>
      </c>
      <c r="M517" s="302"/>
      <c r="N517" s="44" t="str">
        <f t="shared" si="120"/>
        <v>MCSPENS6CPF - Pensão - Farmácia e Saúde</v>
      </c>
      <c r="O517" s="44" t="str">
        <f t="shared" si="121"/>
        <v>PENS6CPF - Pensão - Farmácia e Saúde</v>
      </c>
      <c r="P517" s="44" t="str">
        <f t="shared" si="122"/>
        <v>MCSPENS6CPF - Pensão - Farmácia e Saúde</v>
      </c>
      <c r="Q517" s="44" t="str">
        <f t="shared" si="123"/>
        <v>MCSPENS6</v>
      </c>
      <c r="R517" s="44" t="str">
        <f t="shared" si="124"/>
        <v>MCSPENS6</v>
      </c>
      <c r="S517" s="38"/>
      <c r="T517" s="304">
        <f t="shared" si="125"/>
        <v>46143</v>
      </c>
      <c r="U517" s="304" t="str">
        <f t="shared" si="126"/>
        <v/>
      </c>
      <c r="V517" s="300" t="s">
        <v>731</v>
      </c>
    </row>
    <row r="518" spans="2:22" s="300" customFormat="1" x14ac:dyDescent="0.25">
      <c r="B518" s="301" t="s">
        <v>25</v>
      </c>
      <c r="C518" s="302"/>
      <c r="D518" s="86" t="str">
        <f>INDEX(Cad_Natureza!$B$3:$C$52,MATCH('2026'!F518,Cad_Natureza!$C$3:$C$52,0),MATCH('2026'!D$2,Cad_Natureza!$B$3:$C$3,0))</f>
        <v>GAST1</v>
      </c>
      <c r="E518" s="84" t="s">
        <v>1719</v>
      </c>
      <c r="F518" s="85" t="s">
        <v>742</v>
      </c>
      <c r="G518" s="86" t="s">
        <v>25</v>
      </c>
      <c r="H518" s="87">
        <v>46167</v>
      </c>
      <c r="I518" s="87"/>
      <c r="J518" s="79" t="s">
        <v>185</v>
      </c>
      <c r="K518" s="62">
        <v>-9</v>
      </c>
      <c r="L518" s="62">
        <f t="shared" si="127"/>
        <v>656.03000000000077</v>
      </c>
      <c r="M518" s="302"/>
      <c r="N518" s="44" t="str">
        <f t="shared" si="120"/>
        <v>MCSGAST1CPF - Desp. Lazer e Entretenimento - Bares</v>
      </c>
      <c r="O518" s="44" t="str">
        <f t="shared" si="121"/>
        <v>GAST1CPF - Desp. Lazer e Entretenimento - Bares</v>
      </c>
      <c r="P518" s="44" t="str">
        <f t="shared" si="122"/>
        <v>MCSGAST1CPF - Desp. Lazer e Entretenimento - Bares</v>
      </c>
      <c r="Q518" s="44" t="str">
        <f t="shared" si="123"/>
        <v>MCSGAST1</v>
      </c>
      <c r="R518" s="44" t="str">
        <f t="shared" si="124"/>
        <v>MCSGAST1</v>
      </c>
      <c r="S518" s="38"/>
      <c r="T518" s="304">
        <f t="shared" si="125"/>
        <v>46143</v>
      </c>
      <c r="U518" s="304" t="str">
        <f t="shared" si="126"/>
        <v/>
      </c>
      <c r="V518" s="300" t="s">
        <v>731</v>
      </c>
    </row>
    <row r="519" spans="2:22" s="300" customFormat="1" x14ac:dyDescent="0.25">
      <c r="B519" s="301" t="s">
        <v>25</v>
      </c>
      <c r="C519" s="302"/>
      <c r="D519" s="86" t="str">
        <f>INDEX(Cad_Natureza!$B$3:$C$52,MATCH('2026'!F519,Cad_Natureza!$C$3:$C$52,0),MATCH('2026'!D$2,Cad_Natureza!$B$3:$C$3,0))</f>
        <v>GAST1</v>
      </c>
      <c r="E519" s="84" t="s">
        <v>1720</v>
      </c>
      <c r="F519" s="85" t="s">
        <v>742</v>
      </c>
      <c r="G519" s="86" t="s">
        <v>25</v>
      </c>
      <c r="H519" s="87">
        <v>46167</v>
      </c>
      <c r="I519" s="87"/>
      <c r="J519" s="79" t="s">
        <v>1590</v>
      </c>
      <c r="K519" s="62">
        <v>-55.5</v>
      </c>
      <c r="L519" s="62">
        <f t="shared" si="127"/>
        <v>600.53000000000077</v>
      </c>
      <c r="M519" s="302"/>
      <c r="N519" s="44" t="str">
        <f t="shared" si="120"/>
        <v>MCSGAST1CPF - Desp. Lazer e Entretenimento - Bares</v>
      </c>
      <c r="O519" s="44" t="str">
        <f t="shared" si="121"/>
        <v>GAST1CPF - Desp. Lazer e Entretenimento - Bares</v>
      </c>
      <c r="P519" s="44" t="str">
        <f t="shared" si="122"/>
        <v>MCSGAST1CPF - Desp. Lazer e Entretenimento - Bares</v>
      </c>
      <c r="Q519" s="44" t="str">
        <f t="shared" si="123"/>
        <v>MCSGAST1</v>
      </c>
      <c r="R519" s="44" t="str">
        <f t="shared" si="124"/>
        <v>MCSGAST1</v>
      </c>
      <c r="S519" s="38"/>
      <c r="T519" s="304">
        <f t="shared" si="125"/>
        <v>46143</v>
      </c>
      <c r="U519" s="304" t="str">
        <f t="shared" si="126"/>
        <v/>
      </c>
      <c r="V519" s="300" t="s">
        <v>761</v>
      </c>
    </row>
    <row r="520" spans="2:22" s="300" customFormat="1" x14ac:dyDescent="0.25">
      <c r="B520" s="301" t="s">
        <v>25</v>
      </c>
      <c r="C520" s="302"/>
      <c r="D520" s="86" t="str">
        <f>INDEX(Cad_Natureza!$B$3:$C$52,MATCH('2026'!F520,Cad_Natureza!$C$3:$C$52,0),MATCH('2026'!D$2,Cad_Natureza!$B$3:$C$3,0))</f>
        <v>GAST1</v>
      </c>
      <c r="E520" s="84" t="s">
        <v>1721</v>
      </c>
      <c r="F520" s="85" t="s">
        <v>742</v>
      </c>
      <c r="G520" s="86" t="s">
        <v>25</v>
      </c>
      <c r="H520" s="87">
        <v>46167</v>
      </c>
      <c r="I520" s="87"/>
      <c r="J520" s="79" t="s">
        <v>185</v>
      </c>
      <c r="K520" s="62">
        <v>-6.5</v>
      </c>
      <c r="L520" s="62">
        <f t="shared" si="127"/>
        <v>594.03000000000077</v>
      </c>
      <c r="M520" s="302"/>
      <c r="N520" s="44" t="str">
        <f t="shared" si="120"/>
        <v>MCSGAST1CPF - Desp. Lazer e Entretenimento - Bares</v>
      </c>
      <c r="O520" s="44" t="str">
        <f t="shared" si="121"/>
        <v>GAST1CPF - Desp. Lazer e Entretenimento - Bares</v>
      </c>
      <c r="P520" s="44" t="str">
        <f t="shared" si="122"/>
        <v>MCSGAST1CPF - Desp. Lazer e Entretenimento - Bares</v>
      </c>
      <c r="Q520" s="44" t="str">
        <f t="shared" si="123"/>
        <v>MCSGAST1</v>
      </c>
      <c r="R520" s="44" t="str">
        <f t="shared" si="124"/>
        <v>MCSGAST1</v>
      </c>
      <c r="S520" s="38"/>
      <c r="T520" s="304">
        <f t="shared" si="125"/>
        <v>46143</v>
      </c>
      <c r="U520" s="304" t="str">
        <f t="shared" si="126"/>
        <v/>
      </c>
      <c r="V520" s="300" t="s">
        <v>761</v>
      </c>
    </row>
    <row r="521" spans="2:22" s="300" customFormat="1" x14ac:dyDescent="0.25">
      <c r="B521" s="301" t="s">
        <v>25</v>
      </c>
      <c r="C521" s="302"/>
      <c r="D521" s="86" t="str">
        <f>INDEX(Cad_Natureza!$B$3:$C$52,MATCH('2026'!F521,Cad_Natureza!$C$3:$C$52,0),MATCH('2026'!D$2,Cad_Natureza!$B$3:$C$3,0))</f>
        <v>GAST1</v>
      </c>
      <c r="E521" s="84" t="s">
        <v>1721</v>
      </c>
      <c r="F521" s="85" t="s">
        <v>742</v>
      </c>
      <c r="G521" s="86" t="s">
        <v>25</v>
      </c>
      <c r="H521" s="87">
        <v>46167</v>
      </c>
      <c r="I521" s="87"/>
      <c r="J521" s="79" t="s">
        <v>185</v>
      </c>
      <c r="K521" s="62">
        <v>-6.5</v>
      </c>
      <c r="L521" s="62">
        <f t="shared" si="127"/>
        <v>587.53000000000077</v>
      </c>
      <c r="M521" s="302"/>
      <c r="N521" s="44" t="str">
        <f t="shared" si="0"/>
        <v>MCSGAST1CPF - Desp. Lazer e Entretenimento - Bares</v>
      </c>
      <c r="O521" s="44" t="str">
        <f t="shared" si="1"/>
        <v>GAST1CPF - Desp. Lazer e Entretenimento - Bares</v>
      </c>
      <c r="P521" s="44" t="str">
        <f t="shared" si="2"/>
        <v>MCSGAST1CPF - Desp. Lazer e Entretenimento - Bares</v>
      </c>
      <c r="Q521" s="44" t="str">
        <f t="shared" si="3"/>
        <v>MCSGAST1</v>
      </c>
      <c r="R521" s="44" t="str">
        <f t="shared" si="4"/>
        <v>MCSGAST1</v>
      </c>
      <c r="S521" s="38"/>
      <c r="T521" s="304">
        <f t="shared" si="5"/>
        <v>46143</v>
      </c>
      <c r="U521" s="304" t="str">
        <f t="shared" si="6"/>
        <v/>
      </c>
      <c r="V521" s="300" t="s">
        <v>761</v>
      </c>
    </row>
    <row r="522" spans="2:22" s="300" customFormat="1" x14ac:dyDescent="0.25">
      <c r="B522" s="301" t="s">
        <v>25</v>
      </c>
      <c r="C522" s="302"/>
      <c r="D522" s="86" t="str">
        <f>INDEX(Cad_Natureza!$B$3:$C$52,MATCH('2026'!F522,Cad_Natureza!$C$3:$C$52,0),MATCH('2026'!D$2,Cad_Natureza!$B$3:$C$3,0))</f>
        <v>GAST1</v>
      </c>
      <c r="E522" s="84" t="s">
        <v>1721</v>
      </c>
      <c r="F522" s="85" t="s">
        <v>742</v>
      </c>
      <c r="G522" s="86" t="s">
        <v>25</v>
      </c>
      <c r="H522" s="87">
        <v>46167</v>
      </c>
      <c r="I522" s="87"/>
      <c r="J522" s="79" t="s">
        <v>185</v>
      </c>
      <c r="K522" s="62">
        <v>-6.5</v>
      </c>
      <c r="L522" s="62">
        <f t="shared" si="127"/>
        <v>581.03000000000077</v>
      </c>
      <c r="M522" s="302"/>
      <c r="N522" s="44" t="str">
        <f t="shared" si="0"/>
        <v>MCSGAST1CPF - Desp. Lazer e Entretenimento - Bares</v>
      </c>
      <c r="O522" s="44" t="str">
        <f t="shared" si="1"/>
        <v>GAST1CPF - Desp. Lazer e Entretenimento - Bares</v>
      </c>
      <c r="P522" s="44" t="str">
        <f t="shared" si="2"/>
        <v>MCSGAST1CPF - Desp. Lazer e Entretenimento - Bares</v>
      </c>
      <c r="Q522" s="44" t="str">
        <f t="shared" si="3"/>
        <v>MCSGAST1</v>
      </c>
      <c r="R522" s="44" t="str">
        <f t="shared" si="4"/>
        <v>MCSGAST1</v>
      </c>
      <c r="S522" s="38"/>
      <c r="T522" s="304">
        <f t="shared" si="5"/>
        <v>46143</v>
      </c>
      <c r="U522" s="304" t="str">
        <f t="shared" si="6"/>
        <v/>
      </c>
      <c r="V522" s="300" t="s">
        <v>761</v>
      </c>
    </row>
    <row r="523" spans="2:22" s="300" customFormat="1" x14ac:dyDescent="0.25">
      <c r="B523" s="301" t="s">
        <v>25</v>
      </c>
      <c r="C523" s="302"/>
      <c r="D523" s="86" t="str">
        <f>INDEX(Cad_Natureza!$B$3:$C$52,MATCH('2026'!F523,Cad_Natureza!$C$3:$C$52,0),MATCH('2026'!D$2,Cad_Natureza!$B$3:$C$3,0))</f>
        <v>GAST1</v>
      </c>
      <c r="E523" s="84" t="s">
        <v>1722</v>
      </c>
      <c r="F523" s="85" t="s">
        <v>742</v>
      </c>
      <c r="G523" s="86" t="s">
        <v>25</v>
      </c>
      <c r="H523" s="87">
        <v>46167</v>
      </c>
      <c r="I523" s="87"/>
      <c r="J523" s="79" t="s">
        <v>185</v>
      </c>
      <c r="K523" s="62">
        <v>-15</v>
      </c>
      <c r="L523" s="62">
        <f t="shared" si="127"/>
        <v>566.03000000000077</v>
      </c>
      <c r="M523" s="302"/>
      <c r="N523" s="44" t="str">
        <f t="shared" si="0"/>
        <v>MCSGAST1CPF - Desp. Lazer e Entretenimento - Bares</v>
      </c>
      <c r="O523" s="44" t="str">
        <f t="shared" si="1"/>
        <v>GAST1CPF - Desp. Lazer e Entretenimento - Bares</v>
      </c>
      <c r="P523" s="44" t="str">
        <f t="shared" si="2"/>
        <v>MCSGAST1CPF - Desp. Lazer e Entretenimento - Bares</v>
      </c>
      <c r="Q523" s="44" t="str">
        <f t="shared" si="3"/>
        <v>MCSGAST1</v>
      </c>
      <c r="R523" s="44" t="str">
        <f t="shared" si="4"/>
        <v>MCSGAST1</v>
      </c>
      <c r="S523" s="38"/>
      <c r="T523" s="304">
        <f t="shared" si="5"/>
        <v>46143</v>
      </c>
      <c r="U523" s="304" t="str">
        <f t="shared" si="6"/>
        <v/>
      </c>
      <c r="V523" s="300" t="s">
        <v>731</v>
      </c>
    </row>
    <row r="524" spans="2:22" s="300" customFormat="1" x14ac:dyDescent="0.25">
      <c r="B524" s="301" t="s">
        <v>25</v>
      </c>
      <c r="C524" s="302"/>
      <c r="D524" s="86" t="str">
        <f>INDEX(Cad_Natureza!$B$3:$C$52,MATCH('2026'!F524,Cad_Natureza!$C$3:$C$52,0),MATCH('2026'!D$2,Cad_Natureza!$B$3:$C$3,0))</f>
        <v>GAST1</v>
      </c>
      <c r="E524" s="84" t="s">
        <v>1722</v>
      </c>
      <c r="F524" s="85" t="s">
        <v>742</v>
      </c>
      <c r="G524" s="86" t="s">
        <v>25</v>
      </c>
      <c r="H524" s="87">
        <v>46167</v>
      </c>
      <c r="I524" s="87"/>
      <c r="J524" s="79" t="s">
        <v>185</v>
      </c>
      <c r="K524" s="62">
        <v>-22</v>
      </c>
      <c r="L524" s="62">
        <f t="shared" si="127"/>
        <v>544.03000000000077</v>
      </c>
      <c r="M524" s="302"/>
      <c r="N524" s="44" t="str">
        <f t="shared" si="0"/>
        <v>MCSGAST1CPF - Desp. Lazer e Entretenimento - Bares</v>
      </c>
      <c r="O524" s="44" t="str">
        <f t="shared" si="1"/>
        <v>GAST1CPF - Desp. Lazer e Entretenimento - Bares</v>
      </c>
      <c r="P524" s="44" t="str">
        <f t="shared" si="2"/>
        <v>MCSGAST1CPF - Desp. Lazer e Entretenimento - Bares</v>
      </c>
      <c r="Q524" s="44" t="str">
        <f t="shared" si="3"/>
        <v>MCSGAST1</v>
      </c>
      <c r="R524" s="44" t="str">
        <f t="shared" si="4"/>
        <v>MCSGAST1</v>
      </c>
      <c r="S524" s="38"/>
      <c r="T524" s="304">
        <f t="shared" si="5"/>
        <v>46143</v>
      </c>
      <c r="U524" s="304" t="str">
        <f t="shared" si="6"/>
        <v/>
      </c>
      <c r="V524" s="300" t="s">
        <v>731</v>
      </c>
    </row>
    <row r="525" spans="2:22" s="300" customFormat="1" x14ac:dyDescent="0.25">
      <c r="B525" s="301" t="s">
        <v>25</v>
      </c>
      <c r="C525" s="302"/>
      <c r="D525" s="86" t="str">
        <f>INDEX(Cad_Natureza!$B$3:$C$52,MATCH('2026'!F525,Cad_Natureza!$C$3:$C$52,0),MATCH('2026'!D$2,Cad_Natureza!$B$3:$C$3,0))</f>
        <v>GAST1</v>
      </c>
      <c r="E525" s="84" t="s">
        <v>1723</v>
      </c>
      <c r="F525" s="85" t="s">
        <v>742</v>
      </c>
      <c r="G525" s="86" t="s">
        <v>25</v>
      </c>
      <c r="H525" s="87">
        <v>46167</v>
      </c>
      <c r="I525" s="87"/>
      <c r="J525" s="79" t="s">
        <v>185</v>
      </c>
      <c r="K525" s="62">
        <v>-12</v>
      </c>
      <c r="L525" s="62">
        <f t="shared" si="127"/>
        <v>532.03000000000077</v>
      </c>
      <c r="M525" s="302"/>
      <c r="N525" s="44" t="str">
        <f t="shared" si="0"/>
        <v>MCSGAST1CPF - Desp. Lazer e Entretenimento - Bares</v>
      </c>
      <c r="O525" s="44" t="str">
        <f t="shared" si="1"/>
        <v>GAST1CPF - Desp. Lazer e Entretenimento - Bares</v>
      </c>
      <c r="P525" s="44" t="str">
        <f t="shared" si="2"/>
        <v>MCSGAST1CPF - Desp. Lazer e Entretenimento - Bares</v>
      </c>
      <c r="Q525" s="44" t="str">
        <f t="shared" si="3"/>
        <v>MCSGAST1</v>
      </c>
      <c r="R525" s="44" t="str">
        <f t="shared" si="4"/>
        <v>MCSGAST1</v>
      </c>
      <c r="S525" s="38"/>
      <c r="T525" s="304">
        <f t="shared" si="5"/>
        <v>46143</v>
      </c>
      <c r="U525" s="304" t="str">
        <f t="shared" si="6"/>
        <v/>
      </c>
      <c r="V525" s="300" t="s">
        <v>761</v>
      </c>
    </row>
    <row r="526" spans="2:22" s="300" customFormat="1" x14ac:dyDescent="0.25">
      <c r="B526" s="301" t="s">
        <v>25</v>
      </c>
      <c r="C526" s="302"/>
      <c r="D526" s="86" t="str">
        <f>INDEX(Cad_Natureza!$B$3:$C$52,MATCH('2026'!F526,Cad_Natureza!$C$3:$C$52,0),MATCH('2026'!D$2,Cad_Natureza!$B$3:$C$3,0))</f>
        <v>OUG1</v>
      </c>
      <c r="E526" s="84" t="s">
        <v>1724</v>
      </c>
      <c r="F526" s="85" t="s">
        <v>748</v>
      </c>
      <c r="G526" s="86" t="s">
        <v>25</v>
      </c>
      <c r="H526" s="87">
        <v>46167</v>
      </c>
      <c r="I526" s="87"/>
      <c r="J526" s="79" t="s">
        <v>1841</v>
      </c>
      <c r="K526" s="62">
        <v>-28</v>
      </c>
      <c r="L526" s="62">
        <f t="shared" si="127"/>
        <v>504.03000000000077</v>
      </c>
      <c r="M526" s="302"/>
      <c r="N526" s="44" t="str">
        <f t="shared" si="0"/>
        <v>MCSOUG1CPF - Outros gastos</v>
      </c>
      <c r="O526" s="44" t="str">
        <f t="shared" si="1"/>
        <v>OUG1CPF - Outros gastos</v>
      </c>
      <c r="P526" s="44" t="str">
        <f t="shared" si="2"/>
        <v>MCSOUG1CPF - Outros gastos</v>
      </c>
      <c r="Q526" s="44" t="str">
        <f t="shared" si="3"/>
        <v>MCSOUG1</v>
      </c>
      <c r="R526" s="44" t="str">
        <f t="shared" si="4"/>
        <v>MCSOUG1</v>
      </c>
      <c r="S526" s="38"/>
      <c r="T526" s="304">
        <f t="shared" si="5"/>
        <v>46143</v>
      </c>
      <c r="U526" s="304" t="str">
        <f t="shared" si="6"/>
        <v/>
      </c>
      <c r="V526" s="300" t="s">
        <v>761</v>
      </c>
    </row>
    <row r="527" spans="2:22" s="300" customFormat="1" x14ac:dyDescent="0.25">
      <c r="B527" s="301" t="s">
        <v>25</v>
      </c>
      <c r="C527" s="302"/>
      <c r="D527" s="86" t="str">
        <f>INDEX(Cad_Natureza!$B$3:$C$52,MATCH('2026'!F527,Cad_Natureza!$C$3:$C$52,0),MATCH('2026'!D$2,Cad_Natureza!$B$3:$C$3,0))</f>
        <v>OPF1</v>
      </c>
      <c r="E527" s="84" t="s">
        <v>1725</v>
      </c>
      <c r="F527" s="85" t="s">
        <v>744</v>
      </c>
      <c r="G527" s="86" t="s">
        <v>25</v>
      </c>
      <c r="H527" s="87">
        <v>46167</v>
      </c>
      <c r="I527" s="87"/>
      <c r="J527" s="79" t="s">
        <v>457</v>
      </c>
      <c r="K527" s="62">
        <v>-6</v>
      </c>
      <c r="L527" s="62">
        <f t="shared" si="127"/>
        <v>498.03000000000077</v>
      </c>
      <c r="M527" s="302"/>
      <c r="N527" s="44" t="str">
        <f t="shared" si="0"/>
        <v>MCSOPF1CPF - Desp. Alimentação / Refeição</v>
      </c>
      <c r="O527" s="44" t="str">
        <f t="shared" si="1"/>
        <v>OPF1CPF - Desp. Alimentação / Refeição</v>
      </c>
      <c r="P527" s="44" t="str">
        <f t="shared" si="2"/>
        <v>MCSOPF1CPF - Desp. Alimentação / Refeição</v>
      </c>
      <c r="Q527" s="44" t="str">
        <f t="shared" si="3"/>
        <v>MCSOPF1</v>
      </c>
      <c r="R527" s="44" t="str">
        <f t="shared" si="4"/>
        <v>MCSOPF1</v>
      </c>
      <c r="S527" s="38"/>
      <c r="T527" s="304">
        <f t="shared" si="5"/>
        <v>46143</v>
      </c>
      <c r="U527" s="304" t="str">
        <f t="shared" si="6"/>
        <v/>
      </c>
      <c r="V527" s="300" t="s">
        <v>761</v>
      </c>
    </row>
    <row r="528" spans="2:22" s="300" customFormat="1" x14ac:dyDescent="0.25">
      <c r="B528" s="301" t="s">
        <v>25</v>
      </c>
      <c r="C528" s="302"/>
      <c r="D528" s="86" t="str">
        <f>INDEX(Cad_Natureza!$B$3:$C$52,MATCH('2026'!F528,Cad_Natureza!$C$3:$C$52,0),MATCH('2026'!D$2,Cad_Natureza!$B$3:$C$3,0))</f>
        <v>OPF1</v>
      </c>
      <c r="E528" s="84" t="s">
        <v>1726</v>
      </c>
      <c r="F528" s="85" t="s">
        <v>744</v>
      </c>
      <c r="G528" s="86" t="s">
        <v>25</v>
      </c>
      <c r="H528" s="87">
        <v>46167</v>
      </c>
      <c r="I528" s="87"/>
      <c r="J528" s="79" t="s">
        <v>182</v>
      </c>
      <c r="K528" s="62">
        <v>-23.99</v>
      </c>
      <c r="L528" s="62">
        <f t="shared" si="127"/>
        <v>474.04000000000076</v>
      </c>
      <c r="M528" s="302"/>
      <c r="N528" s="44" t="str">
        <f t="shared" si="0"/>
        <v>MCSOPF1CPF - Desp. Alimentação / Refeição</v>
      </c>
      <c r="O528" s="44" t="str">
        <f t="shared" si="1"/>
        <v>OPF1CPF - Desp. Alimentação / Refeição</v>
      </c>
      <c r="P528" s="44" t="str">
        <f t="shared" si="2"/>
        <v>MCSOPF1CPF - Desp. Alimentação / Refeição</v>
      </c>
      <c r="Q528" s="44" t="str">
        <f t="shared" si="3"/>
        <v>MCSOPF1</v>
      </c>
      <c r="R528" s="44" t="str">
        <f t="shared" si="4"/>
        <v>MCSOPF1</v>
      </c>
      <c r="S528" s="38"/>
      <c r="T528" s="304">
        <f t="shared" si="5"/>
        <v>46143</v>
      </c>
      <c r="U528" s="304" t="str">
        <f t="shared" si="6"/>
        <v/>
      </c>
      <c r="V528" s="300" t="s">
        <v>761</v>
      </c>
    </row>
    <row r="529" spans="2:22" s="300" customFormat="1" x14ac:dyDescent="0.25">
      <c r="B529" s="301" t="s">
        <v>25</v>
      </c>
      <c r="C529" s="302"/>
      <c r="D529" s="86" t="str">
        <f>INDEX(Cad_Natureza!$B$3:$C$52,MATCH('2026'!F529,Cad_Natureza!$C$3:$C$52,0),MATCH('2026'!D$2,Cad_Natureza!$B$3:$C$3,0))</f>
        <v>GAST1</v>
      </c>
      <c r="E529" s="84" t="s">
        <v>1727</v>
      </c>
      <c r="F529" s="85" t="s">
        <v>742</v>
      </c>
      <c r="G529" s="86" t="s">
        <v>25</v>
      </c>
      <c r="H529" s="87">
        <v>46167</v>
      </c>
      <c r="I529" s="87"/>
      <c r="J529" s="79" t="s">
        <v>1340</v>
      </c>
      <c r="K529" s="62">
        <v>-6</v>
      </c>
      <c r="L529" s="62">
        <f t="shared" si="127"/>
        <v>468.04000000000076</v>
      </c>
      <c r="M529" s="302"/>
      <c r="N529" s="44" t="str">
        <f t="shared" si="0"/>
        <v>MCSGAST1CPF - Desp. Lazer e Entretenimento - Bares</v>
      </c>
      <c r="O529" s="44" t="str">
        <f t="shared" si="1"/>
        <v>GAST1CPF - Desp. Lazer e Entretenimento - Bares</v>
      </c>
      <c r="P529" s="44" t="str">
        <f t="shared" si="2"/>
        <v>MCSGAST1CPF - Desp. Lazer e Entretenimento - Bares</v>
      </c>
      <c r="Q529" s="44" t="str">
        <f t="shared" si="3"/>
        <v>MCSGAST1</v>
      </c>
      <c r="R529" s="44" t="str">
        <f t="shared" si="4"/>
        <v>MCSGAST1</v>
      </c>
      <c r="S529" s="38"/>
      <c r="T529" s="304">
        <f t="shared" si="5"/>
        <v>46143</v>
      </c>
      <c r="U529" s="304" t="str">
        <f t="shared" si="6"/>
        <v/>
      </c>
      <c r="V529" s="300" t="s">
        <v>761</v>
      </c>
    </row>
    <row r="530" spans="2:22" s="300" customFormat="1" x14ac:dyDescent="0.25">
      <c r="B530" s="301" t="s">
        <v>25</v>
      </c>
      <c r="C530" s="302"/>
      <c r="D530" s="86" t="str">
        <f>INDEX(Cad_Natureza!$B$3:$C$52,MATCH('2026'!F530,Cad_Natureza!$C$3:$C$52,0),MATCH('2026'!D$2,Cad_Natureza!$B$3:$C$3,0))</f>
        <v>OPF2</v>
      </c>
      <c r="E530" s="84" t="s">
        <v>1728</v>
      </c>
      <c r="F530" s="85" t="s">
        <v>741</v>
      </c>
      <c r="G530" s="86" t="s">
        <v>25</v>
      </c>
      <c r="H530" s="87">
        <v>46167</v>
      </c>
      <c r="I530" s="87"/>
      <c r="J530" s="79" t="s">
        <v>184</v>
      </c>
      <c r="K530" s="62">
        <v>-80</v>
      </c>
      <c r="L530" s="62">
        <f t="shared" si="127"/>
        <v>388.04000000000076</v>
      </c>
      <c r="M530" s="302"/>
      <c r="N530" s="44" t="str">
        <f t="shared" si="0"/>
        <v>MCSOPF2CPF - Desp. Transporte / Combustível</v>
      </c>
      <c r="O530" s="44" t="str">
        <f t="shared" si="1"/>
        <v>OPF2CPF - Desp. Transporte / Combustível</v>
      </c>
      <c r="P530" s="44" t="str">
        <f t="shared" si="2"/>
        <v>MCSOPF2CPF - Desp. Transporte / Combustível</v>
      </c>
      <c r="Q530" s="44" t="str">
        <f t="shared" si="3"/>
        <v>MCSOPF2</v>
      </c>
      <c r="R530" s="44" t="str">
        <f t="shared" si="4"/>
        <v>MCSOPF2</v>
      </c>
      <c r="S530" s="38"/>
      <c r="T530" s="304">
        <f t="shared" si="5"/>
        <v>46143</v>
      </c>
      <c r="U530" s="304" t="str">
        <f t="shared" si="6"/>
        <v/>
      </c>
      <c r="V530" s="300" t="s">
        <v>731</v>
      </c>
    </row>
    <row r="531" spans="2:22" s="300" customFormat="1" x14ac:dyDescent="0.25">
      <c r="B531" s="301" t="s">
        <v>25</v>
      </c>
      <c r="C531" s="302"/>
      <c r="D531" s="86" t="str">
        <f>INDEX(Cad_Natureza!$B$3:$C$52,MATCH('2026'!F531,Cad_Natureza!$C$3:$C$52,0),MATCH('2026'!D$2,Cad_Natureza!$B$3:$C$3,0))</f>
        <v>GAST1</v>
      </c>
      <c r="E531" s="84" t="s">
        <v>1729</v>
      </c>
      <c r="F531" s="85" t="s">
        <v>742</v>
      </c>
      <c r="G531" s="86" t="s">
        <v>25</v>
      </c>
      <c r="H531" s="87">
        <v>46167</v>
      </c>
      <c r="I531" s="87"/>
      <c r="J531" s="79" t="s">
        <v>1590</v>
      </c>
      <c r="K531" s="62">
        <v>-34</v>
      </c>
      <c r="L531" s="62">
        <f t="shared" si="127"/>
        <v>354.04000000000076</v>
      </c>
      <c r="M531" s="302"/>
      <c r="N531" s="44" t="str">
        <f t="shared" si="0"/>
        <v>MCSGAST1CPF - Desp. Lazer e Entretenimento - Bares</v>
      </c>
      <c r="O531" s="44" t="str">
        <f t="shared" si="1"/>
        <v>GAST1CPF - Desp. Lazer e Entretenimento - Bares</v>
      </c>
      <c r="P531" s="44" t="str">
        <f t="shared" si="2"/>
        <v>MCSGAST1CPF - Desp. Lazer e Entretenimento - Bares</v>
      </c>
      <c r="Q531" s="44" t="str">
        <f t="shared" si="3"/>
        <v>MCSGAST1</v>
      </c>
      <c r="R531" s="44" t="str">
        <f t="shared" si="4"/>
        <v>MCSGAST1</v>
      </c>
      <c r="S531" s="38"/>
      <c r="T531" s="304">
        <f t="shared" si="5"/>
        <v>46143</v>
      </c>
      <c r="U531" s="304" t="str">
        <f t="shared" si="6"/>
        <v/>
      </c>
      <c r="V531" s="300" t="s">
        <v>731</v>
      </c>
    </row>
    <row r="532" spans="2:22" s="300" customFormat="1" x14ac:dyDescent="0.25">
      <c r="B532" s="301" t="s">
        <v>25</v>
      </c>
      <c r="C532" s="302"/>
      <c r="D532" s="86" t="str">
        <f>INDEX(Cad_Natureza!$B$3:$C$52,MATCH('2026'!F532,Cad_Natureza!$C$3:$C$52,0),MATCH('2026'!D$2,Cad_Natureza!$B$3:$C$3,0))</f>
        <v>DESP4</v>
      </c>
      <c r="E532" s="84" t="s">
        <v>1730</v>
      </c>
      <c r="F532" s="85" t="s">
        <v>753</v>
      </c>
      <c r="G532" s="86" t="s">
        <v>25</v>
      </c>
      <c r="H532" s="87">
        <v>46167</v>
      </c>
      <c r="I532" s="87"/>
      <c r="J532" s="79" t="s">
        <v>1841</v>
      </c>
      <c r="K532" s="62">
        <v>-9</v>
      </c>
      <c r="L532" s="62">
        <f t="shared" si="127"/>
        <v>345.04000000000076</v>
      </c>
      <c r="M532" s="302"/>
      <c r="N532" s="44" t="str">
        <f t="shared" si="0"/>
        <v>MCSDESP4CPF - Desp. Moradia</v>
      </c>
      <c r="O532" s="44" t="str">
        <f t="shared" si="1"/>
        <v>DESP4CPF - Desp. Moradia</v>
      </c>
      <c r="P532" s="44" t="str">
        <f t="shared" si="2"/>
        <v>MCSDESP4CPF - Desp. Moradia</v>
      </c>
      <c r="Q532" s="44" t="str">
        <f t="shared" si="3"/>
        <v>MCSDESP4</v>
      </c>
      <c r="R532" s="44" t="str">
        <f t="shared" si="4"/>
        <v>MCSDESP4</v>
      </c>
      <c r="S532" s="38"/>
      <c r="T532" s="304">
        <f t="shared" si="5"/>
        <v>46143</v>
      </c>
      <c r="U532" s="304" t="str">
        <f t="shared" si="6"/>
        <v/>
      </c>
      <c r="V532" s="300" t="s">
        <v>761</v>
      </c>
    </row>
    <row r="533" spans="2:22" s="300" customFormat="1" x14ac:dyDescent="0.25">
      <c r="B533" s="301" t="s">
        <v>25</v>
      </c>
      <c r="C533" s="302"/>
      <c r="D533" s="86" t="str">
        <f>INDEX(Cad_Natureza!$B$3:$C$52,MATCH('2026'!F533,Cad_Natureza!$C$3:$C$52,0),MATCH('2026'!D$2,Cad_Natureza!$B$3:$C$3,0))</f>
        <v>OPF1</v>
      </c>
      <c r="E533" s="84" t="s">
        <v>1731</v>
      </c>
      <c r="F533" s="85" t="s">
        <v>744</v>
      </c>
      <c r="G533" s="86" t="s">
        <v>25</v>
      </c>
      <c r="H533" s="87">
        <v>46168</v>
      </c>
      <c r="I533" s="87"/>
      <c r="J533" s="79" t="s">
        <v>182</v>
      </c>
      <c r="K533" s="62">
        <v>-23.99</v>
      </c>
      <c r="L533" s="62">
        <f t="shared" si="127"/>
        <v>321.05000000000075</v>
      </c>
      <c r="M533" s="302"/>
      <c r="N533" s="44" t="str">
        <f t="shared" si="0"/>
        <v>MCSOPF1CPF - Desp. Alimentação / Refeição</v>
      </c>
      <c r="O533" s="44" t="str">
        <f t="shared" si="1"/>
        <v>OPF1CPF - Desp. Alimentação / Refeição</v>
      </c>
      <c r="P533" s="44" t="str">
        <f t="shared" si="2"/>
        <v>MCSOPF1CPF - Desp. Alimentação / Refeição</v>
      </c>
      <c r="Q533" s="44" t="str">
        <f t="shared" si="3"/>
        <v>MCSOPF1</v>
      </c>
      <c r="R533" s="44" t="str">
        <f t="shared" si="4"/>
        <v>MCSOPF1</v>
      </c>
      <c r="S533" s="38"/>
      <c r="T533" s="304">
        <f t="shared" si="5"/>
        <v>46143</v>
      </c>
      <c r="U533" s="304" t="str">
        <f t="shared" si="6"/>
        <v/>
      </c>
      <c r="V533" s="300" t="s">
        <v>761</v>
      </c>
    </row>
    <row r="534" spans="2:22" s="300" customFormat="1" x14ac:dyDescent="0.25">
      <c r="B534" s="301" t="s">
        <v>25</v>
      </c>
      <c r="C534" s="302"/>
      <c r="D534" s="86" t="str">
        <f>INDEX(Cad_Natureza!$B$3:$C$52,MATCH('2026'!F534,Cad_Natureza!$C$3:$C$52,0),MATCH('2026'!D$2,Cad_Natureza!$B$3:$C$3,0))</f>
        <v>GAST1</v>
      </c>
      <c r="E534" s="84" t="s">
        <v>1732</v>
      </c>
      <c r="F534" s="85" t="s">
        <v>742</v>
      </c>
      <c r="G534" s="86" t="s">
        <v>25</v>
      </c>
      <c r="H534" s="87">
        <v>46168</v>
      </c>
      <c r="I534" s="87"/>
      <c r="J534" s="79" t="s">
        <v>1340</v>
      </c>
      <c r="K534" s="62">
        <v>-18</v>
      </c>
      <c r="L534" s="62">
        <f t="shared" si="127"/>
        <v>303.05000000000075</v>
      </c>
      <c r="M534" s="302"/>
      <c r="N534" s="44" t="str">
        <f t="shared" si="0"/>
        <v>MCSGAST1CPF - Desp. Lazer e Entretenimento - Bares</v>
      </c>
      <c r="O534" s="44" t="str">
        <f t="shared" si="1"/>
        <v>GAST1CPF - Desp. Lazer e Entretenimento - Bares</v>
      </c>
      <c r="P534" s="44" t="str">
        <f t="shared" si="2"/>
        <v>MCSGAST1CPF - Desp. Lazer e Entretenimento - Bares</v>
      </c>
      <c r="Q534" s="44" t="str">
        <f t="shared" si="3"/>
        <v>MCSGAST1</v>
      </c>
      <c r="R534" s="44" t="str">
        <f t="shared" si="4"/>
        <v>MCSGAST1</v>
      </c>
      <c r="S534" s="38"/>
      <c r="T534" s="304">
        <f t="shared" si="5"/>
        <v>46143</v>
      </c>
      <c r="U534" s="304" t="str">
        <f t="shared" si="6"/>
        <v/>
      </c>
      <c r="V534" s="300" t="s">
        <v>761</v>
      </c>
    </row>
    <row r="535" spans="2:22" s="300" customFormat="1" x14ac:dyDescent="0.25">
      <c r="B535" s="301" t="s">
        <v>25</v>
      </c>
      <c r="C535" s="302"/>
      <c r="D535" s="86" t="str">
        <f>INDEX(Cad_Natureza!$B$3:$C$52,MATCH('2026'!F535,Cad_Natureza!$C$3:$C$52,0),MATCH('2026'!D$2,Cad_Natureza!$B$3:$C$3,0))</f>
        <v>OPF1</v>
      </c>
      <c r="E535" s="84" t="s">
        <v>1733</v>
      </c>
      <c r="F535" s="85" t="s">
        <v>744</v>
      </c>
      <c r="G535" s="86" t="s">
        <v>25</v>
      </c>
      <c r="H535" s="87">
        <v>46169</v>
      </c>
      <c r="I535" s="87"/>
      <c r="J535" s="79" t="s">
        <v>182</v>
      </c>
      <c r="K535" s="62">
        <v>-24</v>
      </c>
      <c r="L535" s="62">
        <f t="shared" si="127"/>
        <v>279.05000000000075</v>
      </c>
      <c r="M535" s="302"/>
      <c r="N535" s="44" t="str">
        <f t="shared" si="0"/>
        <v>MCSOPF1CPF - Desp. Alimentação / Refeição</v>
      </c>
      <c r="O535" s="44" t="str">
        <f t="shared" si="1"/>
        <v>OPF1CPF - Desp. Alimentação / Refeição</v>
      </c>
      <c r="P535" s="44" t="str">
        <f t="shared" si="2"/>
        <v>MCSOPF1CPF - Desp. Alimentação / Refeição</v>
      </c>
      <c r="Q535" s="44" t="str">
        <f t="shared" si="3"/>
        <v>MCSOPF1</v>
      </c>
      <c r="R535" s="44" t="str">
        <f t="shared" si="4"/>
        <v>MCSOPF1</v>
      </c>
      <c r="S535" s="38"/>
      <c r="T535" s="304">
        <f t="shared" si="5"/>
        <v>46143</v>
      </c>
      <c r="U535" s="304" t="str">
        <f t="shared" si="6"/>
        <v/>
      </c>
      <c r="V535" s="300" t="s">
        <v>761</v>
      </c>
    </row>
    <row r="536" spans="2:22" s="300" customFormat="1" x14ac:dyDescent="0.25">
      <c r="B536" s="301" t="s">
        <v>25</v>
      </c>
      <c r="C536" s="302"/>
      <c r="D536" s="86" t="str">
        <f>INDEX(Cad_Natureza!$B$3:$C$52,MATCH('2026'!F536,Cad_Natureza!$C$3:$C$52,0),MATCH('2026'!D$2,Cad_Natureza!$B$3:$C$3,0))</f>
        <v>GAST1</v>
      </c>
      <c r="E536" s="84" t="s">
        <v>1734</v>
      </c>
      <c r="F536" s="85" t="s">
        <v>742</v>
      </c>
      <c r="G536" s="86" t="s">
        <v>25</v>
      </c>
      <c r="H536" s="87">
        <v>46169</v>
      </c>
      <c r="I536" s="87"/>
      <c r="J536" s="79" t="s">
        <v>185</v>
      </c>
      <c r="K536" s="62">
        <v>-10.3</v>
      </c>
      <c r="L536" s="62">
        <f t="shared" si="127"/>
        <v>268.75000000000074</v>
      </c>
      <c r="M536" s="302"/>
      <c r="N536" s="44" t="str">
        <f t="shared" si="0"/>
        <v>MCSGAST1CPF - Desp. Lazer e Entretenimento - Bares</v>
      </c>
      <c r="O536" s="44" t="str">
        <f t="shared" si="1"/>
        <v>GAST1CPF - Desp. Lazer e Entretenimento - Bares</v>
      </c>
      <c r="P536" s="44" t="str">
        <f t="shared" si="2"/>
        <v>MCSGAST1CPF - Desp. Lazer e Entretenimento - Bares</v>
      </c>
      <c r="Q536" s="44" t="str">
        <f t="shared" si="3"/>
        <v>MCSGAST1</v>
      </c>
      <c r="R536" s="44" t="str">
        <f t="shared" si="4"/>
        <v>MCSGAST1</v>
      </c>
      <c r="S536" s="38"/>
      <c r="T536" s="304">
        <f t="shared" si="5"/>
        <v>46143</v>
      </c>
      <c r="U536" s="304" t="str">
        <f t="shared" si="6"/>
        <v/>
      </c>
      <c r="V536" s="300" t="s">
        <v>761</v>
      </c>
    </row>
    <row r="537" spans="2:22" s="291" customFormat="1" x14ac:dyDescent="0.25">
      <c r="B537" s="288" t="s">
        <v>25</v>
      </c>
      <c r="C537" s="83"/>
      <c r="D537" s="63" t="str">
        <f>INDEX(Cad_Natureza!$B$3:$C$52,MATCH('2026'!F537,Cad_Natureza!$C$3:$C$52,0),MATCH('2026'!D$2,Cad_Natureza!$B$3:$C$3,0))</f>
        <v>REC5</v>
      </c>
      <c r="E537" s="64" t="s">
        <v>1735</v>
      </c>
      <c r="F537" s="65" t="s">
        <v>740</v>
      </c>
      <c r="G537" s="63" t="s">
        <v>25</v>
      </c>
      <c r="H537" s="66">
        <v>46169</v>
      </c>
      <c r="I537" s="66"/>
      <c r="J537" s="67" t="s">
        <v>1849</v>
      </c>
      <c r="K537" s="68">
        <v>20</v>
      </c>
      <c r="L537" s="68">
        <f t="shared" si="127"/>
        <v>288.75000000000074</v>
      </c>
      <c r="M537" s="83"/>
      <c r="N537" s="44" t="str">
        <f t="shared" si="0"/>
        <v>MCSREC5CPF - Outras receitas</v>
      </c>
      <c r="O537" s="44" t="str">
        <f t="shared" si="1"/>
        <v>REC5CPF - Outras receitas</v>
      </c>
      <c r="P537" s="44" t="str">
        <f t="shared" si="2"/>
        <v>MCSREC5CPF - Outras receitas</v>
      </c>
      <c r="Q537" s="44" t="str">
        <f t="shared" si="3"/>
        <v>MCSREC5</v>
      </c>
      <c r="R537" s="44" t="str">
        <f t="shared" si="4"/>
        <v>MCSREC5</v>
      </c>
      <c r="S537" s="38"/>
      <c r="T537" s="290">
        <f t="shared" si="5"/>
        <v>46143</v>
      </c>
      <c r="U537" s="290" t="str">
        <f t="shared" si="6"/>
        <v/>
      </c>
      <c r="V537" s="291" t="s">
        <v>731</v>
      </c>
    </row>
    <row r="538" spans="2:22" s="300" customFormat="1" x14ac:dyDescent="0.25">
      <c r="B538" s="301" t="s">
        <v>25</v>
      </c>
      <c r="C538" s="302"/>
      <c r="D538" s="86" t="str">
        <f>INDEX(Cad_Natureza!$B$3:$C$52,MATCH('2026'!F538,Cad_Natureza!$C$3:$C$52,0),MATCH('2026'!D$2,Cad_Natureza!$B$3:$C$3,0))</f>
        <v>GAST1</v>
      </c>
      <c r="E538" s="84" t="s">
        <v>1736</v>
      </c>
      <c r="F538" s="85" t="s">
        <v>742</v>
      </c>
      <c r="G538" s="86" t="s">
        <v>25</v>
      </c>
      <c r="H538" s="87">
        <v>46169</v>
      </c>
      <c r="I538" s="87"/>
      <c r="J538" s="79" t="s">
        <v>185</v>
      </c>
      <c r="K538" s="62">
        <v>-16</v>
      </c>
      <c r="L538" s="62">
        <f t="shared" si="127"/>
        <v>272.75000000000074</v>
      </c>
      <c r="M538" s="302"/>
      <c r="N538" s="44" t="str">
        <f t="shared" si="0"/>
        <v>MCSGAST1CPF - Desp. Lazer e Entretenimento - Bares</v>
      </c>
      <c r="O538" s="44" t="str">
        <f t="shared" si="1"/>
        <v>GAST1CPF - Desp. Lazer e Entretenimento - Bares</v>
      </c>
      <c r="P538" s="44" t="str">
        <f t="shared" si="2"/>
        <v>MCSGAST1CPF - Desp. Lazer e Entretenimento - Bares</v>
      </c>
      <c r="Q538" s="44" t="str">
        <f t="shared" si="3"/>
        <v>MCSGAST1</v>
      </c>
      <c r="R538" s="44" t="str">
        <f t="shared" si="4"/>
        <v>MCSGAST1</v>
      </c>
      <c r="S538" s="38"/>
      <c r="T538" s="304">
        <f t="shared" si="5"/>
        <v>46143</v>
      </c>
      <c r="U538" s="304" t="str">
        <f t="shared" si="6"/>
        <v/>
      </c>
      <c r="V538" s="300" t="s">
        <v>731</v>
      </c>
    </row>
    <row r="539" spans="2:22" s="300" customFormat="1" x14ac:dyDescent="0.25">
      <c r="B539" s="301" t="s">
        <v>25</v>
      </c>
      <c r="C539" s="302"/>
      <c r="D539" s="86" t="str">
        <f>INDEX(Cad_Natureza!$B$3:$C$52,MATCH('2026'!F539,Cad_Natureza!$C$3:$C$52,0),MATCH('2026'!D$2,Cad_Natureza!$B$3:$C$3,0))</f>
        <v>OPF2</v>
      </c>
      <c r="E539" s="84" t="s">
        <v>1737</v>
      </c>
      <c r="F539" s="85" t="s">
        <v>741</v>
      </c>
      <c r="G539" s="86" t="s">
        <v>25</v>
      </c>
      <c r="H539" s="87">
        <v>46169</v>
      </c>
      <c r="I539" s="87"/>
      <c r="J539" s="79" t="s">
        <v>184</v>
      </c>
      <c r="K539" s="62">
        <v>-50</v>
      </c>
      <c r="L539" s="62">
        <f t="shared" si="127"/>
        <v>222.75000000000074</v>
      </c>
      <c r="M539" s="302"/>
      <c r="N539" s="44" t="str">
        <f t="shared" si="0"/>
        <v>MCSOPF2CPF - Desp. Transporte / Combustível</v>
      </c>
      <c r="O539" s="44" t="str">
        <f t="shared" si="1"/>
        <v>OPF2CPF - Desp. Transporte / Combustível</v>
      </c>
      <c r="P539" s="44" t="str">
        <f t="shared" si="2"/>
        <v>MCSOPF2CPF - Desp. Transporte / Combustível</v>
      </c>
      <c r="Q539" s="44" t="str">
        <f t="shared" si="3"/>
        <v>MCSOPF2</v>
      </c>
      <c r="R539" s="44" t="str">
        <f t="shared" si="4"/>
        <v>MCSOPF2</v>
      </c>
      <c r="S539" s="38"/>
      <c r="T539" s="304">
        <f t="shared" si="5"/>
        <v>46143</v>
      </c>
      <c r="U539" s="304" t="str">
        <f t="shared" si="6"/>
        <v/>
      </c>
      <c r="V539" s="300" t="s">
        <v>761</v>
      </c>
    </row>
    <row r="540" spans="2:22" s="300" customFormat="1" x14ac:dyDescent="0.25">
      <c r="B540" s="301" t="s">
        <v>25</v>
      </c>
      <c r="C540" s="302"/>
      <c r="D540" s="86" t="str">
        <f>INDEX(Cad_Natureza!$B$3:$C$52,MATCH('2026'!F540,Cad_Natureza!$C$3:$C$52,0),MATCH('2026'!D$2,Cad_Natureza!$B$3:$C$3,0))</f>
        <v>OPF1</v>
      </c>
      <c r="E540" s="84" t="s">
        <v>1738</v>
      </c>
      <c r="F540" s="85" t="s">
        <v>744</v>
      </c>
      <c r="G540" s="86" t="s">
        <v>25</v>
      </c>
      <c r="H540" s="87">
        <v>46170</v>
      </c>
      <c r="I540" s="87"/>
      <c r="J540" s="79" t="s">
        <v>1850</v>
      </c>
      <c r="K540" s="62">
        <v>-4.5</v>
      </c>
      <c r="L540" s="62">
        <f t="shared" si="127"/>
        <v>218.25000000000074</v>
      </c>
      <c r="M540" s="302"/>
      <c r="N540" s="44" t="str">
        <f t="shared" si="0"/>
        <v>MCSOPF1CPF - Desp. Alimentação / Refeição</v>
      </c>
      <c r="O540" s="44" t="str">
        <f t="shared" si="1"/>
        <v>OPF1CPF - Desp. Alimentação / Refeição</v>
      </c>
      <c r="P540" s="44" t="str">
        <f t="shared" si="2"/>
        <v>MCSOPF1CPF - Desp. Alimentação / Refeição</v>
      </c>
      <c r="Q540" s="44" t="str">
        <f t="shared" si="3"/>
        <v>MCSOPF1</v>
      </c>
      <c r="R540" s="44" t="str">
        <f t="shared" si="4"/>
        <v>MCSOPF1</v>
      </c>
      <c r="S540" s="38"/>
      <c r="T540" s="304">
        <f t="shared" si="5"/>
        <v>46143</v>
      </c>
      <c r="U540" s="304" t="str">
        <f t="shared" si="6"/>
        <v/>
      </c>
      <c r="V540" s="300" t="s">
        <v>761</v>
      </c>
    </row>
    <row r="541" spans="2:22" s="300" customFormat="1" x14ac:dyDescent="0.25">
      <c r="B541" s="301" t="s">
        <v>25</v>
      </c>
      <c r="C541" s="302"/>
      <c r="D541" s="86" t="str">
        <f>INDEX(Cad_Natureza!$B$3:$C$52,MATCH('2026'!F541,Cad_Natureza!$C$3:$C$52,0),MATCH('2026'!D$2,Cad_Natureza!$B$3:$C$3,0))</f>
        <v>OUG1</v>
      </c>
      <c r="E541" s="84" t="s">
        <v>1739</v>
      </c>
      <c r="F541" s="85" t="s">
        <v>748</v>
      </c>
      <c r="G541" s="86" t="s">
        <v>25</v>
      </c>
      <c r="H541" s="87">
        <v>46170</v>
      </c>
      <c r="I541" s="87"/>
      <c r="J541" s="79" t="s">
        <v>354</v>
      </c>
      <c r="K541" s="62">
        <v>-20</v>
      </c>
      <c r="L541" s="62">
        <f t="shared" si="127"/>
        <v>198.25000000000074</v>
      </c>
      <c r="M541" s="302"/>
      <c r="N541" s="44" t="str">
        <f t="shared" ref="N541:N560" si="128">B541&amp;D541&amp;F541</f>
        <v>MCSOUG1CPF - Outros gastos</v>
      </c>
      <c r="O541" s="44" t="str">
        <f t="shared" ref="O541:O560" si="129">D541&amp;F541</f>
        <v>OUG1CPF - Outros gastos</v>
      </c>
      <c r="P541" s="44" t="str">
        <f t="shared" ref="P541:P560" si="130">"MCS"&amp;D541&amp;F541</f>
        <v>MCSOUG1CPF - Outros gastos</v>
      </c>
      <c r="Q541" s="44" t="str">
        <f t="shared" ref="Q541:Q560" si="131">"MCS"&amp;D541</f>
        <v>MCSOUG1</v>
      </c>
      <c r="R541" s="44" t="str">
        <f t="shared" ref="R541:R560" si="132">B541&amp;D541</f>
        <v>MCSOUG1</v>
      </c>
      <c r="S541" s="38"/>
      <c r="T541" s="304">
        <f t="shared" ref="T541:T560" si="133">(1&amp;"/"&amp;MONTH(H541)&amp;"/"&amp;YEAR(H541))*1</f>
        <v>46143</v>
      </c>
      <c r="U541" s="304" t="str">
        <f t="shared" ref="U541:U560" si="134">IF(I541="","",(1&amp;"/"&amp;MONTH(I541)&amp;"/"&amp;YEAR(I541))*1)</f>
        <v/>
      </c>
      <c r="V541" s="300" t="s">
        <v>761</v>
      </c>
    </row>
    <row r="542" spans="2:22" s="300" customFormat="1" x14ac:dyDescent="0.25">
      <c r="B542" s="301" t="s">
        <v>25</v>
      </c>
      <c r="C542" s="302"/>
      <c r="D542" s="86" t="str">
        <f>INDEX(Cad_Natureza!$B$3:$C$52,MATCH('2026'!F542,Cad_Natureza!$C$3:$C$52,0),MATCH('2026'!D$2,Cad_Natureza!$B$3:$C$3,0))</f>
        <v>GAST1</v>
      </c>
      <c r="E542" s="84" t="s">
        <v>1740</v>
      </c>
      <c r="F542" s="85" t="s">
        <v>742</v>
      </c>
      <c r="G542" s="86" t="s">
        <v>25</v>
      </c>
      <c r="H542" s="87">
        <v>46170</v>
      </c>
      <c r="I542" s="87"/>
      <c r="J542" s="79" t="s">
        <v>185</v>
      </c>
      <c r="K542" s="62">
        <v>-20.6</v>
      </c>
      <c r="L542" s="62">
        <f t="shared" si="127"/>
        <v>177.65000000000074</v>
      </c>
      <c r="M542" s="302"/>
      <c r="N542" s="44" t="str">
        <f t="shared" si="128"/>
        <v>MCSGAST1CPF - Desp. Lazer e Entretenimento - Bares</v>
      </c>
      <c r="O542" s="44" t="str">
        <f t="shared" si="129"/>
        <v>GAST1CPF - Desp. Lazer e Entretenimento - Bares</v>
      </c>
      <c r="P542" s="44" t="str">
        <f t="shared" si="130"/>
        <v>MCSGAST1CPF - Desp. Lazer e Entretenimento - Bares</v>
      </c>
      <c r="Q542" s="44" t="str">
        <f t="shared" si="131"/>
        <v>MCSGAST1</v>
      </c>
      <c r="R542" s="44" t="str">
        <f t="shared" si="132"/>
        <v>MCSGAST1</v>
      </c>
      <c r="S542" s="38"/>
      <c r="T542" s="304">
        <f t="shared" si="133"/>
        <v>46143</v>
      </c>
      <c r="U542" s="304" t="str">
        <f t="shared" si="134"/>
        <v/>
      </c>
      <c r="V542" s="300" t="s">
        <v>761</v>
      </c>
    </row>
    <row r="543" spans="2:22" s="300" customFormat="1" x14ac:dyDescent="0.25">
      <c r="B543" s="301" t="s">
        <v>25</v>
      </c>
      <c r="C543" s="302"/>
      <c r="D543" s="86" t="str">
        <f>INDEX(Cad_Natureza!$B$3:$C$52,MATCH('2026'!F543,Cad_Natureza!$C$3:$C$52,0),MATCH('2026'!D$2,Cad_Natureza!$B$3:$C$3,0))</f>
        <v>GAST1</v>
      </c>
      <c r="E543" s="84" t="s">
        <v>1741</v>
      </c>
      <c r="F543" s="85" t="s">
        <v>742</v>
      </c>
      <c r="G543" s="86" t="s">
        <v>25</v>
      </c>
      <c r="H543" s="87">
        <v>46170</v>
      </c>
      <c r="I543" s="87"/>
      <c r="J543" s="79" t="s">
        <v>1590</v>
      </c>
      <c r="K543" s="62">
        <v>-52</v>
      </c>
      <c r="L543" s="62">
        <f t="shared" si="127"/>
        <v>125.65000000000074</v>
      </c>
      <c r="M543" s="302"/>
      <c r="N543" s="44" t="str">
        <f t="shared" si="128"/>
        <v>MCSGAST1CPF - Desp. Lazer e Entretenimento - Bares</v>
      </c>
      <c r="O543" s="44" t="str">
        <f t="shared" si="129"/>
        <v>GAST1CPF - Desp. Lazer e Entretenimento - Bares</v>
      </c>
      <c r="P543" s="44" t="str">
        <f t="shared" si="130"/>
        <v>MCSGAST1CPF - Desp. Lazer e Entretenimento - Bares</v>
      </c>
      <c r="Q543" s="44" t="str">
        <f t="shared" si="131"/>
        <v>MCSGAST1</v>
      </c>
      <c r="R543" s="44" t="str">
        <f t="shared" si="132"/>
        <v>MCSGAST1</v>
      </c>
      <c r="S543" s="38"/>
      <c r="T543" s="304">
        <f t="shared" si="133"/>
        <v>46143</v>
      </c>
      <c r="U543" s="304" t="str">
        <f t="shared" si="134"/>
        <v/>
      </c>
      <c r="V543" s="300" t="s">
        <v>731</v>
      </c>
    </row>
    <row r="544" spans="2:22" s="300" customFormat="1" x14ac:dyDescent="0.25">
      <c r="B544" s="301" t="s">
        <v>25</v>
      </c>
      <c r="C544" s="302"/>
      <c r="D544" s="86" t="str">
        <f>INDEX(Cad_Natureza!$B$3:$C$52,MATCH('2026'!F544,Cad_Natureza!$C$3:$C$52,0),MATCH('2026'!D$2,Cad_Natureza!$B$3:$C$3,0))</f>
        <v>OPF1</v>
      </c>
      <c r="E544" s="84" t="s">
        <v>1742</v>
      </c>
      <c r="F544" s="85" t="s">
        <v>744</v>
      </c>
      <c r="G544" s="86" t="s">
        <v>25</v>
      </c>
      <c r="H544" s="87">
        <v>46171</v>
      </c>
      <c r="I544" s="87"/>
      <c r="J544" s="79" t="s">
        <v>182</v>
      </c>
      <c r="K544" s="62">
        <v>-24</v>
      </c>
      <c r="L544" s="62">
        <f t="shared" si="127"/>
        <v>101.65000000000074</v>
      </c>
      <c r="M544" s="302"/>
      <c r="N544" s="44" t="str">
        <f t="shared" si="128"/>
        <v>MCSOPF1CPF - Desp. Alimentação / Refeição</v>
      </c>
      <c r="O544" s="44" t="str">
        <f t="shared" si="129"/>
        <v>OPF1CPF - Desp. Alimentação / Refeição</v>
      </c>
      <c r="P544" s="44" t="str">
        <f t="shared" si="130"/>
        <v>MCSOPF1CPF - Desp. Alimentação / Refeição</v>
      </c>
      <c r="Q544" s="44" t="str">
        <f t="shared" si="131"/>
        <v>MCSOPF1</v>
      </c>
      <c r="R544" s="44" t="str">
        <f t="shared" si="132"/>
        <v>MCSOPF1</v>
      </c>
      <c r="S544" s="38"/>
      <c r="T544" s="304">
        <f t="shared" si="133"/>
        <v>46143</v>
      </c>
      <c r="U544" s="304" t="str">
        <f t="shared" si="134"/>
        <v/>
      </c>
      <c r="V544" s="300" t="s">
        <v>731</v>
      </c>
    </row>
    <row r="545" spans="2:22" s="300" customFormat="1" x14ac:dyDescent="0.25">
      <c r="B545" s="301" t="s">
        <v>25</v>
      </c>
      <c r="C545" s="302"/>
      <c r="D545" s="86" t="str">
        <f>INDEX(Cad_Natureza!$B$3:$C$52,MATCH('2026'!F545,Cad_Natureza!$C$3:$C$52,0),MATCH('2026'!D$2,Cad_Natureza!$B$3:$C$3,0))</f>
        <v>GAST2</v>
      </c>
      <c r="E545" s="84" t="s">
        <v>1743</v>
      </c>
      <c r="F545" s="85" t="s">
        <v>743</v>
      </c>
      <c r="G545" s="86" t="s">
        <v>25</v>
      </c>
      <c r="H545" s="87">
        <v>46171</v>
      </c>
      <c r="I545" s="87"/>
      <c r="J545" s="79" t="s">
        <v>180</v>
      </c>
      <c r="K545" s="62">
        <v>-34</v>
      </c>
      <c r="L545" s="62">
        <f t="shared" si="127"/>
        <v>67.650000000000745</v>
      </c>
      <c r="M545" s="302"/>
      <c r="N545" s="44" t="str">
        <f t="shared" si="128"/>
        <v>MCSGAST2CPF - Desp. Lazer e Entretenimento - Cigarro</v>
      </c>
      <c r="O545" s="44" t="str">
        <f t="shared" si="129"/>
        <v>GAST2CPF - Desp. Lazer e Entretenimento - Cigarro</v>
      </c>
      <c r="P545" s="44" t="str">
        <f t="shared" si="130"/>
        <v>MCSGAST2CPF - Desp. Lazer e Entretenimento - Cigarro</v>
      </c>
      <c r="Q545" s="44" t="str">
        <f t="shared" si="131"/>
        <v>MCSGAST2</v>
      </c>
      <c r="R545" s="44" t="str">
        <f t="shared" si="132"/>
        <v>MCSGAST2</v>
      </c>
      <c r="S545" s="38"/>
      <c r="T545" s="304">
        <f t="shared" si="133"/>
        <v>46143</v>
      </c>
      <c r="U545" s="304" t="str">
        <f t="shared" si="134"/>
        <v/>
      </c>
      <c r="V545" s="300" t="s">
        <v>761</v>
      </c>
    </row>
    <row r="546" spans="2:22" s="300" customFormat="1" x14ac:dyDescent="0.25">
      <c r="B546" s="301" t="s">
        <v>25</v>
      </c>
      <c r="C546" s="302"/>
      <c r="D546" s="86" t="str">
        <f>INDEX(Cad_Natureza!$B$3:$C$52,MATCH('2026'!F546,Cad_Natureza!$C$3:$C$52,0),MATCH('2026'!D$2,Cad_Natureza!$B$3:$C$3,0))</f>
        <v>GAST1</v>
      </c>
      <c r="E546" s="84" t="s">
        <v>1744</v>
      </c>
      <c r="F546" s="85" t="s">
        <v>742</v>
      </c>
      <c r="G546" s="86" t="s">
        <v>25</v>
      </c>
      <c r="H546" s="87">
        <v>46171</v>
      </c>
      <c r="I546" s="87"/>
      <c r="J546" s="79" t="s">
        <v>185</v>
      </c>
      <c r="K546" s="62">
        <v>-20.6</v>
      </c>
      <c r="L546" s="62">
        <f t="shared" si="127"/>
        <v>47.050000000000743</v>
      </c>
      <c r="M546" s="302"/>
      <c r="N546" s="44" t="str">
        <f t="shared" si="128"/>
        <v>MCSGAST1CPF - Desp. Lazer e Entretenimento - Bares</v>
      </c>
      <c r="O546" s="44" t="str">
        <f t="shared" si="129"/>
        <v>GAST1CPF - Desp. Lazer e Entretenimento - Bares</v>
      </c>
      <c r="P546" s="44" t="str">
        <f t="shared" si="130"/>
        <v>MCSGAST1CPF - Desp. Lazer e Entretenimento - Bares</v>
      </c>
      <c r="Q546" s="44" t="str">
        <f t="shared" si="131"/>
        <v>MCSGAST1</v>
      </c>
      <c r="R546" s="44" t="str">
        <f t="shared" si="132"/>
        <v>MCSGAST1</v>
      </c>
      <c r="S546" s="38"/>
      <c r="T546" s="304">
        <f t="shared" si="133"/>
        <v>46143</v>
      </c>
      <c r="U546" s="304" t="str">
        <f t="shared" si="134"/>
        <v/>
      </c>
      <c r="V546" s="300" t="s">
        <v>761</v>
      </c>
    </row>
    <row r="547" spans="2:22" s="300" customFormat="1" x14ac:dyDescent="0.25">
      <c r="B547" s="301" t="s">
        <v>25</v>
      </c>
      <c r="C547" s="302"/>
      <c r="D547" s="86" t="str">
        <f>INDEX(Cad_Natureza!$B$3:$C$52,MATCH('2026'!F547,Cad_Natureza!$C$3:$C$52,0),MATCH('2026'!D$2,Cad_Natureza!$B$3:$C$3,0))</f>
        <v>GAST1</v>
      </c>
      <c r="E547" s="84" t="s">
        <v>1745</v>
      </c>
      <c r="F547" s="85" t="s">
        <v>742</v>
      </c>
      <c r="G547" s="86" t="s">
        <v>25</v>
      </c>
      <c r="H547" s="87">
        <v>46171</v>
      </c>
      <c r="I547" s="87"/>
      <c r="J547" s="79" t="s">
        <v>1340</v>
      </c>
      <c r="K547" s="62">
        <v>-6</v>
      </c>
      <c r="L547" s="62">
        <f t="shared" si="127"/>
        <v>41.050000000000743</v>
      </c>
      <c r="M547" s="302"/>
      <c r="N547" s="44" t="str">
        <f t="shared" si="128"/>
        <v>MCSGAST1CPF - Desp. Lazer e Entretenimento - Bares</v>
      </c>
      <c r="O547" s="44" t="str">
        <f t="shared" si="129"/>
        <v>GAST1CPF - Desp. Lazer e Entretenimento - Bares</v>
      </c>
      <c r="P547" s="44" t="str">
        <f t="shared" si="130"/>
        <v>MCSGAST1CPF - Desp. Lazer e Entretenimento - Bares</v>
      </c>
      <c r="Q547" s="44" t="str">
        <f t="shared" si="131"/>
        <v>MCSGAST1</v>
      </c>
      <c r="R547" s="44" t="str">
        <f t="shared" si="132"/>
        <v>MCSGAST1</v>
      </c>
      <c r="S547" s="38"/>
      <c r="T547" s="304">
        <f t="shared" si="133"/>
        <v>46143</v>
      </c>
      <c r="U547" s="304" t="str">
        <f t="shared" si="134"/>
        <v/>
      </c>
      <c r="V547" s="300" t="s">
        <v>761</v>
      </c>
    </row>
    <row r="548" spans="2:22" s="291" customFormat="1" x14ac:dyDescent="0.25">
      <c r="B548" s="288" t="s">
        <v>25</v>
      </c>
      <c r="C548" s="83"/>
      <c r="D548" s="63" t="str">
        <f>INDEX(Cad_Natureza!$B$3:$C$52,MATCH('2026'!F548,Cad_Natureza!$C$3:$C$52,0),MATCH('2026'!D$2,Cad_Natureza!$B$3:$C$3,0))</f>
        <v>REC4</v>
      </c>
      <c r="E548" s="64" t="s">
        <v>1746</v>
      </c>
      <c r="F548" s="65" t="s">
        <v>734</v>
      </c>
      <c r="G548" s="63" t="s">
        <v>25</v>
      </c>
      <c r="H548" s="66">
        <v>46171</v>
      </c>
      <c r="I548" s="66"/>
      <c r="J548" s="67" t="s">
        <v>183</v>
      </c>
      <c r="K548" s="68">
        <v>1000</v>
      </c>
      <c r="L548" s="68">
        <f t="shared" si="127"/>
        <v>1041.0500000000006</v>
      </c>
      <c r="M548" s="83"/>
      <c r="N548" s="44" t="str">
        <f t="shared" si="128"/>
        <v>MCSREC4CPF - Transf. Da conta PJ para a conta PF</v>
      </c>
      <c r="O548" s="44" t="str">
        <f t="shared" si="129"/>
        <v>REC4CPF - Transf. Da conta PJ para a conta PF</v>
      </c>
      <c r="P548" s="44" t="str">
        <f t="shared" si="130"/>
        <v>MCSREC4CPF - Transf. Da conta PJ para a conta PF</v>
      </c>
      <c r="Q548" s="44" t="str">
        <f t="shared" si="131"/>
        <v>MCSREC4</v>
      </c>
      <c r="R548" s="44" t="str">
        <f t="shared" si="132"/>
        <v>MCSREC4</v>
      </c>
      <c r="S548" s="38"/>
      <c r="T548" s="290">
        <f t="shared" si="133"/>
        <v>46143</v>
      </c>
      <c r="U548" s="290" t="str">
        <f t="shared" si="134"/>
        <v/>
      </c>
      <c r="V548" s="291" t="s">
        <v>761</v>
      </c>
    </row>
    <row r="549" spans="2:22" s="300" customFormat="1" x14ac:dyDescent="0.25">
      <c r="B549" s="301" t="s">
        <v>25</v>
      </c>
      <c r="C549" s="302"/>
      <c r="D549" s="86" t="str">
        <f>INDEX(Cad_Natureza!$B$3:$C$52,MATCH('2026'!F549,Cad_Natureza!$C$3:$C$52,0),MATCH('2026'!D$2,Cad_Natureza!$B$3:$C$3,0))</f>
        <v>OPF2</v>
      </c>
      <c r="E549" s="84" t="s">
        <v>1747</v>
      </c>
      <c r="F549" s="85" t="s">
        <v>741</v>
      </c>
      <c r="G549" s="86" t="s">
        <v>25</v>
      </c>
      <c r="H549" s="87">
        <v>46171</v>
      </c>
      <c r="I549" s="87"/>
      <c r="J549" s="79" t="s">
        <v>184</v>
      </c>
      <c r="K549" s="62">
        <v>-78.84</v>
      </c>
      <c r="L549" s="62">
        <f t="shared" si="127"/>
        <v>962.2100000000006</v>
      </c>
      <c r="M549" s="302"/>
      <c r="N549" s="44" t="str">
        <f t="shared" si="128"/>
        <v>MCSOPF2CPF - Desp. Transporte / Combustível</v>
      </c>
      <c r="O549" s="44" t="str">
        <f t="shared" si="129"/>
        <v>OPF2CPF - Desp. Transporte / Combustível</v>
      </c>
      <c r="P549" s="44" t="str">
        <f t="shared" si="130"/>
        <v>MCSOPF2CPF - Desp. Transporte / Combustível</v>
      </c>
      <c r="Q549" s="44" t="str">
        <f t="shared" si="131"/>
        <v>MCSOPF2</v>
      </c>
      <c r="R549" s="44" t="str">
        <f t="shared" si="132"/>
        <v>MCSOPF2</v>
      </c>
      <c r="S549" s="38"/>
      <c r="T549" s="304">
        <f t="shared" si="133"/>
        <v>46143</v>
      </c>
      <c r="U549" s="304" t="str">
        <f t="shared" si="134"/>
        <v/>
      </c>
      <c r="V549" s="300" t="s">
        <v>761</v>
      </c>
    </row>
    <row r="550" spans="2:22" s="300" customFormat="1" x14ac:dyDescent="0.25">
      <c r="B550" s="301" t="s">
        <v>25</v>
      </c>
      <c r="C550" s="302"/>
      <c r="D550" s="86" t="str">
        <f>INDEX(Cad_Natureza!$B$3:$C$52,MATCH('2026'!F550,Cad_Natureza!$C$3:$C$52,0),MATCH('2026'!D$2,Cad_Natureza!$B$3:$C$3,0))</f>
        <v>GAST1</v>
      </c>
      <c r="E550" s="84" t="s">
        <v>1748</v>
      </c>
      <c r="F550" s="85" t="s">
        <v>742</v>
      </c>
      <c r="G550" s="86" t="s">
        <v>25</v>
      </c>
      <c r="H550" s="87">
        <v>46171</v>
      </c>
      <c r="I550" s="87"/>
      <c r="J550" s="79" t="s">
        <v>185</v>
      </c>
      <c r="K550" s="62">
        <v>-9</v>
      </c>
      <c r="L550" s="62">
        <f t="shared" si="127"/>
        <v>953.2100000000006</v>
      </c>
      <c r="M550" s="302"/>
      <c r="N550" s="44" t="str">
        <f t="shared" si="128"/>
        <v>MCSGAST1CPF - Desp. Lazer e Entretenimento - Bares</v>
      </c>
      <c r="O550" s="44" t="str">
        <f t="shared" si="129"/>
        <v>GAST1CPF - Desp. Lazer e Entretenimento - Bares</v>
      </c>
      <c r="P550" s="44" t="str">
        <f t="shared" si="130"/>
        <v>MCSGAST1CPF - Desp. Lazer e Entretenimento - Bares</v>
      </c>
      <c r="Q550" s="44" t="str">
        <f t="shared" si="131"/>
        <v>MCSGAST1</v>
      </c>
      <c r="R550" s="44" t="str">
        <f t="shared" si="132"/>
        <v>MCSGAST1</v>
      </c>
      <c r="S550" s="38"/>
      <c r="T550" s="304">
        <f t="shared" si="133"/>
        <v>46143</v>
      </c>
      <c r="U550" s="304" t="str">
        <f t="shared" si="134"/>
        <v/>
      </c>
      <c r="V550" s="300" t="s">
        <v>731</v>
      </c>
    </row>
    <row r="551" spans="2:22" s="300" customFormat="1" x14ac:dyDescent="0.25">
      <c r="B551" s="301" t="s">
        <v>25</v>
      </c>
      <c r="C551" s="302"/>
      <c r="D551" s="86" t="str">
        <f>INDEX(Cad_Natureza!$B$3:$C$52,MATCH('2026'!F551,Cad_Natureza!$C$3:$C$52,0),MATCH('2026'!D$2,Cad_Natureza!$B$3:$C$3,0))</f>
        <v>GAST1</v>
      </c>
      <c r="E551" s="84" t="s">
        <v>1749</v>
      </c>
      <c r="F551" s="85" t="s">
        <v>742</v>
      </c>
      <c r="G551" s="86" t="s">
        <v>25</v>
      </c>
      <c r="H551" s="87">
        <v>46171</v>
      </c>
      <c r="I551" s="87"/>
      <c r="J551" s="79" t="s">
        <v>185</v>
      </c>
      <c r="K551" s="62">
        <v>-5</v>
      </c>
      <c r="L551" s="62">
        <f t="shared" si="127"/>
        <v>948.2100000000006</v>
      </c>
      <c r="M551" s="302"/>
      <c r="N551" s="44" t="str">
        <f t="shared" si="128"/>
        <v>MCSGAST1CPF - Desp. Lazer e Entretenimento - Bares</v>
      </c>
      <c r="O551" s="44" t="str">
        <f t="shared" si="129"/>
        <v>GAST1CPF - Desp. Lazer e Entretenimento - Bares</v>
      </c>
      <c r="P551" s="44" t="str">
        <f t="shared" si="130"/>
        <v>MCSGAST1CPF - Desp. Lazer e Entretenimento - Bares</v>
      </c>
      <c r="Q551" s="44" t="str">
        <f t="shared" si="131"/>
        <v>MCSGAST1</v>
      </c>
      <c r="R551" s="44" t="str">
        <f t="shared" si="132"/>
        <v>MCSGAST1</v>
      </c>
      <c r="S551" s="38"/>
      <c r="T551" s="304">
        <f t="shared" si="133"/>
        <v>46143</v>
      </c>
      <c r="U551" s="304" t="str">
        <f t="shared" si="134"/>
        <v/>
      </c>
      <c r="V551" s="300" t="s">
        <v>731</v>
      </c>
    </row>
    <row r="552" spans="2:22" s="300" customFormat="1" x14ac:dyDescent="0.25">
      <c r="B552" s="301" t="s">
        <v>25</v>
      </c>
      <c r="C552" s="302"/>
      <c r="D552" s="86" t="str">
        <f>INDEX(Cad_Natureza!$B$3:$C$52,MATCH('2026'!F552,Cad_Natureza!$C$3:$C$52,0),MATCH('2026'!D$2,Cad_Natureza!$B$3:$C$3,0))</f>
        <v>GAST1</v>
      </c>
      <c r="E552" s="84" t="s">
        <v>1750</v>
      </c>
      <c r="F552" s="85" t="s">
        <v>742</v>
      </c>
      <c r="G552" s="86" t="s">
        <v>25</v>
      </c>
      <c r="H552" s="87">
        <v>46171</v>
      </c>
      <c r="I552" s="87"/>
      <c r="J552" s="79" t="s">
        <v>1590</v>
      </c>
      <c r="K552" s="62">
        <v>-48</v>
      </c>
      <c r="L552" s="62">
        <f t="shared" si="127"/>
        <v>900.2100000000006</v>
      </c>
      <c r="M552" s="302"/>
      <c r="N552" s="44" t="str">
        <f t="shared" si="128"/>
        <v>MCSGAST1CPF - Desp. Lazer e Entretenimento - Bares</v>
      </c>
      <c r="O552" s="44" t="str">
        <f t="shared" si="129"/>
        <v>GAST1CPF - Desp. Lazer e Entretenimento - Bares</v>
      </c>
      <c r="P552" s="44" t="str">
        <f t="shared" si="130"/>
        <v>MCSGAST1CPF - Desp. Lazer e Entretenimento - Bares</v>
      </c>
      <c r="Q552" s="44" t="str">
        <f t="shared" si="131"/>
        <v>MCSGAST1</v>
      </c>
      <c r="R552" s="44" t="str">
        <f t="shared" si="132"/>
        <v>MCSGAST1</v>
      </c>
      <c r="S552" s="38"/>
      <c r="T552" s="304">
        <f t="shared" si="133"/>
        <v>46143</v>
      </c>
      <c r="U552" s="304" t="str">
        <f t="shared" si="134"/>
        <v/>
      </c>
      <c r="V552" s="300" t="s">
        <v>761</v>
      </c>
    </row>
    <row r="553" spans="2:22" s="300" customFormat="1" x14ac:dyDescent="0.25">
      <c r="B553" s="301" t="s">
        <v>25</v>
      </c>
      <c r="C553" s="302"/>
      <c r="D553" s="86" t="str">
        <f>INDEX(Cad_Natureza!$B$3:$C$52,MATCH('2026'!F553,Cad_Natureza!$C$3:$C$52,0),MATCH('2026'!D$2,Cad_Natureza!$B$3:$C$3,0))</f>
        <v>GAST1</v>
      </c>
      <c r="E553" s="84" t="s">
        <v>1751</v>
      </c>
      <c r="F553" s="85" t="s">
        <v>742</v>
      </c>
      <c r="G553" s="86" t="s">
        <v>25</v>
      </c>
      <c r="H553" s="87">
        <v>46174</v>
      </c>
      <c r="I553" s="87"/>
      <c r="J553" s="79" t="s">
        <v>185</v>
      </c>
      <c r="K553" s="62">
        <v>-15</v>
      </c>
      <c r="L553" s="62">
        <f t="shared" si="127"/>
        <v>885.2100000000006</v>
      </c>
      <c r="M553" s="302"/>
      <c r="N553" s="44" t="str">
        <f t="shared" si="128"/>
        <v>MCSGAST1CPF - Desp. Lazer e Entretenimento - Bares</v>
      </c>
      <c r="O553" s="44" t="str">
        <f t="shared" si="129"/>
        <v>GAST1CPF - Desp. Lazer e Entretenimento - Bares</v>
      </c>
      <c r="P553" s="44" t="str">
        <f t="shared" si="130"/>
        <v>MCSGAST1CPF - Desp. Lazer e Entretenimento - Bares</v>
      </c>
      <c r="Q553" s="44" t="str">
        <f t="shared" si="131"/>
        <v>MCSGAST1</v>
      </c>
      <c r="R553" s="44" t="str">
        <f t="shared" si="132"/>
        <v>MCSGAST1</v>
      </c>
      <c r="S553" s="38"/>
      <c r="T553" s="304">
        <f t="shared" si="133"/>
        <v>46174</v>
      </c>
      <c r="U553" s="304" t="str">
        <f t="shared" si="134"/>
        <v/>
      </c>
      <c r="V553" s="300" t="s">
        <v>761</v>
      </c>
    </row>
    <row r="554" spans="2:22" s="300" customFormat="1" x14ac:dyDescent="0.25">
      <c r="B554" s="301" t="s">
        <v>25</v>
      </c>
      <c r="C554" s="302"/>
      <c r="D554" s="86" t="str">
        <f>INDEX(Cad_Natureza!$B$3:$C$52,MATCH('2026'!F554,Cad_Natureza!$C$3:$C$52,0),MATCH('2026'!D$2,Cad_Natureza!$B$3:$C$3,0))</f>
        <v>GAST1</v>
      </c>
      <c r="E554" s="84" t="s">
        <v>1752</v>
      </c>
      <c r="F554" s="85" t="s">
        <v>742</v>
      </c>
      <c r="G554" s="86" t="s">
        <v>25</v>
      </c>
      <c r="H554" s="87">
        <v>46174</v>
      </c>
      <c r="I554" s="87"/>
      <c r="J554" s="79" t="s">
        <v>185</v>
      </c>
      <c r="K554" s="62">
        <v>-6.5</v>
      </c>
      <c r="L554" s="62">
        <f t="shared" si="127"/>
        <v>878.7100000000006</v>
      </c>
      <c r="M554" s="302"/>
      <c r="N554" s="44" t="str">
        <f t="shared" si="128"/>
        <v>MCSGAST1CPF - Desp. Lazer e Entretenimento - Bares</v>
      </c>
      <c r="O554" s="44" t="str">
        <f t="shared" si="129"/>
        <v>GAST1CPF - Desp. Lazer e Entretenimento - Bares</v>
      </c>
      <c r="P554" s="44" t="str">
        <f t="shared" si="130"/>
        <v>MCSGAST1CPF - Desp. Lazer e Entretenimento - Bares</v>
      </c>
      <c r="Q554" s="44" t="str">
        <f t="shared" si="131"/>
        <v>MCSGAST1</v>
      </c>
      <c r="R554" s="44" t="str">
        <f t="shared" si="132"/>
        <v>MCSGAST1</v>
      </c>
      <c r="S554" s="38"/>
      <c r="T554" s="304">
        <f t="shared" si="133"/>
        <v>46174</v>
      </c>
      <c r="U554" s="304" t="str">
        <f t="shared" si="134"/>
        <v/>
      </c>
      <c r="V554" s="300" t="s">
        <v>761</v>
      </c>
    </row>
    <row r="555" spans="2:22" s="300" customFormat="1" x14ac:dyDescent="0.25">
      <c r="B555" s="301" t="s">
        <v>25</v>
      </c>
      <c r="C555" s="302"/>
      <c r="D555" s="86" t="str">
        <f>INDEX(Cad_Natureza!$B$3:$C$52,MATCH('2026'!F555,Cad_Natureza!$C$3:$C$52,0),MATCH('2026'!D$2,Cad_Natureza!$B$3:$C$3,0))</f>
        <v>GAST1</v>
      </c>
      <c r="E555" s="84" t="s">
        <v>1753</v>
      </c>
      <c r="F555" s="85" t="s">
        <v>742</v>
      </c>
      <c r="G555" s="86" t="s">
        <v>25</v>
      </c>
      <c r="H555" s="87">
        <v>46174</v>
      </c>
      <c r="I555" s="87"/>
      <c r="J555" s="79" t="s">
        <v>1590</v>
      </c>
      <c r="K555" s="62">
        <v>-52</v>
      </c>
      <c r="L555" s="62">
        <f t="shared" si="127"/>
        <v>826.7100000000006</v>
      </c>
      <c r="M555" s="302"/>
      <c r="N555" s="44" t="str">
        <f t="shared" si="128"/>
        <v>MCSGAST1CPF - Desp. Lazer e Entretenimento - Bares</v>
      </c>
      <c r="O555" s="44" t="str">
        <f t="shared" si="129"/>
        <v>GAST1CPF - Desp. Lazer e Entretenimento - Bares</v>
      </c>
      <c r="P555" s="44" t="str">
        <f t="shared" si="130"/>
        <v>MCSGAST1CPF - Desp. Lazer e Entretenimento - Bares</v>
      </c>
      <c r="Q555" s="44" t="str">
        <f t="shared" si="131"/>
        <v>MCSGAST1</v>
      </c>
      <c r="R555" s="44" t="str">
        <f t="shared" si="132"/>
        <v>MCSGAST1</v>
      </c>
      <c r="S555" s="38"/>
      <c r="T555" s="304">
        <f t="shared" si="133"/>
        <v>46174</v>
      </c>
      <c r="U555" s="304" t="str">
        <f t="shared" si="134"/>
        <v/>
      </c>
      <c r="V555" s="300" t="s">
        <v>761</v>
      </c>
    </row>
    <row r="556" spans="2:22" s="300" customFormat="1" x14ac:dyDescent="0.25">
      <c r="B556" s="301" t="s">
        <v>25</v>
      </c>
      <c r="C556" s="302"/>
      <c r="D556" s="86" t="str">
        <f>INDEX(Cad_Natureza!$B$3:$C$52,MATCH('2026'!F556,Cad_Natureza!$C$3:$C$52,0),MATCH('2026'!D$2,Cad_Natureza!$B$3:$C$3,0))</f>
        <v>GAST1</v>
      </c>
      <c r="E556" s="84" t="s">
        <v>1754</v>
      </c>
      <c r="F556" s="85" t="s">
        <v>742</v>
      </c>
      <c r="G556" s="86" t="s">
        <v>25</v>
      </c>
      <c r="H556" s="87">
        <v>46174</v>
      </c>
      <c r="I556" s="87"/>
      <c r="J556" s="79" t="s">
        <v>185</v>
      </c>
      <c r="K556" s="62">
        <v>-6.5</v>
      </c>
      <c r="L556" s="62">
        <f t="shared" si="127"/>
        <v>820.2100000000006</v>
      </c>
      <c r="M556" s="302"/>
      <c r="N556" s="44" t="str">
        <f t="shared" si="128"/>
        <v>MCSGAST1CPF - Desp. Lazer e Entretenimento - Bares</v>
      </c>
      <c r="O556" s="44" t="str">
        <f t="shared" si="129"/>
        <v>GAST1CPF - Desp. Lazer e Entretenimento - Bares</v>
      </c>
      <c r="P556" s="44" t="str">
        <f t="shared" si="130"/>
        <v>MCSGAST1CPF - Desp. Lazer e Entretenimento - Bares</v>
      </c>
      <c r="Q556" s="44" t="str">
        <f t="shared" si="131"/>
        <v>MCSGAST1</v>
      </c>
      <c r="R556" s="44" t="str">
        <f t="shared" si="132"/>
        <v>MCSGAST1</v>
      </c>
      <c r="S556" s="38"/>
      <c r="T556" s="304">
        <f t="shared" si="133"/>
        <v>46174</v>
      </c>
      <c r="U556" s="304" t="str">
        <f t="shared" si="134"/>
        <v/>
      </c>
      <c r="V556" s="300" t="s">
        <v>761</v>
      </c>
    </row>
    <row r="557" spans="2:22" s="300" customFormat="1" x14ac:dyDescent="0.25">
      <c r="B557" s="301" t="s">
        <v>25</v>
      </c>
      <c r="C557" s="302"/>
      <c r="D557" s="86" t="str">
        <f>INDEX(Cad_Natureza!$B$3:$C$52,MATCH('2026'!F557,Cad_Natureza!$C$3:$C$52,0),MATCH('2026'!D$2,Cad_Natureza!$B$3:$C$3,0))</f>
        <v>GAST1</v>
      </c>
      <c r="E557" s="84" t="s">
        <v>1754</v>
      </c>
      <c r="F557" s="85" t="s">
        <v>742</v>
      </c>
      <c r="G557" s="86" t="s">
        <v>25</v>
      </c>
      <c r="H557" s="87">
        <v>46174</v>
      </c>
      <c r="I557" s="87"/>
      <c r="J557" s="79" t="s">
        <v>185</v>
      </c>
      <c r="K557" s="62">
        <v>-6.5</v>
      </c>
      <c r="L557" s="62">
        <f t="shared" si="127"/>
        <v>813.7100000000006</v>
      </c>
      <c r="M557" s="302"/>
      <c r="N557" s="44" t="str">
        <f t="shared" si="128"/>
        <v>MCSGAST1CPF - Desp. Lazer e Entretenimento - Bares</v>
      </c>
      <c r="O557" s="44" t="str">
        <f t="shared" si="129"/>
        <v>GAST1CPF - Desp. Lazer e Entretenimento - Bares</v>
      </c>
      <c r="P557" s="44" t="str">
        <f t="shared" si="130"/>
        <v>MCSGAST1CPF - Desp. Lazer e Entretenimento - Bares</v>
      </c>
      <c r="Q557" s="44" t="str">
        <f t="shared" si="131"/>
        <v>MCSGAST1</v>
      </c>
      <c r="R557" s="44" t="str">
        <f t="shared" si="132"/>
        <v>MCSGAST1</v>
      </c>
      <c r="S557" s="38"/>
      <c r="T557" s="304">
        <f t="shared" si="133"/>
        <v>46174</v>
      </c>
      <c r="U557" s="304" t="str">
        <f t="shared" si="134"/>
        <v/>
      </c>
      <c r="V557" s="300" t="s">
        <v>731</v>
      </c>
    </row>
    <row r="558" spans="2:22" s="300" customFormat="1" x14ac:dyDescent="0.25">
      <c r="B558" s="301" t="s">
        <v>25</v>
      </c>
      <c r="C558" s="302"/>
      <c r="D558" s="86" t="str">
        <f>INDEX(Cad_Natureza!$B$3:$C$52,MATCH('2026'!F558,Cad_Natureza!$C$3:$C$52,0),MATCH('2026'!D$2,Cad_Natureza!$B$3:$C$3,0))</f>
        <v>GAST1</v>
      </c>
      <c r="E558" s="84" t="s">
        <v>1754</v>
      </c>
      <c r="F558" s="85" t="s">
        <v>742</v>
      </c>
      <c r="G558" s="86" t="s">
        <v>25</v>
      </c>
      <c r="H558" s="87">
        <v>46174</v>
      </c>
      <c r="I558" s="87"/>
      <c r="J558" s="79" t="s">
        <v>185</v>
      </c>
      <c r="K558" s="62">
        <v>-6.5</v>
      </c>
      <c r="L558" s="62">
        <f t="shared" si="127"/>
        <v>807.2100000000006</v>
      </c>
      <c r="M558" s="302"/>
      <c r="N558" s="44" t="str">
        <f t="shared" si="128"/>
        <v>MCSGAST1CPF - Desp. Lazer e Entretenimento - Bares</v>
      </c>
      <c r="O558" s="44" t="str">
        <f t="shared" si="129"/>
        <v>GAST1CPF - Desp. Lazer e Entretenimento - Bares</v>
      </c>
      <c r="P558" s="44" t="str">
        <f t="shared" si="130"/>
        <v>MCSGAST1CPF - Desp. Lazer e Entretenimento - Bares</v>
      </c>
      <c r="Q558" s="44" t="str">
        <f t="shared" si="131"/>
        <v>MCSGAST1</v>
      </c>
      <c r="R558" s="44" t="str">
        <f t="shared" si="132"/>
        <v>MCSGAST1</v>
      </c>
      <c r="S558" s="38"/>
      <c r="T558" s="304">
        <f t="shared" si="133"/>
        <v>46174</v>
      </c>
      <c r="U558" s="304" t="str">
        <f t="shared" si="134"/>
        <v/>
      </c>
      <c r="V558" s="300" t="s">
        <v>731</v>
      </c>
    </row>
    <row r="559" spans="2:22" s="300" customFormat="1" x14ac:dyDescent="0.25">
      <c r="B559" s="301" t="s">
        <v>25</v>
      </c>
      <c r="C559" s="302"/>
      <c r="D559" s="86" t="str">
        <f>INDEX(Cad_Natureza!$B$3:$C$52,MATCH('2026'!F559,Cad_Natureza!$C$3:$C$52,0),MATCH('2026'!D$2,Cad_Natureza!$B$3:$C$3,0))</f>
        <v>GAST1</v>
      </c>
      <c r="E559" s="84" t="s">
        <v>1754</v>
      </c>
      <c r="F559" s="85" t="s">
        <v>742</v>
      </c>
      <c r="G559" s="86" t="s">
        <v>25</v>
      </c>
      <c r="H559" s="87">
        <v>46174</v>
      </c>
      <c r="I559" s="87"/>
      <c r="J559" s="79" t="s">
        <v>185</v>
      </c>
      <c r="K559" s="62">
        <v>-10</v>
      </c>
      <c r="L559" s="62">
        <f t="shared" si="127"/>
        <v>797.2100000000006</v>
      </c>
      <c r="M559" s="302"/>
      <c r="N559" s="44" t="str">
        <f t="shared" si="128"/>
        <v>MCSGAST1CPF - Desp. Lazer e Entretenimento - Bares</v>
      </c>
      <c r="O559" s="44" t="str">
        <f t="shared" si="129"/>
        <v>GAST1CPF - Desp. Lazer e Entretenimento - Bares</v>
      </c>
      <c r="P559" s="44" t="str">
        <f t="shared" si="130"/>
        <v>MCSGAST1CPF - Desp. Lazer e Entretenimento - Bares</v>
      </c>
      <c r="Q559" s="44" t="str">
        <f t="shared" si="131"/>
        <v>MCSGAST1</v>
      </c>
      <c r="R559" s="44" t="str">
        <f t="shared" si="132"/>
        <v>MCSGAST1</v>
      </c>
      <c r="S559" s="38"/>
      <c r="T559" s="304">
        <f t="shared" si="133"/>
        <v>46174</v>
      </c>
      <c r="U559" s="304" t="str">
        <f t="shared" si="134"/>
        <v/>
      </c>
      <c r="V559" s="300" t="s">
        <v>761</v>
      </c>
    </row>
    <row r="560" spans="2:22" s="300" customFormat="1" x14ac:dyDescent="0.25">
      <c r="B560" s="301" t="s">
        <v>25</v>
      </c>
      <c r="C560" s="302"/>
      <c r="D560" s="86" t="str">
        <f>INDEX(Cad_Natureza!$B$3:$C$52,MATCH('2026'!F560,Cad_Natureza!$C$3:$C$52,0),MATCH('2026'!D$2,Cad_Natureza!$B$3:$C$3,0))</f>
        <v>GAST1</v>
      </c>
      <c r="E560" s="84" t="s">
        <v>1754</v>
      </c>
      <c r="F560" s="85" t="s">
        <v>742</v>
      </c>
      <c r="G560" s="86" t="s">
        <v>25</v>
      </c>
      <c r="H560" s="87">
        <v>46174</v>
      </c>
      <c r="I560" s="87"/>
      <c r="J560" s="79" t="s">
        <v>185</v>
      </c>
      <c r="K560" s="62">
        <v>-6.5</v>
      </c>
      <c r="L560" s="62">
        <f t="shared" si="127"/>
        <v>790.7100000000006</v>
      </c>
      <c r="M560" s="302"/>
      <c r="N560" s="44" t="str">
        <f t="shared" si="128"/>
        <v>MCSGAST1CPF - Desp. Lazer e Entretenimento - Bares</v>
      </c>
      <c r="O560" s="44" t="str">
        <f t="shared" si="129"/>
        <v>GAST1CPF - Desp. Lazer e Entretenimento - Bares</v>
      </c>
      <c r="P560" s="44" t="str">
        <f t="shared" si="130"/>
        <v>MCSGAST1CPF - Desp. Lazer e Entretenimento - Bares</v>
      </c>
      <c r="Q560" s="44" t="str">
        <f t="shared" si="131"/>
        <v>MCSGAST1</v>
      </c>
      <c r="R560" s="44" t="str">
        <f t="shared" si="132"/>
        <v>MCSGAST1</v>
      </c>
      <c r="S560" s="38"/>
      <c r="T560" s="304">
        <f t="shared" si="133"/>
        <v>46174</v>
      </c>
      <c r="U560" s="304" t="str">
        <f t="shared" si="134"/>
        <v/>
      </c>
      <c r="V560" s="300" t="s">
        <v>761</v>
      </c>
    </row>
    <row r="561" spans="2:22" s="300" customFormat="1" x14ac:dyDescent="0.25">
      <c r="B561" s="301" t="s">
        <v>25</v>
      </c>
      <c r="C561" s="302"/>
      <c r="D561" s="86" t="str">
        <f>INDEX(Cad_Natureza!$B$3:$C$52,MATCH('2026'!F561,Cad_Natureza!$C$3:$C$52,0),MATCH('2026'!D$2,Cad_Natureza!$B$3:$C$3,0))</f>
        <v>GAST1</v>
      </c>
      <c r="E561" s="84" t="s">
        <v>1754</v>
      </c>
      <c r="F561" s="85" t="s">
        <v>742</v>
      </c>
      <c r="G561" s="86" t="s">
        <v>25</v>
      </c>
      <c r="H561" s="87">
        <v>46174</v>
      </c>
      <c r="I561" s="87"/>
      <c r="J561" s="79" t="s">
        <v>185</v>
      </c>
      <c r="K561" s="62">
        <v>-10</v>
      </c>
      <c r="L561" s="62">
        <f t="shared" si="127"/>
        <v>780.7100000000006</v>
      </c>
      <c r="M561" s="302"/>
      <c r="N561" s="44" t="str">
        <f t="shared" si="0"/>
        <v>MCSGAST1CPF - Desp. Lazer e Entretenimento - Bares</v>
      </c>
      <c r="O561" s="44" t="str">
        <f t="shared" si="1"/>
        <v>GAST1CPF - Desp. Lazer e Entretenimento - Bares</v>
      </c>
      <c r="P561" s="44" t="str">
        <f t="shared" si="2"/>
        <v>MCSGAST1CPF - Desp. Lazer e Entretenimento - Bares</v>
      </c>
      <c r="Q561" s="44" t="str">
        <f t="shared" si="3"/>
        <v>MCSGAST1</v>
      </c>
      <c r="R561" s="44" t="str">
        <f t="shared" si="4"/>
        <v>MCSGAST1</v>
      </c>
      <c r="S561" s="38"/>
      <c r="T561" s="304">
        <f t="shared" si="5"/>
        <v>46174</v>
      </c>
      <c r="U561" s="304" t="str">
        <f t="shared" si="6"/>
        <v/>
      </c>
      <c r="V561" s="300" t="s">
        <v>761</v>
      </c>
    </row>
    <row r="562" spans="2:22" s="300" customFormat="1" x14ac:dyDescent="0.25">
      <c r="B562" s="301" t="s">
        <v>25</v>
      </c>
      <c r="C562" s="302"/>
      <c r="D562" s="86" t="str">
        <f>INDEX(Cad_Natureza!$B$3:$C$52,MATCH('2026'!F562,Cad_Natureza!$C$3:$C$52,0),MATCH('2026'!D$2,Cad_Natureza!$B$3:$C$3,0))</f>
        <v>GAST1</v>
      </c>
      <c r="E562" s="84" t="s">
        <v>1753</v>
      </c>
      <c r="F562" s="85" t="s">
        <v>742</v>
      </c>
      <c r="G562" s="86" t="s">
        <v>25</v>
      </c>
      <c r="H562" s="87">
        <v>46174</v>
      </c>
      <c r="I562" s="87"/>
      <c r="J562" s="79" t="s">
        <v>1590</v>
      </c>
      <c r="K562" s="62">
        <v>-73.5</v>
      </c>
      <c r="L562" s="62">
        <f t="shared" si="127"/>
        <v>707.2100000000006</v>
      </c>
      <c r="M562" s="302"/>
      <c r="N562" s="44" t="str">
        <f t="shared" si="0"/>
        <v>MCSGAST1CPF - Desp. Lazer e Entretenimento - Bares</v>
      </c>
      <c r="O562" s="44" t="str">
        <f t="shared" si="1"/>
        <v>GAST1CPF - Desp. Lazer e Entretenimento - Bares</v>
      </c>
      <c r="P562" s="44" t="str">
        <f t="shared" si="2"/>
        <v>MCSGAST1CPF - Desp. Lazer e Entretenimento - Bares</v>
      </c>
      <c r="Q562" s="44" t="str">
        <f t="shared" si="3"/>
        <v>MCSGAST1</v>
      </c>
      <c r="R562" s="44" t="str">
        <f t="shared" si="4"/>
        <v>MCSGAST1</v>
      </c>
      <c r="S562" s="38"/>
      <c r="T562" s="304">
        <f t="shared" si="5"/>
        <v>46174</v>
      </c>
      <c r="U562" s="304" t="str">
        <f t="shared" si="6"/>
        <v/>
      </c>
      <c r="V562" s="300" t="s">
        <v>761</v>
      </c>
    </row>
    <row r="563" spans="2:22" s="300" customFormat="1" x14ac:dyDescent="0.25">
      <c r="B563" s="301" t="s">
        <v>25</v>
      </c>
      <c r="C563" s="302"/>
      <c r="D563" s="86" t="str">
        <f>INDEX(Cad_Natureza!$B$3:$C$52,MATCH('2026'!F563,Cad_Natureza!$C$3:$C$52,0),MATCH('2026'!D$2,Cad_Natureza!$B$3:$C$3,0))</f>
        <v>OPF1</v>
      </c>
      <c r="E563" s="84" t="s">
        <v>1755</v>
      </c>
      <c r="F563" s="85" t="s">
        <v>744</v>
      </c>
      <c r="G563" s="86" t="s">
        <v>25</v>
      </c>
      <c r="H563" s="87">
        <v>46174</v>
      </c>
      <c r="I563" s="87"/>
      <c r="J563" s="79" t="s">
        <v>182</v>
      </c>
      <c r="K563" s="62">
        <v>-24</v>
      </c>
      <c r="L563" s="62">
        <f t="shared" si="127"/>
        <v>683.2100000000006</v>
      </c>
      <c r="M563" s="302"/>
      <c r="N563" s="44" t="str">
        <f t="shared" si="0"/>
        <v>MCSOPF1CPF - Desp. Alimentação / Refeição</v>
      </c>
      <c r="O563" s="44" t="str">
        <f t="shared" si="1"/>
        <v>OPF1CPF - Desp. Alimentação / Refeição</v>
      </c>
      <c r="P563" s="44" t="str">
        <f t="shared" si="2"/>
        <v>MCSOPF1CPF - Desp. Alimentação / Refeição</v>
      </c>
      <c r="Q563" s="44" t="str">
        <f t="shared" si="3"/>
        <v>MCSOPF1</v>
      </c>
      <c r="R563" s="44" t="str">
        <f t="shared" si="4"/>
        <v>MCSOPF1</v>
      </c>
      <c r="S563" s="38"/>
      <c r="T563" s="304">
        <f t="shared" si="5"/>
        <v>46174</v>
      </c>
      <c r="U563" s="304" t="str">
        <f t="shared" si="6"/>
        <v/>
      </c>
      <c r="V563" s="300" t="s">
        <v>731</v>
      </c>
    </row>
    <row r="564" spans="2:22" s="300" customFormat="1" x14ac:dyDescent="0.25">
      <c r="B564" s="301" t="s">
        <v>25</v>
      </c>
      <c r="C564" s="302"/>
      <c r="D564" s="86" t="str">
        <f>INDEX(Cad_Natureza!$B$3:$C$52,MATCH('2026'!F564,Cad_Natureza!$C$3:$C$52,0),MATCH('2026'!D$2,Cad_Natureza!$B$3:$C$3,0))</f>
        <v>OPF2</v>
      </c>
      <c r="E564" s="84" t="s">
        <v>1756</v>
      </c>
      <c r="F564" s="85" t="s">
        <v>741</v>
      </c>
      <c r="G564" s="86" t="s">
        <v>25</v>
      </c>
      <c r="H564" s="87">
        <v>46174</v>
      </c>
      <c r="I564" s="87"/>
      <c r="J564" s="79" t="s">
        <v>184</v>
      </c>
      <c r="K564" s="62">
        <v>-80</v>
      </c>
      <c r="L564" s="62">
        <f t="shared" si="127"/>
        <v>603.2100000000006</v>
      </c>
      <c r="M564" s="302"/>
      <c r="N564" s="44" t="str">
        <f t="shared" si="0"/>
        <v>MCSOPF2CPF - Desp. Transporte / Combustível</v>
      </c>
      <c r="O564" s="44" t="str">
        <f t="shared" si="1"/>
        <v>OPF2CPF - Desp. Transporte / Combustível</v>
      </c>
      <c r="P564" s="44" t="str">
        <f t="shared" si="2"/>
        <v>MCSOPF2CPF - Desp. Transporte / Combustível</v>
      </c>
      <c r="Q564" s="44" t="str">
        <f t="shared" si="3"/>
        <v>MCSOPF2</v>
      </c>
      <c r="R564" s="44" t="str">
        <f t="shared" si="4"/>
        <v>MCSOPF2</v>
      </c>
      <c r="S564" s="38"/>
      <c r="T564" s="304">
        <f t="shared" si="5"/>
        <v>46174</v>
      </c>
      <c r="U564" s="304" t="str">
        <f t="shared" si="6"/>
        <v/>
      </c>
      <c r="V564" s="300" t="s">
        <v>731</v>
      </c>
    </row>
    <row r="565" spans="2:22" s="291" customFormat="1" x14ac:dyDescent="0.25">
      <c r="B565" s="288" t="s">
        <v>25</v>
      </c>
      <c r="C565" s="83"/>
      <c r="D565" s="63" t="str">
        <f>INDEX(Cad_Natureza!$B$3:$C$52,MATCH('2026'!F565,Cad_Natureza!$C$3:$C$52,0),MATCH('2026'!D$2,Cad_Natureza!$B$3:$C$3,0))</f>
        <v>REC5</v>
      </c>
      <c r="E565" s="64" t="s">
        <v>428</v>
      </c>
      <c r="F565" s="65" t="s">
        <v>740</v>
      </c>
      <c r="G565" s="63" t="s">
        <v>25</v>
      </c>
      <c r="H565" s="66">
        <v>46174</v>
      </c>
      <c r="I565" s="66"/>
      <c r="J565" s="67" t="s">
        <v>1851</v>
      </c>
      <c r="K565" s="68">
        <v>20.48</v>
      </c>
      <c r="L565" s="68">
        <f t="shared" si="127"/>
        <v>623.69000000000062</v>
      </c>
      <c r="M565" s="83"/>
      <c r="N565" s="44" t="str">
        <f t="shared" si="0"/>
        <v>MCSREC5CPF - Outras receitas</v>
      </c>
      <c r="O565" s="44" t="str">
        <f t="shared" si="1"/>
        <v>REC5CPF - Outras receitas</v>
      </c>
      <c r="P565" s="44" t="str">
        <f t="shared" si="2"/>
        <v>MCSREC5CPF - Outras receitas</v>
      </c>
      <c r="Q565" s="44" t="str">
        <f t="shared" si="3"/>
        <v>MCSREC5</v>
      </c>
      <c r="R565" s="44" t="str">
        <f t="shared" si="4"/>
        <v>MCSREC5</v>
      </c>
      <c r="S565" s="38"/>
      <c r="T565" s="290">
        <f t="shared" si="5"/>
        <v>46174</v>
      </c>
      <c r="U565" s="290" t="str">
        <f t="shared" si="6"/>
        <v/>
      </c>
      <c r="V565" s="291" t="s">
        <v>761</v>
      </c>
    </row>
    <row r="566" spans="2:22" s="300" customFormat="1" x14ac:dyDescent="0.25">
      <c r="B566" s="301" t="s">
        <v>25</v>
      </c>
      <c r="C566" s="302"/>
      <c r="D566" s="86" t="str">
        <f>INDEX(Cad_Natureza!$B$3:$C$52,MATCH('2026'!F566,Cad_Natureza!$C$3:$C$52,0),MATCH('2026'!D$2,Cad_Natureza!$B$3:$C$3,0))</f>
        <v>OPF1</v>
      </c>
      <c r="E566" s="84" t="s">
        <v>1757</v>
      </c>
      <c r="F566" s="85" t="s">
        <v>744</v>
      </c>
      <c r="G566" s="86" t="s">
        <v>25</v>
      </c>
      <c r="H566" s="87">
        <v>46175</v>
      </c>
      <c r="I566" s="87"/>
      <c r="J566" s="79" t="s">
        <v>182</v>
      </c>
      <c r="K566" s="62">
        <v>-24</v>
      </c>
      <c r="L566" s="62">
        <f t="shared" si="127"/>
        <v>599.69000000000062</v>
      </c>
      <c r="M566" s="302"/>
      <c r="N566" s="44" t="str">
        <f t="shared" si="0"/>
        <v>MCSOPF1CPF - Desp. Alimentação / Refeição</v>
      </c>
      <c r="O566" s="44" t="str">
        <f t="shared" si="1"/>
        <v>OPF1CPF - Desp. Alimentação / Refeição</v>
      </c>
      <c r="P566" s="44" t="str">
        <f t="shared" si="2"/>
        <v>MCSOPF1CPF - Desp. Alimentação / Refeição</v>
      </c>
      <c r="Q566" s="44" t="str">
        <f t="shared" si="3"/>
        <v>MCSOPF1</v>
      </c>
      <c r="R566" s="44" t="str">
        <f t="shared" si="4"/>
        <v>MCSOPF1</v>
      </c>
      <c r="S566" s="38"/>
      <c r="T566" s="304">
        <f t="shared" si="5"/>
        <v>46174</v>
      </c>
      <c r="U566" s="304" t="str">
        <f t="shared" si="6"/>
        <v/>
      </c>
      <c r="V566" s="300" t="s">
        <v>761</v>
      </c>
    </row>
    <row r="567" spans="2:22" s="300" customFormat="1" x14ac:dyDescent="0.25">
      <c r="B567" s="301" t="s">
        <v>25</v>
      </c>
      <c r="C567" s="302"/>
      <c r="D567" s="86" t="str">
        <f>INDEX(Cad_Natureza!$B$3:$C$52,MATCH('2026'!F567,Cad_Natureza!$C$3:$C$52,0),MATCH('2026'!D$2,Cad_Natureza!$B$3:$C$3,0))</f>
        <v>OPF2</v>
      </c>
      <c r="E567" s="84" t="s">
        <v>1758</v>
      </c>
      <c r="F567" s="85" t="s">
        <v>741</v>
      </c>
      <c r="G567" s="86" t="s">
        <v>25</v>
      </c>
      <c r="H567" s="87">
        <v>46175</v>
      </c>
      <c r="I567" s="87"/>
      <c r="J567" s="79" t="s">
        <v>184</v>
      </c>
      <c r="K567" s="62">
        <v>-80</v>
      </c>
      <c r="L567" s="62">
        <f t="shared" si="127"/>
        <v>519.69000000000062</v>
      </c>
      <c r="M567" s="302"/>
      <c r="N567" s="44" t="str">
        <f t="shared" si="0"/>
        <v>MCSOPF2CPF - Desp. Transporte / Combustível</v>
      </c>
      <c r="O567" s="44" t="str">
        <f t="shared" si="1"/>
        <v>OPF2CPF - Desp. Transporte / Combustível</v>
      </c>
      <c r="P567" s="44" t="str">
        <f t="shared" si="2"/>
        <v>MCSOPF2CPF - Desp. Transporte / Combustível</v>
      </c>
      <c r="Q567" s="44" t="str">
        <f t="shared" si="3"/>
        <v>MCSOPF2</v>
      </c>
      <c r="R567" s="44" t="str">
        <f t="shared" si="4"/>
        <v>MCSOPF2</v>
      </c>
      <c r="S567" s="38"/>
      <c r="T567" s="304">
        <f t="shared" si="5"/>
        <v>46174</v>
      </c>
      <c r="U567" s="304" t="str">
        <f t="shared" si="6"/>
        <v/>
      </c>
      <c r="V567" s="300" t="s">
        <v>761</v>
      </c>
    </row>
    <row r="568" spans="2:22" s="300" customFormat="1" x14ac:dyDescent="0.25">
      <c r="B568" s="301" t="s">
        <v>25</v>
      </c>
      <c r="C568" s="302"/>
      <c r="D568" s="86" t="str">
        <f>INDEX(Cad_Natureza!$B$3:$C$52,MATCH('2026'!F568,Cad_Natureza!$C$3:$C$52,0),MATCH('2026'!D$2,Cad_Natureza!$B$3:$C$3,0))</f>
        <v>FIN2</v>
      </c>
      <c r="E568" s="84" t="s">
        <v>1759</v>
      </c>
      <c r="F568" s="85" t="s">
        <v>751</v>
      </c>
      <c r="G568" s="86" t="s">
        <v>25</v>
      </c>
      <c r="H568" s="87">
        <v>46175</v>
      </c>
      <c r="I568" s="87"/>
      <c r="J568" s="79" t="s">
        <v>188</v>
      </c>
      <c r="K568" s="62">
        <v>-28</v>
      </c>
      <c r="L568" s="62">
        <f t="shared" si="127"/>
        <v>491.69000000000062</v>
      </c>
      <c r="M568" s="302"/>
      <c r="N568" s="44" t="str">
        <f t="shared" si="0"/>
        <v>MCSFIN2CPF - Desp. Financeiras - Juros / Tarifas</v>
      </c>
      <c r="O568" s="44" t="str">
        <f t="shared" si="1"/>
        <v>FIN2CPF - Desp. Financeiras - Juros / Tarifas</v>
      </c>
      <c r="P568" s="44" t="str">
        <f t="shared" si="2"/>
        <v>MCSFIN2CPF - Desp. Financeiras - Juros / Tarifas</v>
      </c>
      <c r="Q568" s="44" t="str">
        <f t="shared" si="3"/>
        <v>MCSFIN2</v>
      </c>
      <c r="R568" s="44" t="str">
        <f t="shared" si="4"/>
        <v>MCSFIN2</v>
      </c>
      <c r="S568" s="38"/>
      <c r="T568" s="304">
        <f t="shared" si="5"/>
        <v>46174</v>
      </c>
      <c r="U568" s="304" t="str">
        <f t="shared" si="6"/>
        <v/>
      </c>
      <c r="V568" s="300" t="s">
        <v>761</v>
      </c>
    </row>
    <row r="569" spans="2:22" s="300" customFormat="1" x14ac:dyDescent="0.25">
      <c r="B569" s="301" t="s">
        <v>25</v>
      </c>
      <c r="C569" s="302"/>
      <c r="D569" s="86" t="str">
        <f>INDEX(Cad_Natureza!$B$3:$C$52,MATCH('2026'!F569,Cad_Natureza!$C$3:$C$52,0),MATCH('2026'!D$2,Cad_Natureza!$B$3:$C$3,0))</f>
        <v>OPF1</v>
      </c>
      <c r="E569" s="84" t="s">
        <v>1760</v>
      </c>
      <c r="F569" s="85" t="s">
        <v>744</v>
      </c>
      <c r="G569" s="86" t="s">
        <v>25</v>
      </c>
      <c r="H569" s="87">
        <v>46176</v>
      </c>
      <c r="I569" s="87"/>
      <c r="J569" s="79" t="s">
        <v>182</v>
      </c>
      <c r="K569" s="62">
        <v>-24</v>
      </c>
      <c r="L569" s="62">
        <f t="shared" si="127"/>
        <v>467.69000000000062</v>
      </c>
      <c r="M569" s="302"/>
      <c r="N569" s="44" t="str">
        <f t="shared" si="0"/>
        <v>MCSOPF1CPF - Desp. Alimentação / Refeição</v>
      </c>
      <c r="O569" s="44" t="str">
        <f t="shared" si="1"/>
        <v>OPF1CPF - Desp. Alimentação / Refeição</v>
      </c>
      <c r="P569" s="44" t="str">
        <f t="shared" si="2"/>
        <v>MCSOPF1CPF - Desp. Alimentação / Refeição</v>
      </c>
      <c r="Q569" s="44" t="str">
        <f t="shared" si="3"/>
        <v>MCSOPF1</v>
      </c>
      <c r="R569" s="44" t="str">
        <f t="shared" si="4"/>
        <v>MCSOPF1</v>
      </c>
      <c r="S569" s="38"/>
      <c r="T569" s="304">
        <f t="shared" si="5"/>
        <v>46174</v>
      </c>
      <c r="U569" s="304" t="str">
        <f t="shared" si="6"/>
        <v/>
      </c>
      <c r="V569" s="300" t="s">
        <v>761</v>
      </c>
    </row>
    <row r="570" spans="2:22" s="291" customFormat="1" x14ac:dyDescent="0.25">
      <c r="B570" s="288" t="s">
        <v>25</v>
      </c>
      <c r="C570" s="83"/>
      <c r="D570" s="63" t="str">
        <f>INDEX(Cad_Natureza!$B$3:$C$52,MATCH('2026'!F570,Cad_Natureza!$C$3:$C$52,0),MATCH('2026'!D$2,Cad_Natureza!$B$3:$C$3,0))</f>
        <v>REC5</v>
      </c>
      <c r="E570" s="64" t="s">
        <v>428</v>
      </c>
      <c r="F570" s="65" t="s">
        <v>740</v>
      </c>
      <c r="G570" s="63" t="s">
        <v>25</v>
      </c>
      <c r="H570" s="66">
        <v>46176</v>
      </c>
      <c r="I570" s="66"/>
      <c r="J570" s="67" t="s">
        <v>1851</v>
      </c>
      <c r="K570" s="68">
        <v>372.66</v>
      </c>
      <c r="L570" s="68">
        <f t="shared" si="127"/>
        <v>840.35000000000059</v>
      </c>
      <c r="M570" s="83"/>
      <c r="N570" s="44" t="str">
        <f t="shared" si="0"/>
        <v>MCSREC5CPF - Outras receitas</v>
      </c>
      <c r="O570" s="44" t="str">
        <f t="shared" si="1"/>
        <v>REC5CPF - Outras receitas</v>
      </c>
      <c r="P570" s="44" t="str">
        <f t="shared" si="2"/>
        <v>MCSREC5CPF - Outras receitas</v>
      </c>
      <c r="Q570" s="44" t="str">
        <f t="shared" si="3"/>
        <v>MCSREC5</v>
      </c>
      <c r="R570" s="44" t="str">
        <f t="shared" si="4"/>
        <v>MCSREC5</v>
      </c>
      <c r="S570" s="38"/>
      <c r="T570" s="290">
        <f t="shared" si="5"/>
        <v>46174</v>
      </c>
      <c r="U570" s="290" t="str">
        <f t="shared" si="6"/>
        <v/>
      </c>
      <c r="V570" s="291" t="s">
        <v>731</v>
      </c>
    </row>
    <row r="571" spans="2:22" s="300" customFormat="1" x14ac:dyDescent="0.25">
      <c r="B571" s="301" t="s">
        <v>25</v>
      </c>
      <c r="C571" s="302"/>
      <c r="D571" s="86" t="str">
        <f>INDEX(Cad_Natureza!$B$3:$C$52,MATCH('2026'!F571,Cad_Natureza!$C$3:$C$52,0),MATCH('2026'!D$2,Cad_Natureza!$B$3:$C$3,0))</f>
        <v>GAST1</v>
      </c>
      <c r="E571" s="84" t="s">
        <v>1761</v>
      </c>
      <c r="F571" s="85" t="s">
        <v>742</v>
      </c>
      <c r="G571" s="86" t="s">
        <v>25</v>
      </c>
      <c r="H571" s="87">
        <v>46178</v>
      </c>
      <c r="I571" s="87"/>
      <c r="J571" s="79" t="s">
        <v>185</v>
      </c>
      <c r="K571" s="62">
        <v>-6.5</v>
      </c>
      <c r="L571" s="62">
        <f t="shared" si="127"/>
        <v>833.85000000000059</v>
      </c>
      <c r="M571" s="302"/>
      <c r="N571" s="44" t="str">
        <f t="shared" si="0"/>
        <v>MCSGAST1CPF - Desp. Lazer e Entretenimento - Bares</v>
      </c>
      <c r="O571" s="44" t="str">
        <f t="shared" si="1"/>
        <v>GAST1CPF - Desp. Lazer e Entretenimento - Bares</v>
      </c>
      <c r="P571" s="44" t="str">
        <f t="shared" si="2"/>
        <v>MCSGAST1CPF - Desp. Lazer e Entretenimento - Bares</v>
      </c>
      <c r="Q571" s="44" t="str">
        <f t="shared" si="3"/>
        <v>MCSGAST1</v>
      </c>
      <c r="R571" s="44" t="str">
        <f t="shared" si="4"/>
        <v>MCSGAST1</v>
      </c>
      <c r="S571" s="38"/>
      <c r="T571" s="304">
        <f t="shared" si="5"/>
        <v>46174</v>
      </c>
      <c r="U571" s="304" t="str">
        <f t="shared" si="6"/>
        <v/>
      </c>
      <c r="V571" s="300" t="s">
        <v>731</v>
      </c>
    </row>
    <row r="572" spans="2:22" s="300" customFormat="1" x14ac:dyDescent="0.25">
      <c r="B572" s="301" t="s">
        <v>25</v>
      </c>
      <c r="C572" s="302"/>
      <c r="D572" s="86" t="str">
        <f>INDEX(Cad_Natureza!$B$3:$C$52,MATCH('2026'!F572,Cad_Natureza!$C$3:$C$52,0),MATCH('2026'!D$2,Cad_Natureza!$B$3:$C$3,0))</f>
        <v>DESP4</v>
      </c>
      <c r="E572" s="84" t="s">
        <v>1762</v>
      </c>
      <c r="F572" s="85" t="s">
        <v>753</v>
      </c>
      <c r="G572" s="86" t="s">
        <v>25</v>
      </c>
      <c r="H572" s="87">
        <v>46178</v>
      </c>
      <c r="I572" s="87"/>
      <c r="J572" s="79" t="s">
        <v>1852</v>
      </c>
      <c r="K572" s="62">
        <v>-300</v>
      </c>
      <c r="L572" s="62">
        <f t="shared" si="127"/>
        <v>533.85000000000059</v>
      </c>
      <c r="M572" s="302"/>
      <c r="N572" s="44" t="str">
        <f t="shared" si="0"/>
        <v>MCSDESP4CPF - Desp. Moradia</v>
      </c>
      <c r="O572" s="44" t="str">
        <f t="shared" si="1"/>
        <v>DESP4CPF - Desp. Moradia</v>
      </c>
      <c r="P572" s="44" t="str">
        <f t="shared" si="2"/>
        <v>MCSDESP4CPF - Desp. Moradia</v>
      </c>
      <c r="Q572" s="44" t="str">
        <f t="shared" si="3"/>
        <v>MCSDESP4</v>
      </c>
      <c r="R572" s="44" t="str">
        <f t="shared" si="4"/>
        <v>MCSDESP4</v>
      </c>
      <c r="S572" s="38"/>
      <c r="T572" s="304">
        <f t="shared" si="5"/>
        <v>46174</v>
      </c>
      <c r="U572" s="304" t="str">
        <f t="shared" si="6"/>
        <v/>
      </c>
      <c r="V572" s="300" t="s">
        <v>761</v>
      </c>
    </row>
    <row r="573" spans="2:22" s="291" customFormat="1" x14ac:dyDescent="0.25">
      <c r="B573" s="288" t="s">
        <v>25</v>
      </c>
      <c r="C573" s="83"/>
      <c r="D573" s="63" t="str">
        <f>INDEX(Cad_Natureza!$B$3:$C$52,MATCH('2026'!F573,Cad_Natureza!$C$3:$C$52,0),MATCH('2026'!D$2,Cad_Natureza!$B$3:$C$3,0))</f>
        <v>REC4</v>
      </c>
      <c r="E573" s="64" t="s">
        <v>1763</v>
      </c>
      <c r="F573" s="65" t="s">
        <v>734</v>
      </c>
      <c r="G573" s="63" t="s">
        <v>25</v>
      </c>
      <c r="H573" s="66">
        <v>46178</v>
      </c>
      <c r="I573" s="66"/>
      <c r="J573" s="67" t="s">
        <v>183</v>
      </c>
      <c r="K573" s="68">
        <v>1000</v>
      </c>
      <c r="L573" s="68">
        <f t="shared" si="127"/>
        <v>1533.8500000000006</v>
      </c>
      <c r="M573" s="83"/>
      <c r="N573" s="44" t="str">
        <f t="shared" si="0"/>
        <v>MCSREC4CPF - Transf. Da conta PJ para a conta PF</v>
      </c>
      <c r="O573" s="44" t="str">
        <f t="shared" si="1"/>
        <v>REC4CPF - Transf. Da conta PJ para a conta PF</v>
      </c>
      <c r="P573" s="44" t="str">
        <f t="shared" si="2"/>
        <v>MCSREC4CPF - Transf. Da conta PJ para a conta PF</v>
      </c>
      <c r="Q573" s="44" t="str">
        <f t="shared" si="3"/>
        <v>MCSREC4</v>
      </c>
      <c r="R573" s="44" t="str">
        <f t="shared" si="4"/>
        <v>MCSREC4</v>
      </c>
      <c r="S573" s="38"/>
      <c r="T573" s="290">
        <f t="shared" si="5"/>
        <v>46174</v>
      </c>
      <c r="U573" s="290" t="str">
        <f t="shared" si="6"/>
        <v/>
      </c>
      <c r="V573" s="291" t="s">
        <v>761</v>
      </c>
    </row>
    <row r="574" spans="2:22" s="300" customFormat="1" x14ac:dyDescent="0.25">
      <c r="B574" s="301" t="s">
        <v>25</v>
      </c>
      <c r="C574" s="302"/>
      <c r="D574" s="86" t="str">
        <f>INDEX(Cad_Natureza!$B$3:$C$52,MATCH('2026'!F574,Cad_Natureza!$C$3:$C$52,0),MATCH('2026'!D$2,Cad_Natureza!$B$3:$C$3,0))</f>
        <v>OUG1</v>
      </c>
      <c r="E574" s="84" t="s">
        <v>1764</v>
      </c>
      <c r="F574" s="85" t="s">
        <v>748</v>
      </c>
      <c r="G574" s="86" t="s">
        <v>25</v>
      </c>
      <c r="H574" s="87">
        <v>46178</v>
      </c>
      <c r="I574" s="87"/>
      <c r="J574" s="79" t="s">
        <v>1853</v>
      </c>
      <c r="K574" s="62">
        <v>-60</v>
      </c>
      <c r="L574" s="62">
        <f t="shared" si="127"/>
        <v>1473.8500000000006</v>
      </c>
      <c r="M574" s="302"/>
      <c r="N574" s="44" t="str">
        <f t="shared" si="0"/>
        <v>MCSOUG1CPF - Outros gastos</v>
      </c>
      <c r="O574" s="44" t="str">
        <f t="shared" si="1"/>
        <v>OUG1CPF - Outros gastos</v>
      </c>
      <c r="P574" s="44" t="str">
        <f t="shared" si="2"/>
        <v>MCSOUG1CPF - Outros gastos</v>
      </c>
      <c r="Q574" s="44" t="str">
        <f t="shared" si="3"/>
        <v>MCSOUG1</v>
      </c>
      <c r="R574" s="44" t="str">
        <f t="shared" si="4"/>
        <v>MCSOUG1</v>
      </c>
      <c r="S574" s="38"/>
      <c r="T574" s="304">
        <f t="shared" si="5"/>
        <v>46174</v>
      </c>
      <c r="U574" s="304" t="str">
        <f t="shared" si="6"/>
        <v/>
      </c>
      <c r="V574" s="300" t="s">
        <v>761</v>
      </c>
    </row>
    <row r="575" spans="2:22" s="300" customFormat="1" x14ac:dyDescent="0.25">
      <c r="B575" s="301" t="s">
        <v>25</v>
      </c>
      <c r="C575" s="302"/>
      <c r="D575" s="86" t="str">
        <f>INDEX(Cad_Natureza!$B$3:$C$52,MATCH('2026'!F575,Cad_Natureza!$C$3:$C$52,0),MATCH('2026'!D$2,Cad_Natureza!$B$3:$C$3,0))</f>
        <v>PENS3</v>
      </c>
      <c r="E575" s="84" t="s">
        <v>558</v>
      </c>
      <c r="F575" s="85" t="s">
        <v>746</v>
      </c>
      <c r="G575" s="86" t="s">
        <v>25</v>
      </c>
      <c r="H575" s="87">
        <v>46178</v>
      </c>
      <c r="I575" s="87"/>
      <c r="J575" s="78" t="s">
        <v>1838</v>
      </c>
      <c r="K575" s="62">
        <v>-614.34</v>
      </c>
      <c r="L575" s="62">
        <f t="shared" si="127"/>
        <v>859.51000000000056</v>
      </c>
      <c r="M575" s="302"/>
      <c r="N575" s="44" t="str">
        <f t="shared" si="0"/>
        <v>MCSPENS3CPF - Pensão - Plano de saúde</v>
      </c>
      <c r="O575" s="44" t="str">
        <f t="shared" si="1"/>
        <v>PENS3CPF - Pensão - Plano de saúde</v>
      </c>
      <c r="P575" s="44" t="str">
        <f t="shared" si="2"/>
        <v>MCSPENS3CPF - Pensão - Plano de saúde</v>
      </c>
      <c r="Q575" s="44" t="str">
        <f t="shared" si="3"/>
        <v>MCSPENS3</v>
      </c>
      <c r="R575" s="44" t="str">
        <f t="shared" si="4"/>
        <v>MCSPENS3</v>
      </c>
      <c r="S575" s="38"/>
      <c r="T575" s="304">
        <f t="shared" si="5"/>
        <v>46174</v>
      </c>
      <c r="U575" s="304" t="str">
        <f t="shared" si="6"/>
        <v/>
      </c>
      <c r="V575" s="300" t="s">
        <v>761</v>
      </c>
    </row>
    <row r="576" spans="2:22" s="300" customFormat="1" x14ac:dyDescent="0.25">
      <c r="B576" s="301" t="s">
        <v>25</v>
      </c>
      <c r="C576" s="302"/>
      <c r="D576" s="86" t="str">
        <f>INDEX(Cad_Natureza!$B$3:$C$52,MATCH('2026'!F576,Cad_Natureza!$C$3:$C$52,0),MATCH('2026'!D$2,Cad_Natureza!$B$3:$C$3,0))</f>
        <v>PENS6</v>
      </c>
      <c r="E576" s="84" t="s">
        <v>1765</v>
      </c>
      <c r="F576" s="85" t="s">
        <v>37</v>
      </c>
      <c r="G576" s="86" t="s">
        <v>25</v>
      </c>
      <c r="H576" s="87">
        <v>46178</v>
      </c>
      <c r="I576" s="87"/>
      <c r="J576" s="78" t="s">
        <v>568</v>
      </c>
      <c r="K576" s="62">
        <v>-35.99</v>
      </c>
      <c r="L576" s="62">
        <f t="shared" si="127"/>
        <v>823.52000000000055</v>
      </c>
      <c r="M576" s="302"/>
      <c r="N576" s="44" t="str">
        <f t="shared" si="0"/>
        <v>MCSPENS6CPF - Pensão - Farmácia e Saúde</v>
      </c>
      <c r="O576" s="44" t="str">
        <f t="shared" si="1"/>
        <v>PENS6CPF - Pensão - Farmácia e Saúde</v>
      </c>
      <c r="P576" s="44" t="str">
        <f t="shared" si="2"/>
        <v>MCSPENS6CPF - Pensão - Farmácia e Saúde</v>
      </c>
      <c r="Q576" s="44" t="str">
        <f t="shared" si="3"/>
        <v>MCSPENS6</v>
      </c>
      <c r="R576" s="44" t="str">
        <f t="shared" si="4"/>
        <v>MCSPENS6</v>
      </c>
      <c r="S576" s="38"/>
      <c r="T576" s="304">
        <f t="shared" si="5"/>
        <v>46174</v>
      </c>
      <c r="U576" s="304" t="str">
        <f t="shared" si="6"/>
        <v/>
      </c>
      <c r="V576" s="300" t="s">
        <v>761</v>
      </c>
    </row>
    <row r="577" spans="2:22" s="300" customFormat="1" x14ac:dyDescent="0.25">
      <c r="B577" s="301" t="s">
        <v>25</v>
      </c>
      <c r="C577" s="302"/>
      <c r="D577" s="86" t="str">
        <f>INDEX(Cad_Natureza!$B$3:$C$52,MATCH('2026'!F577,Cad_Natureza!$C$3:$C$52,0),MATCH('2026'!D$2,Cad_Natureza!$B$3:$C$3,0))</f>
        <v>PENS6</v>
      </c>
      <c r="E577" s="84" t="s">
        <v>1766</v>
      </c>
      <c r="F577" s="306" t="s">
        <v>37</v>
      </c>
      <c r="G577" s="86" t="s">
        <v>25</v>
      </c>
      <c r="H577" s="87">
        <v>46178</v>
      </c>
      <c r="I577" s="87"/>
      <c r="J577" s="78" t="s">
        <v>1842</v>
      </c>
      <c r="K577" s="62">
        <v>-87.86</v>
      </c>
      <c r="L577" s="62">
        <f t="shared" si="127"/>
        <v>735.66000000000054</v>
      </c>
      <c r="M577" s="302"/>
      <c r="N577" s="44" t="str">
        <f t="shared" si="0"/>
        <v>MCSPENS6CPF - Pensão - Farmácia e Saúde</v>
      </c>
      <c r="O577" s="44" t="str">
        <f t="shared" si="1"/>
        <v>PENS6CPF - Pensão - Farmácia e Saúde</v>
      </c>
      <c r="P577" s="44" t="str">
        <f t="shared" si="2"/>
        <v>MCSPENS6CPF - Pensão - Farmácia e Saúde</v>
      </c>
      <c r="Q577" s="44" t="str">
        <f t="shared" si="3"/>
        <v>MCSPENS6</v>
      </c>
      <c r="R577" s="44" t="str">
        <f t="shared" si="4"/>
        <v>MCSPENS6</v>
      </c>
      <c r="S577" s="38"/>
      <c r="T577" s="304">
        <f t="shared" si="5"/>
        <v>46174</v>
      </c>
      <c r="U577" s="304" t="str">
        <f t="shared" si="6"/>
        <v/>
      </c>
      <c r="V577" s="300" t="s">
        <v>731</v>
      </c>
    </row>
    <row r="578" spans="2:22" s="300" customFormat="1" x14ac:dyDescent="0.25">
      <c r="B578" s="301" t="s">
        <v>25</v>
      </c>
      <c r="C578" s="302"/>
      <c r="D578" s="86" t="str">
        <f>INDEX(Cad_Natureza!$B$3:$C$52,MATCH('2026'!F578,Cad_Natureza!$C$3:$C$52,0),MATCH('2026'!D$2,Cad_Natureza!$B$3:$C$3,0))</f>
        <v>OPF2</v>
      </c>
      <c r="E578" s="84" t="s">
        <v>1767</v>
      </c>
      <c r="F578" s="85" t="s">
        <v>741</v>
      </c>
      <c r="G578" s="86" t="s">
        <v>25</v>
      </c>
      <c r="H578" s="87">
        <v>46178</v>
      </c>
      <c r="I578" s="87"/>
      <c r="J578" s="79" t="s">
        <v>184</v>
      </c>
      <c r="K578" s="62">
        <v>-80</v>
      </c>
      <c r="L578" s="62">
        <f t="shared" si="127"/>
        <v>655.66000000000054</v>
      </c>
      <c r="M578" s="302"/>
      <c r="N578" s="44" t="str">
        <f t="shared" si="0"/>
        <v>MCSOPF2CPF - Desp. Transporte / Combustível</v>
      </c>
      <c r="O578" s="44" t="str">
        <f t="shared" si="1"/>
        <v>OPF2CPF - Desp. Transporte / Combustível</v>
      </c>
      <c r="P578" s="44" t="str">
        <f t="shared" si="2"/>
        <v>MCSOPF2CPF - Desp. Transporte / Combustível</v>
      </c>
      <c r="Q578" s="44" t="str">
        <f t="shared" si="3"/>
        <v>MCSOPF2</v>
      </c>
      <c r="R578" s="44" t="str">
        <f t="shared" si="4"/>
        <v>MCSOPF2</v>
      </c>
      <c r="S578" s="38"/>
      <c r="T578" s="304">
        <f t="shared" si="5"/>
        <v>46174</v>
      </c>
      <c r="U578" s="304" t="str">
        <f t="shared" si="6"/>
        <v/>
      </c>
      <c r="V578" s="300" t="s">
        <v>731</v>
      </c>
    </row>
    <row r="579" spans="2:22" s="300" customFormat="1" x14ac:dyDescent="0.25">
      <c r="B579" s="301" t="s">
        <v>25</v>
      </c>
      <c r="C579" s="302"/>
      <c r="D579" s="86" t="str">
        <f>INDEX(Cad_Natureza!$B$3:$C$52,MATCH('2026'!F579,Cad_Natureza!$C$3:$C$52,0),MATCH('2026'!D$2,Cad_Natureza!$B$3:$C$3,0))</f>
        <v>OUG1</v>
      </c>
      <c r="E579" s="84" t="s">
        <v>1768</v>
      </c>
      <c r="F579" s="85" t="s">
        <v>748</v>
      </c>
      <c r="G579" s="86" t="s">
        <v>25</v>
      </c>
      <c r="H579" s="87">
        <v>46178</v>
      </c>
      <c r="I579" s="87"/>
      <c r="J579" s="79" t="s">
        <v>1854</v>
      </c>
      <c r="K579" s="62">
        <v>-20</v>
      </c>
      <c r="L579" s="62">
        <f t="shared" si="127"/>
        <v>635.66000000000054</v>
      </c>
      <c r="M579" s="302"/>
      <c r="N579" s="44" t="str">
        <f t="shared" si="0"/>
        <v>MCSOUG1CPF - Outros gastos</v>
      </c>
      <c r="O579" s="44" t="str">
        <f t="shared" si="1"/>
        <v>OUG1CPF - Outros gastos</v>
      </c>
      <c r="P579" s="44" t="str">
        <f t="shared" si="2"/>
        <v>MCSOUG1CPF - Outros gastos</v>
      </c>
      <c r="Q579" s="44" t="str">
        <f t="shared" si="3"/>
        <v>MCSOUG1</v>
      </c>
      <c r="R579" s="44" t="str">
        <f t="shared" si="4"/>
        <v>MCSOUG1</v>
      </c>
      <c r="S579" s="38"/>
      <c r="T579" s="304">
        <f t="shared" si="5"/>
        <v>46174</v>
      </c>
      <c r="U579" s="304" t="str">
        <f t="shared" si="6"/>
        <v/>
      </c>
      <c r="V579" s="300" t="s">
        <v>761</v>
      </c>
    </row>
    <row r="580" spans="2:22" s="300" customFormat="1" x14ac:dyDescent="0.25">
      <c r="B580" s="301" t="s">
        <v>25</v>
      </c>
      <c r="C580" s="302"/>
      <c r="D580" s="86" t="str">
        <f>INDEX(Cad_Natureza!$B$3:$C$52,MATCH('2026'!F580,Cad_Natureza!$C$3:$C$52,0),MATCH('2026'!D$2,Cad_Natureza!$B$3:$C$3,0))</f>
        <v>GAST1</v>
      </c>
      <c r="E580" s="84" t="s">
        <v>1769</v>
      </c>
      <c r="F580" s="85" t="s">
        <v>742</v>
      </c>
      <c r="G580" s="86" t="s">
        <v>25</v>
      </c>
      <c r="H580" s="87">
        <v>46178</v>
      </c>
      <c r="I580" s="87"/>
      <c r="J580" s="79" t="s">
        <v>185</v>
      </c>
      <c r="K580" s="62">
        <v>-5</v>
      </c>
      <c r="L580" s="62">
        <f t="shared" ref="L580:L643" si="135">L579+K580</f>
        <v>630.66000000000054</v>
      </c>
      <c r="M580" s="302"/>
      <c r="N580" s="44" t="str">
        <f t="shared" si="0"/>
        <v>MCSGAST1CPF - Desp. Lazer e Entretenimento - Bares</v>
      </c>
      <c r="O580" s="44" t="str">
        <f t="shared" si="1"/>
        <v>GAST1CPF - Desp. Lazer e Entretenimento - Bares</v>
      </c>
      <c r="P580" s="44" t="str">
        <f t="shared" si="2"/>
        <v>MCSGAST1CPF - Desp. Lazer e Entretenimento - Bares</v>
      </c>
      <c r="Q580" s="44" t="str">
        <f t="shared" si="3"/>
        <v>MCSGAST1</v>
      </c>
      <c r="R580" s="44" t="str">
        <f t="shared" si="4"/>
        <v>MCSGAST1</v>
      </c>
      <c r="S580" s="38"/>
      <c r="T580" s="304">
        <f t="shared" si="5"/>
        <v>46174</v>
      </c>
      <c r="U580" s="304" t="str">
        <f t="shared" si="6"/>
        <v/>
      </c>
      <c r="V580" s="300" t="s">
        <v>761</v>
      </c>
    </row>
    <row r="581" spans="2:22" s="300" customFormat="1" x14ac:dyDescent="0.25">
      <c r="B581" s="301" t="s">
        <v>25</v>
      </c>
      <c r="C581" s="302"/>
      <c r="D581" s="86" t="str">
        <f>INDEX(Cad_Natureza!$B$3:$C$52,MATCH('2026'!F581,Cad_Natureza!$C$3:$C$52,0),MATCH('2026'!D$2,Cad_Natureza!$B$3:$C$3,0))</f>
        <v>GAST1</v>
      </c>
      <c r="E581" s="84" t="s">
        <v>1770</v>
      </c>
      <c r="F581" s="85" t="s">
        <v>742</v>
      </c>
      <c r="G581" s="86" t="s">
        <v>25</v>
      </c>
      <c r="H581" s="87">
        <v>46178</v>
      </c>
      <c r="I581" s="87"/>
      <c r="J581" s="79" t="s">
        <v>185</v>
      </c>
      <c r="K581" s="62">
        <v>-15</v>
      </c>
      <c r="L581" s="62">
        <f t="shared" si="135"/>
        <v>615.66000000000054</v>
      </c>
      <c r="M581" s="302"/>
      <c r="N581" s="44" t="str">
        <f t="shared" ref="N581:N600" si="136">B581&amp;D581&amp;F581</f>
        <v>MCSGAST1CPF - Desp. Lazer e Entretenimento - Bares</v>
      </c>
      <c r="O581" s="44" t="str">
        <f t="shared" ref="O581:O600" si="137">D581&amp;F581</f>
        <v>GAST1CPF - Desp. Lazer e Entretenimento - Bares</v>
      </c>
      <c r="P581" s="44" t="str">
        <f t="shared" ref="P581:P600" si="138">"MCS"&amp;D581&amp;F581</f>
        <v>MCSGAST1CPF - Desp. Lazer e Entretenimento - Bares</v>
      </c>
      <c r="Q581" s="44" t="str">
        <f t="shared" ref="Q581:Q600" si="139">"MCS"&amp;D581</f>
        <v>MCSGAST1</v>
      </c>
      <c r="R581" s="44" t="str">
        <f t="shared" ref="R581:R600" si="140">B581&amp;D581</f>
        <v>MCSGAST1</v>
      </c>
      <c r="S581" s="38"/>
      <c r="T581" s="304">
        <f t="shared" ref="T581:T600" si="141">(1&amp;"/"&amp;MONTH(H581)&amp;"/"&amp;YEAR(H581))*1</f>
        <v>46174</v>
      </c>
      <c r="U581" s="304" t="str">
        <f t="shared" ref="U581:U600" si="142">IF(I581="","",(1&amp;"/"&amp;MONTH(I581)&amp;"/"&amp;YEAR(I581))*1)</f>
        <v/>
      </c>
      <c r="V581" s="300" t="s">
        <v>761</v>
      </c>
    </row>
    <row r="582" spans="2:22" s="300" customFormat="1" x14ac:dyDescent="0.25">
      <c r="B582" s="301" t="s">
        <v>25</v>
      </c>
      <c r="C582" s="302"/>
      <c r="D582" s="86" t="str">
        <f>INDEX(Cad_Natureza!$B$3:$C$52,MATCH('2026'!F582,Cad_Natureza!$C$3:$C$52,0),MATCH('2026'!D$2,Cad_Natureza!$B$3:$C$3,0))</f>
        <v>OPF1</v>
      </c>
      <c r="E582" s="84" t="s">
        <v>1771</v>
      </c>
      <c r="F582" s="85" t="s">
        <v>744</v>
      </c>
      <c r="G582" s="86" t="s">
        <v>25</v>
      </c>
      <c r="H582" s="87">
        <v>46181</v>
      </c>
      <c r="I582" s="87"/>
      <c r="J582" s="79" t="s">
        <v>457</v>
      </c>
      <c r="K582" s="62">
        <v>-5</v>
      </c>
      <c r="L582" s="62">
        <f t="shared" si="135"/>
        <v>610.66000000000054</v>
      </c>
      <c r="M582" s="302"/>
      <c r="N582" s="44" t="str">
        <f t="shared" si="136"/>
        <v>MCSOPF1CPF - Desp. Alimentação / Refeição</v>
      </c>
      <c r="O582" s="44" t="str">
        <f t="shared" si="137"/>
        <v>OPF1CPF - Desp. Alimentação / Refeição</v>
      </c>
      <c r="P582" s="44" t="str">
        <f t="shared" si="138"/>
        <v>MCSOPF1CPF - Desp. Alimentação / Refeição</v>
      </c>
      <c r="Q582" s="44" t="str">
        <f t="shared" si="139"/>
        <v>MCSOPF1</v>
      </c>
      <c r="R582" s="44" t="str">
        <f t="shared" si="140"/>
        <v>MCSOPF1</v>
      </c>
      <c r="S582" s="38"/>
      <c r="T582" s="304">
        <f t="shared" si="141"/>
        <v>46174</v>
      </c>
      <c r="U582" s="304" t="str">
        <f t="shared" si="142"/>
        <v/>
      </c>
      <c r="V582" s="300" t="s">
        <v>761</v>
      </c>
    </row>
    <row r="583" spans="2:22" s="300" customFormat="1" x14ac:dyDescent="0.25">
      <c r="B583" s="301" t="s">
        <v>25</v>
      </c>
      <c r="C583" s="302"/>
      <c r="D583" s="86" t="str">
        <f>INDEX(Cad_Natureza!$B$3:$C$52,MATCH('2026'!F583,Cad_Natureza!$C$3:$C$52,0),MATCH('2026'!D$2,Cad_Natureza!$B$3:$C$3,0))</f>
        <v>OUG1</v>
      </c>
      <c r="E583" s="84" t="s">
        <v>1772</v>
      </c>
      <c r="F583" s="85" t="s">
        <v>748</v>
      </c>
      <c r="G583" s="86" t="s">
        <v>25</v>
      </c>
      <c r="H583" s="87">
        <v>46181</v>
      </c>
      <c r="I583" s="87"/>
      <c r="J583" s="79" t="s">
        <v>1855</v>
      </c>
      <c r="K583" s="62">
        <v>-20</v>
      </c>
      <c r="L583" s="62">
        <f t="shared" si="135"/>
        <v>590.66000000000054</v>
      </c>
      <c r="M583" s="302"/>
      <c r="N583" s="44" t="str">
        <f t="shared" si="136"/>
        <v>MCSOUG1CPF - Outros gastos</v>
      </c>
      <c r="O583" s="44" t="str">
        <f t="shared" si="137"/>
        <v>OUG1CPF - Outros gastos</v>
      </c>
      <c r="P583" s="44" t="str">
        <f t="shared" si="138"/>
        <v>MCSOUG1CPF - Outros gastos</v>
      </c>
      <c r="Q583" s="44" t="str">
        <f t="shared" si="139"/>
        <v>MCSOUG1</v>
      </c>
      <c r="R583" s="44" t="str">
        <f t="shared" si="140"/>
        <v>MCSOUG1</v>
      </c>
      <c r="S583" s="38"/>
      <c r="T583" s="304">
        <f t="shared" si="141"/>
        <v>46174</v>
      </c>
      <c r="U583" s="304" t="str">
        <f t="shared" si="142"/>
        <v/>
      </c>
      <c r="V583" s="300" t="s">
        <v>731</v>
      </c>
    </row>
    <row r="584" spans="2:22" s="300" customFormat="1" x14ac:dyDescent="0.25">
      <c r="B584" s="301" t="s">
        <v>25</v>
      </c>
      <c r="C584" s="302"/>
      <c r="D584" s="86" t="str">
        <f>INDEX(Cad_Natureza!$B$3:$C$52,MATCH('2026'!F584,Cad_Natureza!$C$3:$C$52,0),MATCH('2026'!D$2,Cad_Natureza!$B$3:$C$3,0))</f>
        <v>OPF1</v>
      </c>
      <c r="E584" s="84" t="s">
        <v>1773</v>
      </c>
      <c r="F584" s="85" t="s">
        <v>744</v>
      </c>
      <c r="G584" s="86" t="s">
        <v>25</v>
      </c>
      <c r="H584" s="87">
        <v>46181</v>
      </c>
      <c r="I584" s="87"/>
      <c r="J584" s="79" t="s">
        <v>457</v>
      </c>
      <c r="K584" s="62">
        <v>-31</v>
      </c>
      <c r="L584" s="62">
        <f t="shared" si="135"/>
        <v>559.66000000000054</v>
      </c>
      <c r="M584" s="302"/>
      <c r="N584" s="44" t="str">
        <f t="shared" si="136"/>
        <v>MCSOPF1CPF - Desp. Alimentação / Refeição</v>
      </c>
      <c r="O584" s="44" t="str">
        <f t="shared" si="137"/>
        <v>OPF1CPF - Desp. Alimentação / Refeição</v>
      </c>
      <c r="P584" s="44" t="str">
        <f t="shared" si="138"/>
        <v>MCSOPF1CPF - Desp. Alimentação / Refeição</v>
      </c>
      <c r="Q584" s="44" t="str">
        <f t="shared" si="139"/>
        <v>MCSOPF1</v>
      </c>
      <c r="R584" s="44" t="str">
        <f t="shared" si="140"/>
        <v>MCSOPF1</v>
      </c>
      <c r="S584" s="38"/>
      <c r="T584" s="304">
        <f t="shared" si="141"/>
        <v>46174</v>
      </c>
      <c r="U584" s="304" t="str">
        <f t="shared" si="142"/>
        <v/>
      </c>
      <c r="V584" s="300" t="s">
        <v>731</v>
      </c>
    </row>
    <row r="585" spans="2:22" s="300" customFormat="1" x14ac:dyDescent="0.25">
      <c r="B585" s="301" t="s">
        <v>25</v>
      </c>
      <c r="C585" s="302"/>
      <c r="D585" s="86" t="str">
        <f>INDEX(Cad_Natureza!$B$3:$C$52,MATCH('2026'!F585,Cad_Natureza!$C$3:$C$52,0),MATCH('2026'!D$2,Cad_Natureza!$B$3:$C$3,0))</f>
        <v>PENS6</v>
      </c>
      <c r="E585" s="84" t="s">
        <v>1774</v>
      </c>
      <c r="F585" s="85" t="s">
        <v>37</v>
      </c>
      <c r="G585" s="86" t="s">
        <v>25</v>
      </c>
      <c r="H585" s="87">
        <v>46181</v>
      </c>
      <c r="I585" s="87"/>
      <c r="J585" s="78" t="s">
        <v>196</v>
      </c>
      <c r="K585" s="62">
        <v>-10.99</v>
      </c>
      <c r="L585" s="62">
        <f t="shared" si="135"/>
        <v>548.67000000000053</v>
      </c>
      <c r="M585" s="302"/>
      <c r="N585" s="44" t="str">
        <f t="shared" si="136"/>
        <v>MCSPENS6CPF - Pensão - Farmácia e Saúde</v>
      </c>
      <c r="O585" s="44" t="str">
        <f t="shared" si="137"/>
        <v>PENS6CPF - Pensão - Farmácia e Saúde</v>
      </c>
      <c r="P585" s="44" t="str">
        <f t="shared" si="138"/>
        <v>MCSPENS6CPF - Pensão - Farmácia e Saúde</v>
      </c>
      <c r="Q585" s="44" t="str">
        <f t="shared" si="139"/>
        <v>MCSPENS6</v>
      </c>
      <c r="R585" s="44" t="str">
        <f t="shared" si="140"/>
        <v>MCSPENS6</v>
      </c>
      <c r="S585" s="38"/>
      <c r="T585" s="304">
        <f t="shared" si="141"/>
        <v>46174</v>
      </c>
      <c r="U585" s="304" t="str">
        <f t="shared" si="142"/>
        <v/>
      </c>
      <c r="V585" s="300" t="s">
        <v>761</v>
      </c>
    </row>
    <row r="586" spans="2:22" s="300" customFormat="1" x14ac:dyDescent="0.25">
      <c r="B586" s="301" t="s">
        <v>25</v>
      </c>
      <c r="C586" s="302"/>
      <c r="D586" s="86" t="str">
        <f>INDEX(Cad_Natureza!$B$3:$C$52,MATCH('2026'!F586,Cad_Natureza!$C$3:$C$52,0),MATCH('2026'!D$2,Cad_Natureza!$B$3:$C$3,0))</f>
        <v>GAST1</v>
      </c>
      <c r="E586" s="84" t="s">
        <v>1775</v>
      </c>
      <c r="F586" s="85" t="s">
        <v>742</v>
      </c>
      <c r="G586" s="86" t="s">
        <v>25</v>
      </c>
      <c r="H586" s="87">
        <v>46181</v>
      </c>
      <c r="I586" s="87"/>
      <c r="J586" s="79" t="s">
        <v>1590</v>
      </c>
      <c r="K586" s="62">
        <v>-13</v>
      </c>
      <c r="L586" s="62">
        <f t="shared" si="135"/>
        <v>535.67000000000053</v>
      </c>
      <c r="M586" s="302"/>
      <c r="N586" s="44" t="str">
        <f t="shared" si="136"/>
        <v>MCSGAST1CPF - Desp. Lazer e Entretenimento - Bares</v>
      </c>
      <c r="O586" s="44" t="str">
        <f t="shared" si="137"/>
        <v>GAST1CPF - Desp. Lazer e Entretenimento - Bares</v>
      </c>
      <c r="P586" s="44" t="str">
        <f t="shared" si="138"/>
        <v>MCSGAST1CPF - Desp. Lazer e Entretenimento - Bares</v>
      </c>
      <c r="Q586" s="44" t="str">
        <f t="shared" si="139"/>
        <v>MCSGAST1</v>
      </c>
      <c r="R586" s="44" t="str">
        <f t="shared" si="140"/>
        <v>MCSGAST1</v>
      </c>
      <c r="S586" s="38"/>
      <c r="T586" s="304">
        <f t="shared" si="141"/>
        <v>46174</v>
      </c>
      <c r="U586" s="304" t="str">
        <f t="shared" si="142"/>
        <v/>
      </c>
      <c r="V586" s="300" t="s">
        <v>761</v>
      </c>
    </row>
    <row r="587" spans="2:22" s="300" customFormat="1" x14ac:dyDescent="0.25">
      <c r="B587" s="301" t="s">
        <v>25</v>
      </c>
      <c r="C587" s="302"/>
      <c r="D587" s="86" t="str">
        <f>INDEX(Cad_Natureza!$B$3:$C$52,MATCH('2026'!F587,Cad_Natureza!$C$3:$C$52,0),MATCH('2026'!D$2,Cad_Natureza!$B$3:$C$3,0))</f>
        <v>DESP4</v>
      </c>
      <c r="E587" s="84" t="s">
        <v>1776</v>
      </c>
      <c r="F587" s="85" t="s">
        <v>753</v>
      </c>
      <c r="G587" s="86" t="s">
        <v>25</v>
      </c>
      <c r="H587" s="87">
        <v>46181</v>
      </c>
      <c r="I587" s="87"/>
      <c r="J587" s="79" t="s">
        <v>1841</v>
      </c>
      <c r="K587" s="62">
        <v>-18</v>
      </c>
      <c r="L587" s="62">
        <f t="shared" si="135"/>
        <v>517.67000000000053</v>
      </c>
      <c r="M587" s="302"/>
      <c r="N587" s="44" t="str">
        <f t="shared" si="136"/>
        <v>MCSDESP4CPF - Desp. Moradia</v>
      </c>
      <c r="O587" s="44" t="str">
        <f t="shared" si="137"/>
        <v>DESP4CPF - Desp. Moradia</v>
      </c>
      <c r="P587" s="44" t="str">
        <f t="shared" si="138"/>
        <v>MCSDESP4CPF - Desp. Moradia</v>
      </c>
      <c r="Q587" s="44" t="str">
        <f t="shared" si="139"/>
        <v>MCSDESP4</v>
      </c>
      <c r="R587" s="44" t="str">
        <f t="shared" si="140"/>
        <v>MCSDESP4</v>
      </c>
      <c r="S587" s="38"/>
      <c r="T587" s="304">
        <f t="shared" si="141"/>
        <v>46174</v>
      </c>
      <c r="U587" s="304" t="str">
        <f t="shared" si="142"/>
        <v/>
      </c>
      <c r="V587" s="300" t="s">
        <v>761</v>
      </c>
    </row>
    <row r="588" spans="2:22" s="300" customFormat="1" x14ac:dyDescent="0.25">
      <c r="B588" s="301" t="s">
        <v>25</v>
      </c>
      <c r="C588" s="302"/>
      <c r="D588" s="86" t="str">
        <f>INDEX(Cad_Natureza!$B$3:$C$52,MATCH('2026'!F588,Cad_Natureza!$C$3:$C$52,0),MATCH('2026'!D$2,Cad_Natureza!$B$3:$C$3,0))</f>
        <v>DESP4</v>
      </c>
      <c r="E588" s="84" t="s">
        <v>1776</v>
      </c>
      <c r="F588" s="85" t="s">
        <v>753</v>
      </c>
      <c r="G588" s="86" t="s">
        <v>25</v>
      </c>
      <c r="H588" s="87">
        <v>46181</v>
      </c>
      <c r="I588" s="87"/>
      <c r="J588" s="79" t="s">
        <v>1841</v>
      </c>
      <c r="K588" s="62">
        <v>-45</v>
      </c>
      <c r="L588" s="62">
        <f t="shared" si="135"/>
        <v>472.67000000000053</v>
      </c>
      <c r="M588" s="302"/>
      <c r="N588" s="44" t="str">
        <f t="shared" si="136"/>
        <v>MCSDESP4CPF - Desp. Moradia</v>
      </c>
      <c r="O588" s="44" t="str">
        <f t="shared" si="137"/>
        <v>DESP4CPF - Desp. Moradia</v>
      </c>
      <c r="P588" s="44" t="str">
        <f t="shared" si="138"/>
        <v>MCSDESP4CPF - Desp. Moradia</v>
      </c>
      <c r="Q588" s="44" t="str">
        <f t="shared" si="139"/>
        <v>MCSDESP4</v>
      </c>
      <c r="R588" s="44" t="str">
        <f t="shared" si="140"/>
        <v>MCSDESP4</v>
      </c>
      <c r="S588" s="38"/>
      <c r="T588" s="304">
        <f t="shared" si="141"/>
        <v>46174</v>
      </c>
      <c r="U588" s="304" t="str">
        <f t="shared" si="142"/>
        <v/>
      </c>
      <c r="V588" s="300" t="s">
        <v>761</v>
      </c>
    </row>
    <row r="589" spans="2:22" s="300" customFormat="1" x14ac:dyDescent="0.25">
      <c r="B589" s="301" t="s">
        <v>25</v>
      </c>
      <c r="C589" s="302"/>
      <c r="D589" s="86" t="str">
        <f>INDEX(Cad_Natureza!$B$3:$C$52,MATCH('2026'!F589,Cad_Natureza!$C$3:$C$52,0),MATCH('2026'!D$2,Cad_Natureza!$B$3:$C$3,0))</f>
        <v>DESP4</v>
      </c>
      <c r="E589" s="84" t="s">
        <v>1776</v>
      </c>
      <c r="F589" s="85" t="s">
        <v>753</v>
      </c>
      <c r="G589" s="86" t="s">
        <v>25</v>
      </c>
      <c r="H589" s="87">
        <v>46181</v>
      </c>
      <c r="I589" s="87"/>
      <c r="J589" s="79" t="s">
        <v>1841</v>
      </c>
      <c r="K589" s="62">
        <v>-4</v>
      </c>
      <c r="L589" s="62">
        <f t="shared" si="135"/>
        <v>468.67000000000053</v>
      </c>
      <c r="M589" s="302"/>
      <c r="N589" s="44" t="str">
        <f t="shared" si="136"/>
        <v>MCSDESP4CPF - Desp. Moradia</v>
      </c>
      <c r="O589" s="44" t="str">
        <f t="shared" si="137"/>
        <v>DESP4CPF - Desp. Moradia</v>
      </c>
      <c r="P589" s="44" t="str">
        <f t="shared" si="138"/>
        <v>MCSDESP4CPF - Desp. Moradia</v>
      </c>
      <c r="Q589" s="44" t="str">
        <f t="shared" si="139"/>
        <v>MCSDESP4</v>
      </c>
      <c r="R589" s="44" t="str">
        <f t="shared" si="140"/>
        <v>MCSDESP4</v>
      </c>
      <c r="S589" s="38"/>
      <c r="T589" s="304">
        <f t="shared" si="141"/>
        <v>46174</v>
      </c>
      <c r="U589" s="304" t="str">
        <f t="shared" si="142"/>
        <v/>
      </c>
      <c r="V589" s="300" t="s">
        <v>761</v>
      </c>
    </row>
    <row r="590" spans="2:22" s="300" customFormat="1" x14ac:dyDescent="0.25">
      <c r="B590" s="301" t="s">
        <v>25</v>
      </c>
      <c r="C590" s="302"/>
      <c r="D590" s="86" t="str">
        <f>INDEX(Cad_Natureza!$B$3:$C$52,MATCH('2026'!F590,Cad_Natureza!$C$3:$C$52,0),MATCH('2026'!D$2,Cad_Natureza!$B$3:$C$3,0))</f>
        <v>GAST1</v>
      </c>
      <c r="E590" s="84" t="s">
        <v>1777</v>
      </c>
      <c r="F590" s="85" t="s">
        <v>742</v>
      </c>
      <c r="G590" s="86" t="s">
        <v>25</v>
      </c>
      <c r="H590" s="87">
        <v>46181</v>
      </c>
      <c r="I590" s="87"/>
      <c r="J590" s="79" t="s">
        <v>185</v>
      </c>
      <c r="K590" s="62">
        <v>-6.5</v>
      </c>
      <c r="L590" s="62">
        <f t="shared" si="135"/>
        <v>462.17000000000053</v>
      </c>
      <c r="M590" s="302"/>
      <c r="N590" s="44" t="str">
        <f t="shared" si="136"/>
        <v>MCSGAST1CPF - Desp. Lazer e Entretenimento - Bares</v>
      </c>
      <c r="O590" s="44" t="str">
        <f t="shared" si="137"/>
        <v>GAST1CPF - Desp. Lazer e Entretenimento - Bares</v>
      </c>
      <c r="P590" s="44" t="str">
        <f t="shared" si="138"/>
        <v>MCSGAST1CPF - Desp. Lazer e Entretenimento - Bares</v>
      </c>
      <c r="Q590" s="44" t="str">
        <f t="shared" si="139"/>
        <v>MCSGAST1</v>
      </c>
      <c r="R590" s="44" t="str">
        <f t="shared" si="140"/>
        <v>MCSGAST1</v>
      </c>
      <c r="S590" s="38"/>
      <c r="T590" s="304">
        <f t="shared" si="141"/>
        <v>46174</v>
      </c>
      <c r="U590" s="304" t="str">
        <f t="shared" si="142"/>
        <v/>
      </c>
      <c r="V590" s="300" t="s">
        <v>731</v>
      </c>
    </row>
    <row r="591" spans="2:22" s="300" customFormat="1" x14ac:dyDescent="0.25">
      <c r="B591" s="301" t="s">
        <v>25</v>
      </c>
      <c r="C591" s="302"/>
      <c r="D591" s="86" t="str">
        <f>INDEX(Cad_Natureza!$B$3:$C$52,MATCH('2026'!F591,Cad_Natureza!$C$3:$C$52,0),MATCH('2026'!D$2,Cad_Natureza!$B$3:$C$3,0))</f>
        <v>OPF2</v>
      </c>
      <c r="E591" s="84" t="s">
        <v>1778</v>
      </c>
      <c r="F591" s="85" t="s">
        <v>741</v>
      </c>
      <c r="G591" s="86" t="s">
        <v>25</v>
      </c>
      <c r="H591" s="87">
        <v>46181</v>
      </c>
      <c r="I591" s="87"/>
      <c r="J591" s="79" t="s">
        <v>184</v>
      </c>
      <c r="K591" s="62">
        <v>-80</v>
      </c>
      <c r="L591" s="62">
        <f t="shared" si="135"/>
        <v>382.17000000000053</v>
      </c>
      <c r="M591" s="302"/>
      <c r="N591" s="44" t="str">
        <f t="shared" si="136"/>
        <v>MCSOPF2CPF - Desp. Transporte / Combustível</v>
      </c>
      <c r="O591" s="44" t="str">
        <f t="shared" si="137"/>
        <v>OPF2CPF - Desp. Transporte / Combustível</v>
      </c>
      <c r="P591" s="44" t="str">
        <f t="shared" si="138"/>
        <v>MCSOPF2CPF - Desp. Transporte / Combustível</v>
      </c>
      <c r="Q591" s="44" t="str">
        <f t="shared" si="139"/>
        <v>MCSOPF2</v>
      </c>
      <c r="R591" s="44" t="str">
        <f t="shared" si="140"/>
        <v>MCSOPF2</v>
      </c>
      <c r="S591" s="38"/>
      <c r="T591" s="304">
        <f t="shared" si="141"/>
        <v>46174</v>
      </c>
      <c r="U591" s="304" t="str">
        <f t="shared" si="142"/>
        <v/>
      </c>
      <c r="V591" s="300" t="s">
        <v>731</v>
      </c>
    </row>
    <row r="592" spans="2:22" s="300" customFormat="1" x14ac:dyDescent="0.25">
      <c r="B592" s="301" t="s">
        <v>25</v>
      </c>
      <c r="C592" s="302"/>
      <c r="D592" s="86" t="str">
        <f>INDEX(Cad_Natureza!$B$3:$C$52,MATCH('2026'!F592,Cad_Natureza!$C$3:$C$52,0),MATCH('2026'!D$2,Cad_Natureza!$B$3:$C$3,0))</f>
        <v>GAST1</v>
      </c>
      <c r="E592" s="84" t="s">
        <v>1779</v>
      </c>
      <c r="F592" s="85" t="s">
        <v>742</v>
      </c>
      <c r="G592" s="86" t="s">
        <v>25</v>
      </c>
      <c r="H592" s="87">
        <v>46181</v>
      </c>
      <c r="I592" s="87"/>
      <c r="J592" s="79" t="s">
        <v>1590</v>
      </c>
      <c r="K592" s="62">
        <v>-26</v>
      </c>
      <c r="L592" s="62">
        <f t="shared" si="135"/>
        <v>356.17000000000053</v>
      </c>
      <c r="M592" s="302"/>
      <c r="N592" s="44" t="str">
        <f t="shared" si="136"/>
        <v>MCSGAST1CPF - Desp. Lazer e Entretenimento - Bares</v>
      </c>
      <c r="O592" s="44" t="str">
        <f t="shared" si="137"/>
        <v>GAST1CPF - Desp. Lazer e Entretenimento - Bares</v>
      </c>
      <c r="P592" s="44" t="str">
        <f t="shared" si="138"/>
        <v>MCSGAST1CPF - Desp. Lazer e Entretenimento - Bares</v>
      </c>
      <c r="Q592" s="44" t="str">
        <f t="shared" si="139"/>
        <v>MCSGAST1</v>
      </c>
      <c r="R592" s="44" t="str">
        <f t="shared" si="140"/>
        <v>MCSGAST1</v>
      </c>
      <c r="S592" s="38"/>
      <c r="T592" s="304">
        <f t="shared" si="141"/>
        <v>46174</v>
      </c>
      <c r="U592" s="304" t="str">
        <f t="shared" si="142"/>
        <v/>
      </c>
      <c r="V592" s="300" t="s">
        <v>761</v>
      </c>
    </row>
    <row r="593" spans="2:22" s="291" customFormat="1" x14ac:dyDescent="0.25">
      <c r="B593" s="288" t="s">
        <v>25</v>
      </c>
      <c r="C593" s="83"/>
      <c r="D593" s="63" t="str">
        <f>INDEX(Cad_Natureza!$B$3:$C$52,MATCH('2026'!F593,Cad_Natureza!$C$3:$C$52,0),MATCH('2026'!D$2,Cad_Natureza!$B$3:$C$3,0))</f>
        <v>REC4</v>
      </c>
      <c r="E593" s="64" t="s">
        <v>1780</v>
      </c>
      <c r="F593" s="65" t="s">
        <v>734</v>
      </c>
      <c r="G593" s="63" t="s">
        <v>25</v>
      </c>
      <c r="H593" s="66">
        <v>46181</v>
      </c>
      <c r="I593" s="66"/>
      <c r="J593" s="67" t="s">
        <v>183</v>
      </c>
      <c r="K593" s="68">
        <v>1000</v>
      </c>
      <c r="L593" s="68">
        <f t="shared" si="135"/>
        <v>1356.1700000000005</v>
      </c>
      <c r="M593" s="83"/>
      <c r="N593" s="44" t="str">
        <f t="shared" si="136"/>
        <v>MCSREC4CPF - Transf. Da conta PJ para a conta PF</v>
      </c>
      <c r="O593" s="44" t="str">
        <f t="shared" si="137"/>
        <v>REC4CPF - Transf. Da conta PJ para a conta PF</v>
      </c>
      <c r="P593" s="44" t="str">
        <f t="shared" si="138"/>
        <v>MCSREC4CPF - Transf. Da conta PJ para a conta PF</v>
      </c>
      <c r="Q593" s="44" t="str">
        <f t="shared" si="139"/>
        <v>MCSREC4</v>
      </c>
      <c r="R593" s="44" t="str">
        <f t="shared" si="140"/>
        <v>MCSREC4</v>
      </c>
      <c r="S593" s="38"/>
      <c r="T593" s="290">
        <f t="shared" si="141"/>
        <v>46174</v>
      </c>
      <c r="U593" s="290" t="str">
        <f t="shared" si="142"/>
        <v/>
      </c>
      <c r="V593" s="291" t="s">
        <v>761</v>
      </c>
    </row>
    <row r="594" spans="2:22" s="300" customFormat="1" x14ac:dyDescent="0.25">
      <c r="B594" s="301" t="s">
        <v>25</v>
      </c>
      <c r="C594" s="302"/>
      <c r="D594" s="86" t="str">
        <f>INDEX(Cad_Natureza!$B$3:$C$52,MATCH('2026'!F594,Cad_Natureza!$C$3:$C$52,0),MATCH('2026'!D$2,Cad_Natureza!$B$3:$C$3,0))</f>
        <v>GAST2</v>
      </c>
      <c r="E594" s="84" t="s">
        <v>1781</v>
      </c>
      <c r="F594" s="85" t="s">
        <v>743</v>
      </c>
      <c r="G594" s="86" t="s">
        <v>25</v>
      </c>
      <c r="H594" s="87">
        <v>46181</v>
      </c>
      <c r="I594" s="87"/>
      <c r="J594" s="79" t="s">
        <v>180</v>
      </c>
      <c r="K594" s="62">
        <v>-33</v>
      </c>
      <c r="L594" s="62">
        <f t="shared" si="135"/>
        <v>1323.1700000000005</v>
      </c>
      <c r="M594" s="302"/>
      <c r="N594" s="44" t="str">
        <f t="shared" si="136"/>
        <v>MCSGAST2CPF - Desp. Lazer e Entretenimento - Cigarro</v>
      </c>
      <c r="O594" s="44" t="str">
        <f t="shared" si="137"/>
        <v>GAST2CPF - Desp. Lazer e Entretenimento - Cigarro</v>
      </c>
      <c r="P594" s="44" t="str">
        <f t="shared" si="138"/>
        <v>MCSGAST2CPF - Desp. Lazer e Entretenimento - Cigarro</v>
      </c>
      <c r="Q594" s="44" t="str">
        <f t="shared" si="139"/>
        <v>MCSGAST2</v>
      </c>
      <c r="R594" s="44" t="str">
        <f t="shared" si="140"/>
        <v>MCSGAST2</v>
      </c>
      <c r="S594" s="38"/>
      <c r="T594" s="304">
        <f t="shared" si="141"/>
        <v>46174</v>
      </c>
      <c r="U594" s="304" t="str">
        <f t="shared" si="142"/>
        <v/>
      </c>
      <c r="V594" s="300" t="s">
        <v>761</v>
      </c>
    </row>
    <row r="595" spans="2:22" s="300" customFormat="1" x14ac:dyDescent="0.25">
      <c r="B595" s="301" t="s">
        <v>25</v>
      </c>
      <c r="C595" s="302"/>
      <c r="D595" s="86" t="str">
        <f>INDEX(Cad_Natureza!$B$3:$C$52,MATCH('2026'!F595,Cad_Natureza!$C$3:$C$52,0),MATCH('2026'!D$2,Cad_Natureza!$B$3:$C$3,0))</f>
        <v>OPF1</v>
      </c>
      <c r="E595" s="84" t="s">
        <v>1782</v>
      </c>
      <c r="F595" s="85" t="s">
        <v>744</v>
      </c>
      <c r="G595" s="86" t="s">
        <v>25</v>
      </c>
      <c r="H595" s="87">
        <v>46181</v>
      </c>
      <c r="I595" s="87"/>
      <c r="J595" s="79" t="s">
        <v>182</v>
      </c>
      <c r="K595" s="62">
        <v>-24</v>
      </c>
      <c r="L595" s="62">
        <f t="shared" si="135"/>
        <v>1299.1700000000005</v>
      </c>
      <c r="M595" s="302"/>
      <c r="N595" s="44" t="str">
        <f t="shared" si="136"/>
        <v>MCSOPF1CPF - Desp. Alimentação / Refeição</v>
      </c>
      <c r="O595" s="44" t="str">
        <f t="shared" si="137"/>
        <v>OPF1CPF - Desp. Alimentação / Refeição</v>
      </c>
      <c r="P595" s="44" t="str">
        <f t="shared" si="138"/>
        <v>MCSOPF1CPF - Desp. Alimentação / Refeição</v>
      </c>
      <c r="Q595" s="44" t="str">
        <f t="shared" si="139"/>
        <v>MCSOPF1</v>
      </c>
      <c r="R595" s="44" t="str">
        <f t="shared" si="140"/>
        <v>MCSOPF1</v>
      </c>
      <c r="S595" s="38"/>
      <c r="T595" s="304">
        <f t="shared" si="141"/>
        <v>46174</v>
      </c>
      <c r="U595" s="304" t="str">
        <f t="shared" si="142"/>
        <v/>
      </c>
      <c r="V595" s="300" t="s">
        <v>761</v>
      </c>
    </row>
    <row r="596" spans="2:22" s="300" customFormat="1" x14ac:dyDescent="0.25">
      <c r="B596" s="301" t="s">
        <v>25</v>
      </c>
      <c r="C596" s="302"/>
      <c r="D596" s="86" t="str">
        <f>INDEX(Cad_Natureza!$B$3:$C$52,MATCH('2026'!F596,Cad_Natureza!$C$3:$C$52,0),MATCH('2026'!D$2,Cad_Natureza!$B$3:$C$3,0))</f>
        <v>GAST2</v>
      </c>
      <c r="E596" s="84" t="s">
        <v>1783</v>
      </c>
      <c r="F596" s="85" t="s">
        <v>743</v>
      </c>
      <c r="G596" s="86" t="s">
        <v>25</v>
      </c>
      <c r="H596" s="87">
        <v>46181</v>
      </c>
      <c r="I596" s="87"/>
      <c r="J596" s="79" t="s">
        <v>180</v>
      </c>
      <c r="K596" s="62">
        <v>-35</v>
      </c>
      <c r="L596" s="62">
        <f t="shared" si="135"/>
        <v>1264.1700000000005</v>
      </c>
      <c r="M596" s="302"/>
      <c r="N596" s="44" t="str">
        <f t="shared" si="136"/>
        <v>MCSGAST2CPF - Desp. Lazer e Entretenimento - Cigarro</v>
      </c>
      <c r="O596" s="44" t="str">
        <f t="shared" si="137"/>
        <v>GAST2CPF - Desp. Lazer e Entretenimento - Cigarro</v>
      </c>
      <c r="P596" s="44" t="str">
        <f t="shared" si="138"/>
        <v>MCSGAST2CPF - Desp. Lazer e Entretenimento - Cigarro</v>
      </c>
      <c r="Q596" s="44" t="str">
        <f t="shared" si="139"/>
        <v>MCSGAST2</v>
      </c>
      <c r="R596" s="44" t="str">
        <f t="shared" si="140"/>
        <v>MCSGAST2</v>
      </c>
      <c r="S596" s="38"/>
      <c r="T596" s="304">
        <f t="shared" si="141"/>
        <v>46174</v>
      </c>
      <c r="U596" s="304" t="str">
        <f t="shared" si="142"/>
        <v/>
      </c>
      <c r="V596" s="300" t="s">
        <v>761</v>
      </c>
    </row>
    <row r="597" spans="2:22" s="300" customFormat="1" x14ac:dyDescent="0.25">
      <c r="B597" s="301" t="s">
        <v>25</v>
      </c>
      <c r="C597" s="302"/>
      <c r="D597" s="86" t="str">
        <f>INDEX(Cad_Natureza!$B$3:$C$52,MATCH('2026'!F597,Cad_Natureza!$C$3:$C$52,0),MATCH('2026'!D$2,Cad_Natureza!$B$3:$C$3,0))</f>
        <v>GAST1</v>
      </c>
      <c r="E597" s="84" t="s">
        <v>1784</v>
      </c>
      <c r="F597" s="85" t="s">
        <v>742</v>
      </c>
      <c r="G597" s="86" t="s">
        <v>25</v>
      </c>
      <c r="H597" s="87">
        <v>46181</v>
      </c>
      <c r="I597" s="87"/>
      <c r="J597" s="79" t="s">
        <v>1856</v>
      </c>
      <c r="K597" s="62">
        <v>-30</v>
      </c>
      <c r="L597" s="62">
        <f t="shared" si="135"/>
        <v>1234.1700000000005</v>
      </c>
      <c r="M597" s="302"/>
      <c r="N597" s="44" t="str">
        <f t="shared" si="136"/>
        <v>MCSGAST1CPF - Desp. Lazer e Entretenimento - Bares</v>
      </c>
      <c r="O597" s="44" t="str">
        <f t="shared" si="137"/>
        <v>GAST1CPF - Desp. Lazer e Entretenimento - Bares</v>
      </c>
      <c r="P597" s="44" t="str">
        <f t="shared" si="138"/>
        <v>MCSGAST1CPF - Desp. Lazer e Entretenimento - Bares</v>
      </c>
      <c r="Q597" s="44" t="str">
        <f t="shared" si="139"/>
        <v>MCSGAST1</v>
      </c>
      <c r="R597" s="44" t="str">
        <f t="shared" si="140"/>
        <v>MCSGAST1</v>
      </c>
      <c r="S597" s="38"/>
      <c r="T597" s="304">
        <f t="shared" si="141"/>
        <v>46174</v>
      </c>
      <c r="U597" s="304" t="str">
        <f t="shared" si="142"/>
        <v/>
      </c>
      <c r="V597" s="300" t="s">
        <v>731</v>
      </c>
    </row>
    <row r="598" spans="2:22" s="300" customFormat="1" x14ac:dyDescent="0.25">
      <c r="B598" s="301" t="s">
        <v>25</v>
      </c>
      <c r="C598" s="302"/>
      <c r="D598" s="86" t="str">
        <f>INDEX(Cad_Natureza!$B$3:$C$52,MATCH('2026'!F598,Cad_Natureza!$C$3:$C$52,0),MATCH('2026'!D$2,Cad_Natureza!$B$3:$C$3,0))</f>
        <v>GAST1</v>
      </c>
      <c r="E598" s="84" t="s">
        <v>1785</v>
      </c>
      <c r="F598" s="85" t="s">
        <v>742</v>
      </c>
      <c r="G598" s="86" t="s">
        <v>25</v>
      </c>
      <c r="H598" s="87">
        <v>46181</v>
      </c>
      <c r="I598" s="87"/>
      <c r="J598" s="79" t="s">
        <v>1340</v>
      </c>
      <c r="K598" s="62">
        <v>-12</v>
      </c>
      <c r="L598" s="62">
        <f t="shared" si="135"/>
        <v>1222.1700000000005</v>
      </c>
      <c r="M598" s="302"/>
      <c r="N598" s="44" t="str">
        <f t="shared" si="136"/>
        <v>MCSGAST1CPF - Desp. Lazer e Entretenimento - Bares</v>
      </c>
      <c r="O598" s="44" t="str">
        <f t="shared" si="137"/>
        <v>GAST1CPF - Desp. Lazer e Entretenimento - Bares</v>
      </c>
      <c r="P598" s="44" t="str">
        <f t="shared" si="138"/>
        <v>MCSGAST1CPF - Desp. Lazer e Entretenimento - Bares</v>
      </c>
      <c r="Q598" s="44" t="str">
        <f t="shared" si="139"/>
        <v>MCSGAST1</v>
      </c>
      <c r="R598" s="44" t="str">
        <f t="shared" si="140"/>
        <v>MCSGAST1</v>
      </c>
      <c r="S598" s="38"/>
      <c r="T598" s="304">
        <f t="shared" si="141"/>
        <v>46174</v>
      </c>
      <c r="U598" s="304" t="str">
        <f t="shared" si="142"/>
        <v/>
      </c>
      <c r="V598" s="300" t="s">
        <v>731</v>
      </c>
    </row>
    <row r="599" spans="2:22" s="300" customFormat="1" x14ac:dyDescent="0.25">
      <c r="B599" s="301" t="s">
        <v>25</v>
      </c>
      <c r="C599" s="302"/>
      <c r="D599" s="86" t="str">
        <f>INDEX(Cad_Natureza!$B$3:$C$52,MATCH('2026'!F599,Cad_Natureza!$C$3:$C$52,0),MATCH('2026'!D$2,Cad_Natureza!$B$3:$C$3,0))</f>
        <v>OPF1</v>
      </c>
      <c r="E599" s="84" t="s">
        <v>1786</v>
      </c>
      <c r="F599" s="85" t="s">
        <v>744</v>
      </c>
      <c r="G599" s="86" t="s">
        <v>25</v>
      </c>
      <c r="H599" s="87">
        <v>46181</v>
      </c>
      <c r="I599" s="87"/>
      <c r="J599" s="79" t="s">
        <v>182</v>
      </c>
      <c r="K599" s="62">
        <v>-39</v>
      </c>
      <c r="L599" s="62">
        <f t="shared" si="135"/>
        <v>1183.1700000000005</v>
      </c>
      <c r="M599" s="302"/>
      <c r="N599" s="44" t="str">
        <f t="shared" si="136"/>
        <v>MCSOPF1CPF - Desp. Alimentação / Refeição</v>
      </c>
      <c r="O599" s="44" t="str">
        <f t="shared" si="137"/>
        <v>OPF1CPF - Desp. Alimentação / Refeição</v>
      </c>
      <c r="P599" s="44" t="str">
        <f t="shared" si="138"/>
        <v>MCSOPF1CPF - Desp. Alimentação / Refeição</v>
      </c>
      <c r="Q599" s="44" t="str">
        <f t="shared" si="139"/>
        <v>MCSOPF1</v>
      </c>
      <c r="R599" s="44" t="str">
        <f t="shared" si="140"/>
        <v>MCSOPF1</v>
      </c>
      <c r="S599" s="38"/>
      <c r="T599" s="304">
        <f t="shared" si="141"/>
        <v>46174</v>
      </c>
      <c r="U599" s="304" t="str">
        <f t="shared" si="142"/>
        <v/>
      </c>
      <c r="V599" s="300" t="s">
        <v>761</v>
      </c>
    </row>
    <row r="600" spans="2:22" s="300" customFormat="1" x14ac:dyDescent="0.25">
      <c r="B600" s="301" t="s">
        <v>25</v>
      </c>
      <c r="C600" s="302"/>
      <c r="D600" s="86" t="str">
        <f>INDEX(Cad_Natureza!$B$3:$C$52,MATCH('2026'!F600,Cad_Natureza!$C$3:$C$52,0),MATCH('2026'!D$2,Cad_Natureza!$B$3:$C$3,0))</f>
        <v>DESP2</v>
      </c>
      <c r="E600" s="84" t="s">
        <v>1787</v>
      </c>
      <c r="F600" s="85" t="s">
        <v>739</v>
      </c>
      <c r="G600" s="86" t="s">
        <v>25</v>
      </c>
      <c r="H600" s="87">
        <v>46181</v>
      </c>
      <c r="I600" s="87"/>
      <c r="J600" s="79" t="s">
        <v>1845</v>
      </c>
      <c r="K600" s="62">
        <v>-125.1</v>
      </c>
      <c r="L600" s="62">
        <f t="shared" si="135"/>
        <v>1058.0700000000006</v>
      </c>
      <c r="M600" s="302"/>
      <c r="N600" s="44" t="str">
        <f t="shared" si="136"/>
        <v>MCSDESP2CPF - Desp. Telefone / Internet</v>
      </c>
      <c r="O600" s="44" t="str">
        <f t="shared" si="137"/>
        <v>DESP2CPF - Desp. Telefone / Internet</v>
      </c>
      <c r="P600" s="44" t="str">
        <f t="shared" si="138"/>
        <v>MCSDESP2CPF - Desp. Telefone / Internet</v>
      </c>
      <c r="Q600" s="44" t="str">
        <f t="shared" si="139"/>
        <v>MCSDESP2</v>
      </c>
      <c r="R600" s="44" t="str">
        <f t="shared" si="140"/>
        <v>MCSDESP2</v>
      </c>
      <c r="S600" s="38"/>
      <c r="T600" s="304">
        <f t="shared" si="141"/>
        <v>46174</v>
      </c>
      <c r="U600" s="304" t="str">
        <f t="shared" si="142"/>
        <v/>
      </c>
      <c r="V600" s="300" t="s">
        <v>761</v>
      </c>
    </row>
    <row r="601" spans="2:22" s="300" customFormat="1" x14ac:dyDescent="0.25">
      <c r="B601" s="301" t="s">
        <v>25</v>
      </c>
      <c r="C601" s="302"/>
      <c r="D601" s="86" t="str">
        <f>INDEX(Cad_Natureza!$B$3:$C$52,MATCH('2026'!F601,Cad_Natureza!$C$3:$C$52,0),MATCH('2026'!D$2,Cad_Natureza!$B$3:$C$3,0))</f>
        <v>OPF1</v>
      </c>
      <c r="E601" s="84" t="s">
        <v>1788</v>
      </c>
      <c r="F601" s="85" t="s">
        <v>744</v>
      </c>
      <c r="G601" s="86" t="s">
        <v>25</v>
      </c>
      <c r="H601" s="87">
        <v>46182</v>
      </c>
      <c r="I601" s="87"/>
      <c r="J601" s="79" t="s">
        <v>182</v>
      </c>
      <c r="K601" s="62">
        <v>-24</v>
      </c>
      <c r="L601" s="62">
        <f t="shared" si="135"/>
        <v>1034.0700000000006</v>
      </c>
      <c r="M601" s="302"/>
      <c r="N601" s="44" t="str">
        <f t="shared" si="0"/>
        <v>MCSOPF1CPF - Desp. Alimentação / Refeição</v>
      </c>
      <c r="O601" s="44" t="str">
        <f t="shared" si="1"/>
        <v>OPF1CPF - Desp. Alimentação / Refeição</v>
      </c>
      <c r="P601" s="44" t="str">
        <f t="shared" si="2"/>
        <v>MCSOPF1CPF - Desp. Alimentação / Refeição</v>
      </c>
      <c r="Q601" s="44" t="str">
        <f t="shared" si="3"/>
        <v>MCSOPF1</v>
      </c>
      <c r="R601" s="44" t="str">
        <f t="shared" si="4"/>
        <v>MCSOPF1</v>
      </c>
      <c r="S601" s="38"/>
      <c r="T601" s="304">
        <f t="shared" si="5"/>
        <v>46174</v>
      </c>
      <c r="U601" s="304" t="str">
        <f t="shared" si="6"/>
        <v/>
      </c>
      <c r="V601" s="300" t="s">
        <v>761</v>
      </c>
    </row>
    <row r="602" spans="2:22" s="300" customFormat="1" x14ac:dyDescent="0.25">
      <c r="B602" s="301" t="s">
        <v>25</v>
      </c>
      <c r="C602" s="302"/>
      <c r="D602" s="86" t="str">
        <f>INDEX(Cad_Natureza!$B$3:$C$52,MATCH('2026'!F602,Cad_Natureza!$C$3:$C$52,0),MATCH('2026'!D$2,Cad_Natureza!$B$3:$C$3,0))</f>
        <v>GAST1</v>
      </c>
      <c r="E602" s="84" t="s">
        <v>1789</v>
      </c>
      <c r="F602" s="85" t="s">
        <v>742</v>
      </c>
      <c r="G602" s="86" t="s">
        <v>25</v>
      </c>
      <c r="H602" s="87">
        <v>46182</v>
      </c>
      <c r="I602" s="87"/>
      <c r="J602" s="79" t="s">
        <v>1340</v>
      </c>
      <c r="K602" s="62">
        <v>-12</v>
      </c>
      <c r="L602" s="62">
        <f t="shared" si="135"/>
        <v>1022.0700000000006</v>
      </c>
      <c r="M602" s="302"/>
      <c r="N602" s="44" t="str">
        <f t="shared" si="0"/>
        <v>MCSGAST1CPF - Desp. Lazer e Entretenimento - Bares</v>
      </c>
      <c r="O602" s="44" t="str">
        <f t="shared" si="1"/>
        <v>GAST1CPF - Desp. Lazer e Entretenimento - Bares</v>
      </c>
      <c r="P602" s="44" t="str">
        <f t="shared" si="2"/>
        <v>MCSGAST1CPF - Desp. Lazer e Entretenimento - Bares</v>
      </c>
      <c r="Q602" s="44" t="str">
        <f t="shared" si="3"/>
        <v>MCSGAST1</v>
      </c>
      <c r="R602" s="44" t="str">
        <f t="shared" si="4"/>
        <v>MCSGAST1</v>
      </c>
      <c r="S602" s="38"/>
      <c r="T602" s="304">
        <f t="shared" si="5"/>
        <v>46174</v>
      </c>
      <c r="U602" s="304" t="str">
        <f t="shared" si="6"/>
        <v/>
      </c>
      <c r="V602" s="300" t="s">
        <v>761</v>
      </c>
    </row>
    <row r="603" spans="2:22" s="300" customFormat="1" x14ac:dyDescent="0.25">
      <c r="B603" s="301" t="s">
        <v>25</v>
      </c>
      <c r="C603" s="302"/>
      <c r="D603" s="86" t="str">
        <f>INDEX(Cad_Natureza!$B$3:$C$52,MATCH('2026'!F603,Cad_Natureza!$C$3:$C$52,0),MATCH('2026'!D$2,Cad_Natureza!$B$3:$C$3,0))</f>
        <v>OPF1</v>
      </c>
      <c r="E603" s="84" t="s">
        <v>1790</v>
      </c>
      <c r="F603" s="85" t="s">
        <v>744</v>
      </c>
      <c r="G603" s="86" t="s">
        <v>25</v>
      </c>
      <c r="H603" s="87">
        <v>46182</v>
      </c>
      <c r="I603" s="87"/>
      <c r="J603" s="79" t="s">
        <v>182</v>
      </c>
      <c r="K603" s="62">
        <v>-27</v>
      </c>
      <c r="L603" s="62">
        <f t="shared" si="135"/>
        <v>995.07000000000062</v>
      </c>
      <c r="M603" s="302"/>
      <c r="N603" s="44" t="str">
        <f t="shared" si="0"/>
        <v>MCSOPF1CPF - Desp. Alimentação / Refeição</v>
      </c>
      <c r="O603" s="44" t="str">
        <f t="shared" si="1"/>
        <v>OPF1CPF - Desp. Alimentação / Refeição</v>
      </c>
      <c r="P603" s="44" t="str">
        <f t="shared" si="2"/>
        <v>MCSOPF1CPF - Desp. Alimentação / Refeição</v>
      </c>
      <c r="Q603" s="44" t="str">
        <f t="shared" si="3"/>
        <v>MCSOPF1</v>
      </c>
      <c r="R603" s="44" t="str">
        <f t="shared" si="4"/>
        <v>MCSOPF1</v>
      </c>
      <c r="S603" s="38"/>
      <c r="T603" s="304">
        <f t="shared" si="5"/>
        <v>46174</v>
      </c>
      <c r="U603" s="304" t="str">
        <f t="shared" si="6"/>
        <v/>
      </c>
      <c r="V603" s="300" t="s">
        <v>731</v>
      </c>
    </row>
    <row r="604" spans="2:22" s="300" customFormat="1" x14ac:dyDescent="0.25">
      <c r="B604" s="301" t="s">
        <v>25</v>
      </c>
      <c r="C604" s="302"/>
      <c r="D604" s="86" t="str">
        <f>INDEX(Cad_Natureza!$B$3:$C$52,MATCH('2026'!F604,Cad_Natureza!$C$3:$C$52,0),MATCH('2026'!D$2,Cad_Natureza!$B$3:$C$3,0))</f>
        <v>FIN3</v>
      </c>
      <c r="E604" s="84" t="s">
        <v>1791</v>
      </c>
      <c r="F604" s="85" t="s">
        <v>939</v>
      </c>
      <c r="G604" s="86" t="s">
        <v>25</v>
      </c>
      <c r="H604" s="87">
        <v>46183</v>
      </c>
      <c r="I604" s="87"/>
      <c r="J604" s="79" t="s">
        <v>572</v>
      </c>
      <c r="K604" s="62">
        <v>-290.26</v>
      </c>
      <c r="L604" s="62">
        <f t="shared" si="135"/>
        <v>704.81000000000063</v>
      </c>
      <c r="M604" s="302"/>
      <c r="N604" s="44" t="str">
        <f t="shared" si="0"/>
        <v>MCSFIN3CPF - Desp. Financeiras - Empréstimos bancários</v>
      </c>
      <c r="O604" s="44" t="str">
        <f t="shared" si="1"/>
        <v>FIN3CPF - Desp. Financeiras - Empréstimos bancários</v>
      </c>
      <c r="P604" s="44" t="str">
        <f t="shared" si="2"/>
        <v>MCSFIN3CPF - Desp. Financeiras - Empréstimos bancários</v>
      </c>
      <c r="Q604" s="44" t="str">
        <f t="shared" si="3"/>
        <v>MCSFIN3</v>
      </c>
      <c r="R604" s="44" t="str">
        <f t="shared" si="4"/>
        <v>MCSFIN3</v>
      </c>
      <c r="S604" s="38"/>
      <c r="T604" s="304">
        <f t="shared" si="5"/>
        <v>46174</v>
      </c>
      <c r="U604" s="304" t="str">
        <f t="shared" si="6"/>
        <v/>
      </c>
      <c r="V604" s="300" t="s">
        <v>731</v>
      </c>
    </row>
    <row r="605" spans="2:22" s="300" customFormat="1" x14ac:dyDescent="0.25">
      <c r="B605" s="301" t="s">
        <v>25</v>
      </c>
      <c r="C605" s="302"/>
      <c r="D605" s="86" t="str">
        <f>INDEX(Cad_Natureza!$B$3:$C$52,MATCH('2026'!F605,Cad_Natureza!$C$3:$C$52,0),MATCH('2026'!D$2,Cad_Natureza!$B$3:$C$3,0))</f>
        <v>FIN3</v>
      </c>
      <c r="E605" s="84" t="s">
        <v>1791</v>
      </c>
      <c r="F605" s="85" t="s">
        <v>939</v>
      </c>
      <c r="G605" s="86" t="s">
        <v>25</v>
      </c>
      <c r="H605" s="87">
        <v>46183</v>
      </c>
      <c r="I605" s="87"/>
      <c r="J605" s="79" t="s">
        <v>572</v>
      </c>
      <c r="K605" s="62">
        <v>-6.79</v>
      </c>
      <c r="L605" s="62">
        <f t="shared" si="135"/>
        <v>698.02000000000066</v>
      </c>
      <c r="M605" s="302"/>
      <c r="N605" s="44" t="str">
        <f t="shared" si="0"/>
        <v>MCSFIN3CPF - Desp. Financeiras - Empréstimos bancários</v>
      </c>
      <c r="O605" s="44" t="str">
        <f t="shared" si="1"/>
        <v>FIN3CPF - Desp. Financeiras - Empréstimos bancários</v>
      </c>
      <c r="P605" s="44" t="str">
        <f t="shared" si="2"/>
        <v>MCSFIN3CPF - Desp. Financeiras - Empréstimos bancários</v>
      </c>
      <c r="Q605" s="44" t="str">
        <f t="shared" si="3"/>
        <v>MCSFIN3</v>
      </c>
      <c r="R605" s="44" t="str">
        <f t="shared" si="4"/>
        <v>MCSFIN3</v>
      </c>
      <c r="S605" s="38"/>
      <c r="T605" s="304">
        <f t="shared" si="5"/>
        <v>46174</v>
      </c>
      <c r="U605" s="304" t="str">
        <f t="shared" si="6"/>
        <v/>
      </c>
      <c r="V605" s="300" t="s">
        <v>761</v>
      </c>
    </row>
    <row r="606" spans="2:22" s="300" customFormat="1" x14ac:dyDescent="0.25">
      <c r="B606" s="301" t="s">
        <v>25</v>
      </c>
      <c r="C606" s="302"/>
      <c r="D606" s="86" t="str">
        <f>INDEX(Cad_Natureza!$B$3:$C$52,MATCH('2026'!F606,Cad_Natureza!$C$3:$C$52,0),MATCH('2026'!D$2,Cad_Natureza!$B$3:$C$3,0))</f>
        <v>OUG1</v>
      </c>
      <c r="E606" s="84" t="s">
        <v>1792</v>
      </c>
      <c r="F606" s="85" t="s">
        <v>748</v>
      </c>
      <c r="G606" s="86" t="s">
        <v>25</v>
      </c>
      <c r="H606" s="87">
        <v>46183</v>
      </c>
      <c r="I606" s="87"/>
      <c r="J606" s="79" t="s">
        <v>1857</v>
      </c>
      <c r="K606" s="62">
        <v>-48.39</v>
      </c>
      <c r="L606" s="62">
        <f t="shared" si="135"/>
        <v>649.63000000000068</v>
      </c>
      <c r="M606" s="302"/>
      <c r="N606" s="44" t="str">
        <f t="shared" si="0"/>
        <v>MCSOUG1CPF - Outros gastos</v>
      </c>
      <c r="O606" s="44" t="str">
        <f t="shared" si="1"/>
        <v>OUG1CPF - Outros gastos</v>
      </c>
      <c r="P606" s="44" t="str">
        <f t="shared" si="2"/>
        <v>MCSOUG1CPF - Outros gastos</v>
      </c>
      <c r="Q606" s="44" t="str">
        <f t="shared" si="3"/>
        <v>MCSOUG1</v>
      </c>
      <c r="R606" s="44" t="str">
        <f t="shared" si="4"/>
        <v>MCSOUG1</v>
      </c>
      <c r="S606" s="38"/>
      <c r="T606" s="304">
        <f t="shared" si="5"/>
        <v>46174</v>
      </c>
      <c r="U606" s="304" t="str">
        <f t="shared" si="6"/>
        <v/>
      </c>
      <c r="V606" s="300" t="s">
        <v>761</v>
      </c>
    </row>
    <row r="607" spans="2:22" s="300" customFormat="1" x14ac:dyDescent="0.25">
      <c r="B607" s="301" t="s">
        <v>25</v>
      </c>
      <c r="C607" s="302"/>
      <c r="D607" s="86" t="str">
        <f>INDEX(Cad_Natureza!$B$3:$C$52,MATCH('2026'!F607,Cad_Natureza!$C$3:$C$52,0),MATCH('2026'!D$2,Cad_Natureza!$B$3:$C$3,0))</f>
        <v>DESP1</v>
      </c>
      <c r="E607" s="84" t="s">
        <v>926</v>
      </c>
      <c r="F607" s="85" t="s">
        <v>733</v>
      </c>
      <c r="G607" s="86" t="s">
        <v>25</v>
      </c>
      <c r="H607" s="87">
        <v>46183</v>
      </c>
      <c r="I607" s="87"/>
      <c r="J607" s="79" t="s">
        <v>361</v>
      </c>
      <c r="K607" s="62">
        <v>-6.13</v>
      </c>
      <c r="L607" s="62">
        <f t="shared" si="135"/>
        <v>643.50000000000068</v>
      </c>
      <c r="M607" s="302"/>
      <c r="N607" s="44" t="str">
        <f t="shared" si="0"/>
        <v>MCSDESP1CPF - Desp. Cartão de crédito</v>
      </c>
      <c r="O607" s="44" t="str">
        <f t="shared" si="1"/>
        <v>DESP1CPF - Desp. Cartão de crédito</v>
      </c>
      <c r="P607" s="44" t="str">
        <f t="shared" si="2"/>
        <v>MCSDESP1CPF - Desp. Cartão de crédito</v>
      </c>
      <c r="Q607" s="44" t="str">
        <f t="shared" si="3"/>
        <v>MCSDESP1</v>
      </c>
      <c r="R607" s="44" t="str">
        <f t="shared" si="4"/>
        <v>MCSDESP1</v>
      </c>
      <c r="S607" s="38"/>
      <c r="T607" s="304">
        <f t="shared" si="5"/>
        <v>46174</v>
      </c>
      <c r="U607" s="304" t="str">
        <f t="shared" si="6"/>
        <v/>
      </c>
      <c r="V607" s="300" t="s">
        <v>761</v>
      </c>
    </row>
    <row r="608" spans="2:22" s="300" customFormat="1" x14ac:dyDescent="0.25">
      <c r="B608" s="301" t="s">
        <v>25</v>
      </c>
      <c r="C608" s="302"/>
      <c r="D608" s="86" t="str">
        <f>INDEX(Cad_Natureza!$B$3:$C$52,MATCH('2026'!F608,Cad_Natureza!$C$3:$C$52,0),MATCH('2026'!D$2,Cad_Natureza!$B$3:$C$3,0))</f>
        <v>OPF1</v>
      </c>
      <c r="E608" s="84" t="s">
        <v>1793</v>
      </c>
      <c r="F608" s="85" t="s">
        <v>744</v>
      </c>
      <c r="G608" s="86" t="s">
        <v>25</v>
      </c>
      <c r="H608" s="87">
        <v>46183</v>
      </c>
      <c r="I608" s="87"/>
      <c r="J608" s="79" t="s">
        <v>182</v>
      </c>
      <c r="K608" s="62">
        <v>-24</v>
      </c>
      <c r="L608" s="62">
        <f t="shared" si="135"/>
        <v>619.50000000000068</v>
      </c>
      <c r="M608" s="302"/>
      <c r="N608" s="44" t="str">
        <f t="shared" si="0"/>
        <v>MCSOPF1CPF - Desp. Alimentação / Refeição</v>
      </c>
      <c r="O608" s="44" t="str">
        <f t="shared" si="1"/>
        <v>OPF1CPF - Desp. Alimentação / Refeição</v>
      </c>
      <c r="P608" s="44" t="str">
        <f t="shared" si="2"/>
        <v>MCSOPF1CPF - Desp. Alimentação / Refeição</v>
      </c>
      <c r="Q608" s="44" t="str">
        <f t="shared" si="3"/>
        <v>MCSOPF1</v>
      </c>
      <c r="R608" s="44" t="str">
        <f t="shared" si="4"/>
        <v>MCSOPF1</v>
      </c>
      <c r="S608" s="38"/>
      <c r="T608" s="304">
        <f t="shared" si="5"/>
        <v>46174</v>
      </c>
      <c r="U608" s="304" t="str">
        <f t="shared" si="6"/>
        <v/>
      </c>
      <c r="V608" s="300" t="s">
        <v>761</v>
      </c>
    </row>
    <row r="609" spans="2:22" s="300" customFormat="1" x14ac:dyDescent="0.25">
      <c r="B609" s="301" t="s">
        <v>25</v>
      </c>
      <c r="C609" s="302"/>
      <c r="D609" s="86" t="str">
        <f>INDEX(Cad_Natureza!$B$3:$C$52,MATCH('2026'!F609,Cad_Natureza!$C$3:$C$52,0),MATCH('2026'!D$2,Cad_Natureza!$B$3:$C$3,0))</f>
        <v>GAST1</v>
      </c>
      <c r="E609" s="84" t="s">
        <v>1794</v>
      </c>
      <c r="F609" s="85" t="s">
        <v>742</v>
      </c>
      <c r="G609" s="86" t="s">
        <v>25</v>
      </c>
      <c r="H609" s="87">
        <v>46183</v>
      </c>
      <c r="I609" s="87"/>
      <c r="J609" s="79" t="s">
        <v>1340</v>
      </c>
      <c r="K609" s="62">
        <v>-28</v>
      </c>
      <c r="L609" s="62">
        <f t="shared" si="135"/>
        <v>591.50000000000068</v>
      </c>
      <c r="M609" s="302"/>
      <c r="N609" s="44" t="str">
        <f t="shared" si="0"/>
        <v>MCSGAST1CPF - Desp. Lazer e Entretenimento - Bares</v>
      </c>
      <c r="O609" s="44" t="str">
        <f t="shared" si="1"/>
        <v>GAST1CPF - Desp. Lazer e Entretenimento - Bares</v>
      </c>
      <c r="P609" s="44" t="str">
        <f t="shared" si="2"/>
        <v>MCSGAST1CPF - Desp. Lazer e Entretenimento - Bares</v>
      </c>
      <c r="Q609" s="44" t="str">
        <f t="shared" si="3"/>
        <v>MCSGAST1</v>
      </c>
      <c r="R609" s="44" t="str">
        <f t="shared" si="4"/>
        <v>MCSGAST1</v>
      </c>
      <c r="S609" s="38"/>
      <c r="T609" s="304">
        <f t="shared" si="5"/>
        <v>46174</v>
      </c>
      <c r="U609" s="304" t="str">
        <f t="shared" si="6"/>
        <v/>
      </c>
      <c r="V609" s="300" t="s">
        <v>761</v>
      </c>
    </row>
    <row r="610" spans="2:22" s="300" customFormat="1" x14ac:dyDescent="0.25">
      <c r="B610" s="301" t="s">
        <v>25</v>
      </c>
      <c r="C610" s="302"/>
      <c r="D610" s="86" t="str">
        <f>INDEX(Cad_Natureza!$B$3:$C$52,MATCH('2026'!F610,Cad_Natureza!$C$3:$C$52,0),MATCH('2026'!D$2,Cad_Natureza!$B$3:$C$3,0))</f>
        <v>OPF1</v>
      </c>
      <c r="E610" s="84" t="s">
        <v>1795</v>
      </c>
      <c r="F610" s="85" t="s">
        <v>744</v>
      </c>
      <c r="G610" s="86" t="s">
        <v>25</v>
      </c>
      <c r="H610" s="87">
        <v>46183</v>
      </c>
      <c r="I610" s="87"/>
      <c r="J610" s="79" t="s">
        <v>182</v>
      </c>
      <c r="K610" s="62">
        <v>-34</v>
      </c>
      <c r="L610" s="62">
        <f t="shared" si="135"/>
        <v>557.50000000000068</v>
      </c>
      <c r="M610" s="302"/>
      <c r="N610" s="44" t="str">
        <f t="shared" si="0"/>
        <v>MCSOPF1CPF - Desp. Alimentação / Refeição</v>
      </c>
      <c r="O610" s="44" t="str">
        <f t="shared" si="1"/>
        <v>OPF1CPF - Desp. Alimentação / Refeição</v>
      </c>
      <c r="P610" s="44" t="str">
        <f t="shared" si="2"/>
        <v>MCSOPF1CPF - Desp. Alimentação / Refeição</v>
      </c>
      <c r="Q610" s="44" t="str">
        <f t="shared" si="3"/>
        <v>MCSOPF1</v>
      </c>
      <c r="R610" s="44" t="str">
        <f t="shared" si="4"/>
        <v>MCSOPF1</v>
      </c>
      <c r="S610" s="38"/>
      <c r="T610" s="304">
        <f t="shared" si="5"/>
        <v>46174</v>
      </c>
      <c r="U610" s="304" t="str">
        <f t="shared" si="6"/>
        <v/>
      </c>
      <c r="V610" s="300" t="s">
        <v>731</v>
      </c>
    </row>
    <row r="611" spans="2:22" s="300" customFormat="1" x14ac:dyDescent="0.25">
      <c r="B611" s="301" t="s">
        <v>25</v>
      </c>
      <c r="C611" s="302"/>
      <c r="D611" s="86" t="str">
        <f>INDEX(Cad_Natureza!$B$3:$C$52,MATCH('2026'!F611,Cad_Natureza!$C$3:$C$52,0),MATCH('2026'!D$2,Cad_Natureza!$B$3:$C$3,0))</f>
        <v>GAST1</v>
      </c>
      <c r="E611" s="84" t="s">
        <v>1796</v>
      </c>
      <c r="F611" s="85" t="s">
        <v>742</v>
      </c>
      <c r="G611" s="86" t="s">
        <v>25</v>
      </c>
      <c r="H611" s="87">
        <v>46184</v>
      </c>
      <c r="I611" s="87"/>
      <c r="J611" s="79" t="s">
        <v>1590</v>
      </c>
      <c r="K611" s="62">
        <v>-47</v>
      </c>
      <c r="L611" s="62">
        <f t="shared" si="135"/>
        <v>510.50000000000068</v>
      </c>
      <c r="M611" s="302"/>
      <c r="N611" s="44" t="str">
        <f t="shared" si="0"/>
        <v>MCSGAST1CPF - Desp. Lazer e Entretenimento - Bares</v>
      </c>
      <c r="O611" s="44" t="str">
        <f t="shared" si="1"/>
        <v>GAST1CPF - Desp. Lazer e Entretenimento - Bares</v>
      </c>
      <c r="P611" s="44" t="str">
        <f t="shared" si="2"/>
        <v>MCSGAST1CPF - Desp. Lazer e Entretenimento - Bares</v>
      </c>
      <c r="Q611" s="44" t="str">
        <f t="shared" si="3"/>
        <v>MCSGAST1</v>
      </c>
      <c r="R611" s="44" t="str">
        <f t="shared" si="4"/>
        <v>MCSGAST1</v>
      </c>
      <c r="S611" s="38"/>
      <c r="T611" s="304">
        <f t="shared" si="5"/>
        <v>46174</v>
      </c>
      <c r="U611" s="304" t="str">
        <f t="shared" si="6"/>
        <v/>
      </c>
      <c r="V611" s="300" t="s">
        <v>731</v>
      </c>
    </row>
    <row r="612" spans="2:22" s="300" customFormat="1" x14ac:dyDescent="0.25">
      <c r="B612" s="301" t="s">
        <v>25</v>
      </c>
      <c r="C612" s="302"/>
      <c r="D612" s="86" t="str">
        <f>INDEX(Cad_Natureza!$B$3:$C$52,MATCH('2026'!F612,Cad_Natureza!$C$3:$C$52,0),MATCH('2026'!D$2,Cad_Natureza!$B$3:$C$3,0))</f>
        <v>OPF1</v>
      </c>
      <c r="E612" s="84" t="s">
        <v>1797</v>
      </c>
      <c r="F612" s="85" t="s">
        <v>744</v>
      </c>
      <c r="G612" s="86" t="s">
        <v>25</v>
      </c>
      <c r="H612" s="87">
        <v>46184</v>
      </c>
      <c r="I612" s="87"/>
      <c r="J612" s="79" t="s">
        <v>182</v>
      </c>
      <c r="K612" s="62">
        <v>-24</v>
      </c>
      <c r="L612" s="62">
        <f t="shared" si="135"/>
        <v>486.50000000000068</v>
      </c>
      <c r="M612" s="302"/>
      <c r="N612" s="44" t="str">
        <f t="shared" si="0"/>
        <v>MCSOPF1CPF - Desp. Alimentação / Refeição</v>
      </c>
      <c r="O612" s="44" t="str">
        <f t="shared" si="1"/>
        <v>OPF1CPF - Desp. Alimentação / Refeição</v>
      </c>
      <c r="P612" s="44" t="str">
        <f t="shared" si="2"/>
        <v>MCSOPF1CPF - Desp. Alimentação / Refeição</v>
      </c>
      <c r="Q612" s="44" t="str">
        <f t="shared" si="3"/>
        <v>MCSOPF1</v>
      </c>
      <c r="R612" s="44" t="str">
        <f t="shared" si="4"/>
        <v>MCSOPF1</v>
      </c>
      <c r="S612" s="38"/>
      <c r="T612" s="304">
        <f t="shared" si="5"/>
        <v>46174</v>
      </c>
      <c r="U612" s="304" t="str">
        <f t="shared" si="6"/>
        <v/>
      </c>
      <c r="V612" s="300" t="s">
        <v>761</v>
      </c>
    </row>
    <row r="613" spans="2:22" s="300" customFormat="1" x14ac:dyDescent="0.25">
      <c r="B613" s="301" t="s">
        <v>25</v>
      </c>
      <c r="C613" s="302"/>
      <c r="D613" s="86" t="str">
        <f>INDEX(Cad_Natureza!$B$3:$C$52,MATCH('2026'!F613,Cad_Natureza!$C$3:$C$52,0),MATCH('2026'!D$2,Cad_Natureza!$B$3:$C$3,0))</f>
        <v>OPF1</v>
      </c>
      <c r="E613" s="84" t="s">
        <v>1798</v>
      </c>
      <c r="F613" s="85" t="s">
        <v>744</v>
      </c>
      <c r="G613" s="86" t="s">
        <v>25</v>
      </c>
      <c r="H613" s="87">
        <v>46184</v>
      </c>
      <c r="I613" s="87"/>
      <c r="J613" s="79" t="s">
        <v>457</v>
      </c>
      <c r="K613" s="62">
        <v>-20</v>
      </c>
      <c r="L613" s="62">
        <f t="shared" si="135"/>
        <v>466.50000000000068</v>
      </c>
      <c r="M613" s="302"/>
      <c r="N613" s="44" t="str">
        <f t="shared" si="0"/>
        <v>MCSOPF1CPF - Desp. Alimentação / Refeição</v>
      </c>
      <c r="O613" s="44" t="str">
        <f t="shared" si="1"/>
        <v>OPF1CPF - Desp. Alimentação / Refeição</v>
      </c>
      <c r="P613" s="44" t="str">
        <f t="shared" si="2"/>
        <v>MCSOPF1CPF - Desp. Alimentação / Refeição</v>
      </c>
      <c r="Q613" s="44" t="str">
        <f t="shared" si="3"/>
        <v>MCSOPF1</v>
      </c>
      <c r="R613" s="44" t="str">
        <f t="shared" si="4"/>
        <v>MCSOPF1</v>
      </c>
      <c r="S613" s="38"/>
      <c r="T613" s="304">
        <f t="shared" si="5"/>
        <v>46174</v>
      </c>
      <c r="U613" s="304" t="str">
        <f t="shared" si="6"/>
        <v/>
      </c>
      <c r="V613" s="300" t="s">
        <v>761</v>
      </c>
    </row>
    <row r="614" spans="2:22" s="300" customFormat="1" x14ac:dyDescent="0.25">
      <c r="B614" s="301" t="s">
        <v>25</v>
      </c>
      <c r="C614" s="302"/>
      <c r="D614" s="86" t="str">
        <f>INDEX(Cad_Natureza!$B$3:$C$52,MATCH('2026'!F614,Cad_Natureza!$C$3:$C$52,0),MATCH('2026'!D$2,Cad_Natureza!$B$3:$C$3,0))</f>
        <v>OPF2</v>
      </c>
      <c r="E614" s="84" t="s">
        <v>1799</v>
      </c>
      <c r="F614" s="85" t="s">
        <v>741</v>
      </c>
      <c r="G614" s="86" t="s">
        <v>25</v>
      </c>
      <c r="H614" s="87">
        <v>46184</v>
      </c>
      <c r="I614" s="87"/>
      <c r="J614" s="79" t="s">
        <v>184</v>
      </c>
      <c r="K614" s="62">
        <v>-80</v>
      </c>
      <c r="L614" s="62">
        <f t="shared" si="135"/>
        <v>386.50000000000068</v>
      </c>
      <c r="M614" s="302"/>
      <c r="N614" s="44" t="str">
        <f t="shared" si="0"/>
        <v>MCSOPF2CPF - Desp. Transporte / Combustível</v>
      </c>
      <c r="O614" s="44" t="str">
        <f t="shared" si="1"/>
        <v>OPF2CPF - Desp. Transporte / Combustível</v>
      </c>
      <c r="P614" s="44" t="str">
        <f t="shared" si="2"/>
        <v>MCSOPF2CPF - Desp. Transporte / Combustível</v>
      </c>
      <c r="Q614" s="44" t="str">
        <f t="shared" si="3"/>
        <v>MCSOPF2</v>
      </c>
      <c r="R614" s="44" t="str">
        <f t="shared" si="4"/>
        <v>MCSOPF2</v>
      </c>
      <c r="S614" s="38"/>
      <c r="T614" s="304">
        <f t="shared" si="5"/>
        <v>46174</v>
      </c>
      <c r="U614" s="304" t="str">
        <f t="shared" si="6"/>
        <v/>
      </c>
      <c r="V614" s="300" t="s">
        <v>761</v>
      </c>
    </row>
    <row r="615" spans="2:22" s="300" customFormat="1" x14ac:dyDescent="0.25">
      <c r="B615" s="301" t="s">
        <v>25</v>
      </c>
      <c r="C615" s="302"/>
      <c r="D615" s="86" t="str">
        <f>INDEX(Cad_Natureza!$B$3:$C$52,MATCH('2026'!F615,Cad_Natureza!$C$3:$C$52,0),MATCH('2026'!D$2,Cad_Natureza!$B$3:$C$3,0))</f>
        <v>OPF1</v>
      </c>
      <c r="E615" s="84" t="s">
        <v>1800</v>
      </c>
      <c r="F615" s="85" t="s">
        <v>744</v>
      </c>
      <c r="G615" s="86" t="s">
        <v>25</v>
      </c>
      <c r="H615" s="87">
        <v>46185</v>
      </c>
      <c r="I615" s="87"/>
      <c r="J615" s="79" t="s">
        <v>182</v>
      </c>
      <c r="K615" s="62">
        <v>-24</v>
      </c>
      <c r="L615" s="62">
        <f t="shared" si="135"/>
        <v>362.50000000000068</v>
      </c>
      <c r="M615" s="302"/>
      <c r="N615" s="44" t="str">
        <f t="shared" si="0"/>
        <v>MCSOPF1CPF - Desp. Alimentação / Refeição</v>
      </c>
      <c r="O615" s="44" t="str">
        <f t="shared" si="1"/>
        <v>OPF1CPF - Desp. Alimentação / Refeição</v>
      </c>
      <c r="P615" s="44" t="str">
        <f t="shared" si="2"/>
        <v>MCSOPF1CPF - Desp. Alimentação / Refeição</v>
      </c>
      <c r="Q615" s="44" t="str">
        <f t="shared" si="3"/>
        <v>MCSOPF1</v>
      </c>
      <c r="R615" s="44" t="str">
        <f t="shared" si="4"/>
        <v>MCSOPF1</v>
      </c>
      <c r="S615" s="38"/>
      <c r="T615" s="304">
        <f t="shared" si="5"/>
        <v>46174</v>
      </c>
      <c r="U615" s="304" t="str">
        <f t="shared" si="6"/>
        <v/>
      </c>
      <c r="V615" s="300" t="s">
        <v>761</v>
      </c>
    </row>
    <row r="616" spans="2:22" s="300" customFormat="1" x14ac:dyDescent="0.25">
      <c r="B616" s="301" t="s">
        <v>25</v>
      </c>
      <c r="C616" s="302"/>
      <c r="D616" s="86" t="str">
        <f>INDEX(Cad_Natureza!$B$3:$C$52,MATCH('2026'!F616,Cad_Natureza!$C$3:$C$52,0),MATCH('2026'!D$2,Cad_Natureza!$B$3:$C$3,0))</f>
        <v>OPF1</v>
      </c>
      <c r="E616" s="84" t="s">
        <v>1801</v>
      </c>
      <c r="F616" s="85" t="s">
        <v>744</v>
      </c>
      <c r="G616" s="86" t="s">
        <v>25</v>
      </c>
      <c r="H616" s="87">
        <v>46185</v>
      </c>
      <c r="I616" s="87"/>
      <c r="J616" s="79" t="s">
        <v>457</v>
      </c>
      <c r="K616" s="62">
        <v>-11</v>
      </c>
      <c r="L616" s="62">
        <f t="shared" si="135"/>
        <v>351.50000000000068</v>
      </c>
      <c r="M616" s="302"/>
      <c r="N616" s="44" t="str">
        <f t="shared" si="0"/>
        <v>MCSOPF1CPF - Desp. Alimentação / Refeição</v>
      </c>
      <c r="O616" s="44" t="str">
        <f t="shared" si="1"/>
        <v>OPF1CPF - Desp. Alimentação / Refeição</v>
      </c>
      <c r="P616" s="44" t="str">
        <f t="shared" si="2"/>
        <v>MCSOPF1CPF - Desp. Alimentação / Refeição</v>
      </c>
      <c r="Q616" s="44" t="str">
        <f t="shared" si="3"/>
        <v>MCSOPF1</v>
      </c>
      <c r="R616" s="44" t="str">
        <f t="shared" si="4"/>
        <v>MCSOPF1</v>
      </c>
      <c r="S616" s="38"/>
      <c r="T616" s="304">
        <f t="shared" si="5"/>
        <v>46174</v>
      </c>
      <c r="U616" s="304" t="str">
        <f t="shared" si="6"/>
        <v/>
      </c>
      <c r="V616" s="300" t="s">
        <v>761</v>
      </c>
    </row>
    <row r="617" spans="2:22" s="300" customFormat="1" x14ac:dyDescent="0.25">
      <c r="B617" s="301" t="s">
        <v>25</v>
      </c>
      <c r="C617" s="302"/>
      <c r="D617" s="86" t="str">
        <f>INDEX(Cad_Natureza!$B$3:$C$52,MATCH('2026'!F617,Cad_Natureza!$C$3:$C$52,0),MATCH('2026'!D$2,Cad_Natureza!$B$3:$C$3,0))</f>
        <v>GAST1</v>
      </c>
      <c r="E617" s="84" t="s">
        <v>1802</v>
      </c>
      <c r="F617" s="85" t="s">
        <v>742</v>
      </c>
      <c r="G617" s="86" t="s">
        <v>25</v>
      </c>
      <c r="H617" s="87">
        <v>46188</v>
      </c>
      <c r="I617" s="87"/>
      <c r="J617" s="79" t="s">
        <v>1590</v>
      </c>
      <c r="K617" s="62">
        <v>-72</v>
      </c>
      <c r="L617" s="62">
        <f t="shared" si="135"/>
        <v>279.50000000000068</v>
      </c>
      <c r="M617" s="302"/>
      <c r="N617" s="44" t="str">
        <f t="shared" si="0"/>
        <v>MCSGAST1CPF - Desp. Lazer e Entretenimento - Bares</v>
      </c>
      <c r="O617" s="44" t="str">
        <f t="shared" si="1"/>
        <v>GAST1CPF - Desp. Lazer e Entretenimento - Bares</v>
      </c>
      <c r="P617" s="44" t="str">
        <f t="shared" si="2"/>
        <v>MCSGAST1CPF - Desp. Lazer e Entretenimento - Bares</v>
      </c>
      <c r="Q617" s="44" t="str">
        <f t="shared" si="3"/>
        <v>MCSGAST1</v>
      </c>
      <c r="R617" s="44" t="str">
        <f t="shared" si="4"/>
        <v>MCSGAST1</v>
      </c>
      <c r="S617" s="38"/>
      <c r="T617" s="304">
        <f t="shared" si="5"/>
        <v>46174</v>
      </c>
      <c r="U617" s="304" t="str">
        <f t="shared" si="6"/>
        <v/>
      </c>
      <c r="V617" s="300" t="s">
        <v>731</v>
      </c>
    </row>
    <row r="618" spans="2:22" s="300" customFormat="1" x14ac:dyDescent="0.25">
      <c r="B618" s="301" t="s">
        <v>25</v>
      </c>
      <c r="C618" s="302"/>
      <c r="D618" s="86" t="str">
        <f>INDEX(Cad_Natureza!$B$3:$C$52,MATCH('2026'!F618,Cad_Natureza!$C$3:$C$52,0),MATCH('2026'!D$2,Cad_Natureza!$B$3:$C$3,0))</f>
        <v>GAST1</v>
      </c>
      <c r="E618" s="84" t="s">
        <v>1803</v>
      </c>
      <c r="F618" s="85" t="s">
        <v>742</v>
      </c>
      <c r="G618" s="86" t="s">
        <v>25</v>
      </c>
      <c r="H618" s="87">
        <v>46188</v>
      </c>
      <c r="I618" s="87"/>
      <c r="J618" s="79" t="s">
        <v>185</v>
      </c>
      <c r="K618" s="62">
        <v>-10</v>
      </c>
      <c r="L618" s="62">
        <f t="shared" si="135"/>
        <v>269.50000000000068</v>
      </c>
      <c r="M618" s="302"/>
      <c r="N618" s="44" t="str">
        <f t="shared" si="0"/>
        <v>MCSGAST1CPF - Desp. Lazer e Entretenimento - Bares</v>
      </c>
      <c r="O618" s="44" t="str">
        <f t="shared" si="1"/>
        <v>GAST1CPF - Desp. Lazer e Entretenimento - Bares</v>
      </c>
      <c r="P618" s="44" t="str">
        <f t="shared" si="2"/>
        <v>MCSGAST1CPF - Desp. Lazer e Entretenimento - Bares</v>
      </c>
      <c r="Q618" s="44" t="str">
        <f t="shared" si="3"/>
        <v>MCSGAST1</v>
      </c>
      <c r="R618" s="44" t="str">
        <f t="shared" si="4"/>
        <v>MCSGAST1</v>
      </c>
      <c r="S618" s="38"/>
      <c r="T618" s="304">
        <f t="shared" si="5"/>
        <v>46174</v>
      </c>
      <c r="U618" s="304" t="str">
        <f t="shared" si="6"/>
        <v/>
      </c>
      <c r="V618" s="300" t="s">
        <v>731</v>
      </c>
    </row>
    <row r="619" spans="2:22" s="300" customFormat="1" x14ac:dyDescent="0.25">
      <c r="B619" s="301" t="s">
        <v>25</v>
      </c>
      <c r="C619" s="302"/>
      <c r="D619" s="86" t="str">
        <f>INDEX(Cad_Natureza!$B$3:$C$52,MATCH('2026'!F619,Cad_Natureza!$C$3:$C$52,0),MATCH('2026'!D$2,Cad_Natureza!$B$3:$C$3,0))</f>
        <v>GAST1</v>
      </c>
      <c r="E619" s="84" t="s">
        <v>1804</v>
      </c>
      <c r="F619" s="85" t="s">
        <v>742</v>
      </c>
      <c r="G619" s="86" t="s">
        <v>25</v>
      </c>
      <c r="H619" s="87">
        <v>46188</v>
      </c>
      <c r="I619" s="87"/>
      <c r="J619" s="79" t="s">
        <v>185</v>
      </c>
      <c r="K619" s="62">
        <v>-25</v>
      </c>
      <c r="L619" s="62">
        <f t="shared" si="135"/>
        <v>244.50000000000068</v>
      </c>
      <c r="M619" s="302"/>
      <c r="N619" s="44" t="str">
        <f t="shared" si="0"/>
        <v>MCSGAST1CPF - Desp. Lazer e Entretenimento - Bares</v>
      </c>
      <c r="O619" s="44" t="str">
        <f t="shared" si="1"/>
        <v>GAST1CPF - Desp. Lazer e Entretenimento - Bares</v>
      </c>
      <c r="P619" s="44" t="str">
        <f t="shared" si="2"/>
        <v>MCSGAST1CPF - Desp. Lazer e Entretenimento - Bares</v>
      </c>
      <c r="Q619" s="44" t="str">
        <f t="shared" si="3"/>
        <v>MCSGAST1</v>
      </c>
      <c r="R619" s="44" t="str">
        <f t="shared" si="4"/>
        <v>MCSGAST1</v>
      </c>
      <c r="S619" s="38"/>
      <c r="T619" s="304">
        <f t="shared" si="5"/>
        <v>46174</v>
      </c>
      <c r="U619" s="304" t="str">
        <f t="shared" si="6"/>
        <v/>
      </c>
      <c r="V619" s="300" t="s">
        <v>761</v>
      </c>
    </row>
    <row r="620" spans="2:22" s="300" customFormat="1" x14ac:dyDescent="0.25">
      <c r="B620" s="301" t="s">
        <v>25</v>
      </c>
      <c r="C620" s="302"/>
      <c r="D620" s="86" t="str">
        <f>INDEX(Cad_Natureza!$B$3:$C$52,MATCH('2026'!F620,Cad_Natureza!$C$3:$C$52,0),MATCH('2026'!D$2,Cad_Natureza!$B$3:$C$3,0))</f>
        <v>GAST1</v>
      </c>
      <c r="E620" s="84" t="s">
        <v>1805</v>
      </c>
      <c r="F620" s="85" t="s">
        <v>742</v>
      </c>
      <c r="G620" s="86" t="s">
        <v>25</v>
      </c>
      <c r="H620" s="87">
        <v>46188</v>
      </c>
      <c r="I620" s="87"/>
      <c r="J620" s="79" t="s">
        <v>185</v>
      </c>
      <c r="K620" s="62">
        <v>-9</v>
      </c>
      <c r="L620" s="62">
        <f t="shared" si="135"/>
        <v>235.50000000000068</v>
      </c>
      <c r="M620" s="302"/>
      <c r="N620" s="44" t="str">
        <f t="shared" si="0"/>
        <v>MCSGAST1CPF - Desp. Lazer e Entretenimento - Bares</v>
      </c>
      <c r="O620" s="44" t="str">
        <f t="shared" si="1"/>
        <v>GAST1CPF - Desp. Lazer e Entretenimento - Bares</v>
      </c>
      <c r="P620" s="44" t="str">
        <f t="shared" si="2"/>
        <v>MCSGAST1CPF - Desp. Lazer e Entretenimento - Bares</v>
      </c>
      <c r="Q620" s="44" t="str">
        <f t="shared" si="3"/>
        <v>MCSGAST1</v>
      </c>
      <c r="R620" s="44" t="str">
        <f t="shared" si="4"/>
        <v>MCSGAST1</v>
      </c>
      <c r="S620" s="38"/>
      <c r="T620" s="304">
        <f t="shared" si="5"/>
        <v>46174</v>
      </c>
      <c r="U620" s="304" t="str">
        <f t="shared" si="6"/>
        <v/>
      </c>
      <c r="V620" s="300" t="s">
        <v>761</v>
      </c>
    </row>
    <row r="621" spans="2:22" s="300" customFormat="1" x14ac:dyDescent="0.25">
      <c r="B621" s="301" t="s">
        <v>25</v>
      </c>
      <c r="C621" s="302"/>
      <c r="D621" s="86" t="str">
        <f>INDEX(Cad_Natureza!$B$3:$C$52,MATCH('2026'!F621,Cad_Natureza!$C$3:$C$52,0),MATCH('2026'!D$2,Cad_Natureza!$B$3:$C$3,0))</f>
        <v>GAST2</v>
      </c>
      <c r="E621" s="84" t="s">
        <v>1806</v>
      </c>
      <c r="F621" s="85" t="s">
        <v>743</v>
      </c>
      <c r="G621" s="86" t="s">
        <v>25</v>
      </c>
      <c r="H621" s="87">
        <v>46188</v>
      </c>
      <c r="I621" s="87"/>
      <c r="J621" s="79" t="s">
        <v>180</v>
      </c>
      <c r="K621" s="62">
        <v>-24.5</v>
      </c>
      <c r="L621" s="62">
        <f t="shared" si="135"/>
        <v>211.00000000000068</v>
      </c>
      <c r="M621" s="302"/>
      <c r="N621" s="44" t="str">
        <f t="shared" ref="N621:N640" si="143">B621&amp;D621&amp;F621</f>
        <v>MCSGAST2CPF - Desp. Lazer e Entretenimento - Cigarro</v>
      </c>
      <c r="O621" s="44" t="str">
        <f t="shared" ref="O621:O640" si="144">D621&amp;F621</f>
        <v>GAST2CPF - Desp. Lazer e Entretenimento - Cigarro</v>
      </c>
      <c r="P621" s="44" t="str">
        <f t="shared" ref="P621:P640" si="145">"MCS"&amp;D621&amp;F621</f>
        <v>MCSGAST2CPF - Desp. Lazer e Entretenimento - Cigarro</v>
      </c>
      <c r="Q621" s="44" t="str">
        <f t="shared" ref="Q621:Q640" si="146">"MCS"&amp;D621</f>
        <v>MCSGAST2</v>
      </c>
      <c r="R621" s="44" t="str">
        <f t="shared" ref="R621:R640" si="147">B621&amp;D621</f>
        <v>MCSGAST2</v>
      </c>
      <c r="S621" s="38"/>
      <c r="T621" s="304">
        <f t="shared" ref="T621:T640" si="148">(1&amp;"/"&amp;MONTH(H621)&amp;"/"&amp;YEAR(H621))*1</f>
        <v>46174</v>
      </c>
      <c r="U621" s="304" t="str">
        <f t="shared" ref="U621:U640" si="149">IF(I621="","",(1&amp;"/"&amp;MONTH(I621)&amp;"/"&amp;YEAR(I621))*1)</f>
        <v/>
      </c>
      <c r="V621" s="300" t="s">
        <v>761</v>
      </c>
    </row>
    <row r="622" spans="2:22" s="300" customFormat="1" x14ac:dyDescent="0.25">
      <c r="B622" s="301" t="s">
        <v>25</v>
      </c>
      <c r="C622" s="302"/>
      <c r="D622" s="86" t="str">
        <f>INDEX(Cad_Natureza!$B$3:$C$52,MATCH('2026'!F622,Cad_Natureza!$C$3:$C$52,0),MATCH('2026'!D$2,Cad_Natureza!$B$3:$C$3,0))</f>
        <v>OUG1</v>
      </c>
      <c r="E622" s="84" t="s">
        <v>1807</v>
      </c>
      <c r="F622" s="85" t="s">
        <v>748</v>
      </c>
      <c r="G622" s="86" t="s">
        <v>25</v>
      </c>
      <c r="H622" s="87">
        <v>46188</v>
      </c>
      <c r="I622" s="87"/>
      <c r="J622" s="79" t="s">
        <v>1858</v>
      </c>
      <c r="K622" s="62">
        <v>-18</v>
      </c>
      <c r="L622" s="62">
        <f t="shared" si="135"/>
        <v>193.00000000000068</v>
      </c>
      <c r="M622" s="302"/>
      <c r="N622" s="44" t="str">
        <f t="shared" si="143"/>
        <v>MCSOUG1CPF - Outros gastos</v>
      </c>
      <c r="O622" s="44" t="str">
        <f t="shared" si="144"/>
        <v>OUG1CPF - Outros gastos</v>
      </c>
      <c r="P622" s="44" t="str">
        <f t="shared" si="145"/>
        <v>MCSOUG1CPF - Outros gastos</v>
      </c>
      <c r="Q622" s="44" t="str">
        <f t="shared" si="146"/>
        <v>MCSOUG1</v>
      </c>
      <c r="R622" s="44" t="str">
        <f t="shared" si="147"/>
        <v>MCSOUG1</v>
      </c>
      <c r="S622" s="38"/>
      <c r="T622" s="304">
        <f t="shared" si="148"/>
        <v>46174</v>
      </c>
      <c r="U622" s="304" t="str">
        <f t="shared" si="149"/>
        <v/>
      </c>
      <c r="V622" s="300" t="s">
        <v>761</v>
      </c>
    </row>
    <row r="623" spans="2:22" s="291" customFormat="1" x14ac:dyDescent="0.25">
      <c r="B623" s="288" t="s">
        <v>25</v>
      </c>
      <c r="C623" s="83"/>
      <c r="D623" s="63" t="str">
        <f>INDEX(Cad_Natureza!$B$3:$C$52,MATCH('2026'!F623,Cad_Natureza!$C$3:$C$52,0),MATCH('2026'!D$2,Cad_Natureza!$B$3:$C$3,0))</f>
        <v>REC4</v>
      </c>
      <c r="E623" s="64" t="s">
        <v>1808</v>
      </c>
      <c r="F623" s="65" t="s">
        <v>734</v>
      </c>
      <c r="G623" s="63" t="s">
        <v>25</v>
      </c>
      <c r="H623" s="66">
        <v>46188</v>
      </c>
      <c r="I623" s="66"/>
      <c r="J623" s="67" t="s">
        <v>183</v>
      </c>
      <c r="K623" s="68">
        <v>1000</v>
      </c>
      <c r="L623" s="68">
        <f t="shared" si="135"/>
        <v>1193.0000000000007</v>
      </c>
      <c r="M623" s="83"/>
      <c r="N623" s="44" t="str">
        <f t="shared" si="143"/>
        <v>MCSREC4CPF - Transf. Da conta PJ para a conta PF</v>
      </c>
      <c r="O623" s="44" t="str">
        <f t="shared" si="144"/>
        <v>REC4CPF - Transf. Da conta PJ para a conta PF</v>
      </c>
      <c r="P623" s="44" t="str">
        <f t="shared" si="145"/>
        <v>MCSREC4CPF - Transf. Da conta PJ para a conta PF</v>
      </c>
      <c r="Q623" s="44" t="str">
        <f t="shared" si="146"/>
        <v>MCSREC4</v>
      </c>
      <c r="R623" s="44" t="str">
        <f t="shared" si="147"/>
        <v>MCSREC4</v>
      </c>
      <c r="S623" s="38"/>
      <c r="T623" s="290">
        <f t="shared" si="148"/>
        <v>46174</v>
      </c>
      <c r="U623" s="290" t="str">
        <f t="shared" si="149"/>
        <v/>
      </c>
      <c r="V623" s="291" t="s">
        <v>731</v>
      </c>
    </row>
    <row r="624" spans="2:22" s="300" customFormat="1" x14ac:dyDescent="0.25">
      <c r="B624" s="301" t="s">
        <v>25</v>
      </c>
      <c r="C624" s="302"/>
      <c r="D624" s="86" t="str">
        <f>INDEX(Cad_Natureza!$B$3:$C$52,MATCH('2026'!F624,Cad_Natureza!$C$3:$C$52,0),MATCH('2026'!D$2,Cad_Natureza!$B$3:$C$3,0))</f>
        <v>OPF1</v>
      </c>
      <c r="E624" s="84" t="s">
        <v>1809</v>
      </c>
      <c r="F624" s="85" t="s">
        <v>744</v>
      </c>
      <c r="G624" s="86" t="s">
        <v>25</v>
      </c>
      <c r="H624" s="87">
        <v>46188</v>
      </c>
      <c r="I624" s="87"/>
      <c r="J624" s="79" t="s">
        <v>457</v>
      </c>
      <c r="K624" s="62">
        <v>-8</v>
      </c>
      <c r="L624" s="62">
        <f t="shared" si="135"/>
        <v>1185.0000000000007</v>
      </c>
      <c r="M624" s="302"/>
      <c r="N624" s="44" t="str">
        <f t="shared" si="143"/>
        <v>MCSOPF1CPF - Desp. Alimentação / Refeição</v>
      </c>
      <c r="O624" s="44" t="str">
        <f t="shared" si="144"/>
        <v>OPF1CPF - Desp. Alimentação / Refeição</v>
      </c>
      <c r="P624" s="44" t="str">
        <f t="shared" si="145"/>
        <v>MCSOPF1CPF - Desp. Alimentação / Refeição</v>
      </c>
      <c r="Q624" s="44" t="str">
        <f t="shared" si="146"/>
        <v>MCSOPF1</v>
      </c>
      <c r="R624" s="44" t="str">
        <f t="shared" si="147"/>
        <v>MCSOPF1</v>
      </c>
      <c r="S624" s="38"/>
      <c r="T624" s="304">
        <f t="shared" si="148"/>
        <v>46174</v>
      </c>
      <c r="U624" s="304" t="str">
        <f t="shared" si="149"/>
        <v/>
      </c>
      <c r="V624" s="300" t="s">
        <v>731</v>
      </c>
    </row>
    <row r="625" spans="2:22" s="300" customFormat="1" x14ac:dyDescent="0.25">
      <c r="B625" s="301" t="s">
        <v>25</v>
      </c>
      <c r="C625" s="302"/>
      <c r="D625" s="86" t="str">
        <f>INDEX(Cad_Natureza!$B$3:$C$52,MATCH('2026'!F625,Cad_Natureza!$C$3:$C$52,0),MATCH('2026'!D$2,Cad_Natureza!$B$3:$C$3,0))</f>
        <v>OUG1</v>
      </c>
      <c r="E625" s="84" t="s">
        <v>1810</v>
      </c>
      <c r="F625" s="85" t="s">
        <v>748</v>
      </c>
      <c r="G625" s="86" t="s">
        <v>25</v>
      </c>
      <c r="H625" s="87">
        <v>46188</v>
      </c>
      <c r="I625" s="87"/>
      <c r="J625" s="79" t="s">
        <v>1859</v>
      </c>
      <c r="K625" s="62">
        <v>-82</v>
      </c>
      <c r="L625" s="62">
        <f t="shared" si="135"/>
        <v>1103.0000000000007</v>
      </c>
      <c r="M625" s="302"/>
      <c r="N625" s="44" t="str">
        <f t="shared" si="143"/>
        <v>MCSOUG1CPF - Outros gastos</v>
      </c>
      <c r="O625" s="44" t="str">
        <f t="shared" si="144"/>
        <v>OUG1CPF - Outros gastos</v>
      </c>
      <c r="P625" s="44" t="str">
        <f t="shared" si="145"/>
        <v>MCSOUG1CPF - Outros gastos</v>
      </c>
      <c r="Q625" s="44" t="str">
        <f t="shared" si="146"/>
        <v>MCSOUG1</v>
      </c>
      <c r="R625" s="44" t="str">
        <f t="shared" si="147"/>
        <v>MCSOUG1</v>
      </c>
      <c r="S625" s="38"/>
      <c r="T625" s="304">
        <f t="shared" si="148"/>
        <v>46174</v>
      </c>
      <c r="U625" s="304" t="str">
        <f t="shared" si="149"/>
        <v/>
      </c>
      <c r="V625" s="300" t="s">
        <v>761</v>
      </c>
    </row>
    <row r="626" spans="2:22" s="300" customFormat="1" x14ac:dyDescent="0.25">
      <c r="B626" s="301" t="s">
        <v>25</v>
      </c>
      <c r="C626" s="302"/>
      <c r="D626" s="86" t="str">
        <f>INDEX(Cad_Natureza!$B$3:$C$52,MATCH('2026'!F626,Cad_Natureza!$C$3:$C$52,0),MATCH('2026'!D$2,Cad_Natureza!$B$3:$C$3,0))</f>
        <v>OUG1</v>
      </c>
      <c r="E626" s="84" t="s">
        <v>1811</v>
      </c>
      <c r="F626" s="85" t="s">
        <v>748</v>
      </c>
      <c r="G626" s="86" t="s">
        <v>25</v>
      </c>
      <c r="H626" s="87">
        <v>46188</v>
      </c>
      <c r="I626" s="87"/>
      <c r="J626" s="79" t="s">
        <v>1859</v>
      </c>
      <c r="K626" s="62">
        <v>-66.099999999999994</v>
      </c>
      <c r="L626" s="62">
        <f t="shared" si="135"/>
        <v>1036.9000000000008</v>
      </c>
      <c r="M626" s="302"/>
      <c r="N626" s="44" t="str">
        <f t="shared" si="143"/>
        <v>MCSOUG1CPF - Outros gastos</v>
      </c>
      <c r="O626" s="44" t="str">
        <f t="shared" si="144"/>
        <v>OUG1CPF - Outros gastos</v>
      </c>
      <c r="P626" s="44" t="str">
        <f t="shared" si="145"/>
        <v>MCSOUG1CPF - Outros gastos</v>
      </c>
      <c r="Q626" s="44" t="str">
        <f t="shared" si="146"/>
        <v>MCSOUG1</v>
      </c>
      <c r="R626" s="44" t="str">
        <f t="shared" si="147"/>
        <v>MCSOUG1</v>
      </c>
      <c r="S626" s="38"/>
      <c r="T626" s="304">
        <f t="shared" si="148"/>
        <v>46174</v>
      </c>
      <c r="U626" s="304" t="str">
        <f t="shared" si="149"/>
        <v/>
      </c>
      <c r="V626" s="300" t="s">
        <v>761</v>
      </c>
    </row>
    <row r="627" spans="2:22" s="300" customFormat="1" x14ac:dyDescent="0.25">
      <c r="B627" s="301" t="s">
        <v>25</v>
      </c>
      <c r="C627" s="302"/>
      <c r="D627" s="86" t="str">
        <f>INDEX(Cad_Natureza!$B$3:$C$52,MATCH('2026'!F627,Cad_Natureza!$C$3:$C$52,0),MATCH('2026'!D$2,Cad_Natureza!$B$3:$C$3,0))</f>
        <v>OUG1</v>
      </c>
      <c r="E627" s="84" t="s">
        <v>1811</v>
      </c>
      <c r="F627" s="85" t="s">
        <v>748</v>
      </c>
      <c r="G627" s="86" t="s">
        <v>25</v>
      </c>
      <c r="H627" s="87">
        <v>46188</v>
      </c>
      <c r="I627" s="87"/>
      <c r="J627" s="79" t="s">
        <v>1859</v>
      </c>
      <c r="K627" s="62">
        <v>-66.2</v>
      </c>
      <c r="L627" s="62">
        <f t="shared" si="135"/>
        <v>970.70000000000073</v>
      </c>
      <c r="M627" s="302"/>
      <c r="N627" s="44" t="str">
        <f t="shared" si="143"/>
        <v>MCSOUG1CPF - Outros gastos</v>
      </c>
      <c r="O627" s="44" t="str">
        <f t="shared" si="144"/>
        <v>OUG1CPF - Outros gastos</v>
      </c>
      <c r="P627" s="44" t="str">
        <f t="shared" si="145"/>
        <v>MCSOUG1CPF - Outros gastos</v>
      </c>
      <c r="Q627" s="44" t="str">
        <f t="shared" si="146"/>
        <v>MCSOUG1</v>
      </c>
      <c r="R627" s="44" t="str">
        <f t="shared" si="147"/>
        <v>MCSOUG1</v>
      </c>
      <c r="S627" s="38"/>
      <c r="T627" s="304">
        <f t="shared" si="148"/>
        <v>46174</v>
      </c>
      <c r="U627" s="304" t="str">
        <f t="shared" si="149"/>
        <v/>
      </c>
      <c r="V627" s="300" t="s">
        <v>761</v>
      </c>
    </row>
    <row r="628" spans="2:22" s="300" customFormat="1" x14ac:dyDescent="0.25">
      <c r="B628" s="301" t="s">
        <v>25</v>
      </c>
      <c r="C628" s="302"/>
      <c r="D628" s="86" t="str">
        <f>INDEX(Cad_Natureza!$B$3:$C$52,MATCH('2026'!F628,Cad_Natureza!$C$3:$C$52,0),MATCH('2026'!D$2,Cad_Natureza!$B$3:$C$3,0))</f>
        <v>OUG1</v>
      </c>
      <c r="E628" s="84" t="s">
        <v>1812</v>
      </c>
      <c r="F628" s="85" t="s">
        <v>748</v>
      </c>
      <c r="G628" s="86" t="s">
        <v>25</v>
      </c>
      <c r="H628" s="87">
        <v>46188</v>
      </c>
      <c r="I628" s="87"/>
      <c r="J628" s="79" t="s">
        <v>949</v>
      </c>
      <c r="K628" s="62">
        <v>-239.9</v>
      </c>
      <c r="L628" s="62">
        <f t="shared" si="135"/>
        <v>730.80000000000075</v>
      </c>
      <c r="M628" s="302"/>
      <c r="N628" s="44" t="str">
        <f t="shared" si="143"/>
        <v>MCSOUG1CPF - Outros gastos</v>
      </c>
      <c r="O628" s="44" t="str">
        <f t="shared" si="144"/>
        <v>OUG1CPF - Outros gastos</v>
      </c>
      <c r="P628" s="44" t="str">
        <f t="shared" si="145"/>
        <v>MCSOUG1CPF - Outros gastos</v>
      </c>
      <c r="Q628" s="44" t="str">
        <f t="shared" si="146"/>
        <v>MCSOUG1</v>
      </c>
      <c r="R628" s="44" t="str">
        <f t="shared" si="147"/>
        <v>MCSOUG1</v>
      </c>
      <c r="S628" s="38"/>
      <c r="T628" s="304">
        <f t="shared" si="148"/>
        <v>46174</v>
      </c>
      <c r="U628" s="304" t="str">
        <f t="shared" si="149"/>
        <v/>
      </c>
      <c r="V628" s="300" t="s">
        <v>761</v>
      </c>
    </row>
    <row r="629" spans="2:22" s="300" customFormat="1" x14ac:dyDescent="0.25">
      <c r="B629" s="301" t="s">
        <v>25</v>
      </c>
      <c r="C629" s="302"/>
      <c r="D629" s="86" t="str">
        <f>INDEX(Cad_Natureza!$B$3:$C$52,MATCH('2026'!F629,Cad_Natureza!$C$3:$C$52,0),MATCH('2026'!D$2,Cad_Natureza!$B$3:$C$3,0))</f>
        <v>DESP3</v>
      </c>
      <c r="E629" s="84" t="s">
        <v>1813</v>
      </c>
      <c r="F629" s="85" t="s">
        <v>736</v>
      </c>
      <c r="G629" s="86" t="s">
        <v>25</v>
      </c>
      <c r="H629" s="87">
        <v>46188</v>
      </c>
      <c r="I629" s="87"/>
      <c r="J629" s="79" t="s">
        <v>1860</v>
      </c>
      <c r="K629" s="62">
        <v>-18.75</v>
      </c>
      <c r="L629" s="62">
        <f t="shared" si="135"/>
        <v>712.05000000000075</v>
      </c>
      <c r="M629" s="302"/>
      <c r="N629" s="44" t="str">
        <f t="shared" si="143"/>
        <v xml:space="preserve">MCSDESP3CPF - Desp. com veículo - Manut. / Gastos </v>
      </c>
      <c r="O629" s="44" t="str">
        <f t="shared" si="144"/>
        <v xml:space="preserve">DESP3CPF - Desp. com veículo - Manut. / Gastos </v>
      </c>
      <c r="P629" s="44" t="str">
        <f t="shared" si="145"/>
        <v xml:space="preserve">MCSDESP3CPF - Desp. com veículo - Manut. / Gastos </v>
      </c>
      <c r="Q629" s="44" t="str">
        <f t="shared" si="146"/>
        <v>MCSDESP3</v>
      </c>
      <c r="R629" s="44" t="str">
        <f t="shared" si="147"/>
        <v>MCSDESP3</v>
      </c>
      <c r="S629" s="38"/>
      <c r="T629" s="304">
        <f t="shared" si="148"/>
        <v>46174</v>
      </c>
      <c r="U629" s="304" t="str">
        <f t="shared" si="149"/>
        <v/>
      </c>
      <c r="V629" s="300" t="s">
        <v>761</v>
      </c>
    </row>
    <row r="630" spans="2:22" s="300" customFormat="1" x14ac:dyDescent="0.25">
      <c r="B630" s="301" t="s">
        <v>25</v>
      </c>
      <c r="C630" s="302"/>
      <c r="D630" s="86" t="str">
        <f>INDEX(Cad_Natureza!$B$3:$C$52,MATCH('2026'!F630,Cad_Natureza!$C$3:$C$52,0),MATCH('2026'!D$2,Cad_Natureza!$B$3:$C$3,0))</f>
        <v>OPF2</v>
      </c>
      <c r="E630" s="84" t="s">
        <v>1814</v>
      </c>
      <c r="F630" s="85" t="s">
        <v>741</v>
      </c>
      <c r="G630" s="86" t="s">
        <v>25</v>
      </c>
      <c r="H630" s="87">
        <v>46188</v>
      </c>
      <c r="I630" s="87"/>
      <c r="J630" s="79" t="s">
        <v>184</v>
      </c>
      <c r="K630" s="62">
        <v>-100</v>
      </c>
      <c r="L630" s="62">
        <f t="shared" si="135"/>
        <v>612.05000000000075</v>
      </c>
      <c r="M630" s="302"/>
      <c r="N630" s="44" t="str">
        <f t="shared" si="143"/>
        <v>MCSOPF2CPF - Desp. Transporte / Combustível</v>
      </c>
      <c r="O630" s="44" t="str">
        <f t="shared" si="144"/>
        <v>OPF2CPF - Desp. Transporte / Combustível</v>
      </c>
      <c r="P630" s="44" t="str">
        <f t="shared" si="145"/>
        <v>MCSOPF2CPF - Desp. Transporte / Combustível</v>
      </c>
      <c r="Q630" s="44" t="str">
        <f t="shared" si="146"/>
        <v>MCSOPF2</v>
      </c>
      <c r="R630" s="44" t="str">
        <f t="shared" si="147"/>
        <v>MCSOPF2</v>
      </c>
      <c r="S630" s="38"/>
      <c r="T630" s="304">
        <f t="shared" si="148"/>
        <v>46174</v>
      </c>
      <c r="U630" s="304" t="str">
        <f t="shared" si="149"/>
        <v/>
      </c>
      <c r="V630" s="300" t="s">
        <v>731</v>
      </c>
    </row>
    <row r="631" spans="2:22" s="300" customFormat="1" x14ac:dyDescent="0.25">
      <c r="B631" s="301" t="s">
        <v>25</v>
      </c>
      <c r="C631" s="302"/>
      <c r="D631" s="86" t="str">
        <f>INDEX(Cad_Natureza!$B$3:$C$52,MATCH('2026'!F631,Cad_Natureza!$C$3:$C$52,0),MATCH('2026'!D$2,Cad_Natureza!$B$3:$C$3,0))</f>
        <v>GAST2</v>
      </c>
      <c r="E631" s="84" t="s">
        <v>1815</v>
      </c>
      <c r="F631" s="85" t="s">
        <v>743</v>
      </c>
      <c r="G631" s="86" t="s">
        <v>25</v>
      </c>
      <c r="H631" s="87">
        <v>46188</v>
      </c>
      <c r="I631" s="87"/>
      <c r="J631" s="79" t="s">
        <v>180</v>
      </c>
      <c r="K631" s="62">
        <v>-35</v>
      </c>
      <c r="L631" s="62">
        <f t="shared" si="135"/>
        <v>577.05000000000075</v>
      </c>
      <c r="M631" s="302"/>
      <c r="N631" s="44" t="str">
        <f t="shared" si="143"/>
        <v>MCSGAST2CPF - Desp. Lazer e Entretenimento - Cigarro</v>
      </c>
      <c r="O631" s="44" t="str">
        <f t="shared" si="144"/>
        <v>GAST2CPF - Desp. Lazer e Entretenimento - Cigarro</v>
      </c>
      <c r="P631" s="44" t="str">
        <f t="shared" si="145"/>
        <v>MCSGAST2CPF - Desp. Lazer e Entretenimento - Cigarro</v>
      </c>
      <c r="Q631" s="44" t="str">
        <f t="shared" si="146"/>
        <v>MCSGAST2</v>
      </c>
      <c r="R631" s="44" t="str">
        <f t="shared" si="147"/>
        <v>MCSGAST2</v>
      </c>
      <c r="S631" s="38"/>
      <c r="T631" s="304">
        <f t="shared" si="148"/>
        <v>46174</v>
      </c>
      <c r="U631" s="304" t="str">
        <f t="shared" si="149"/>
        <v/>
      </c>
      <c r="V631" s="300" t="s">
        <v>731</v>
      </c>
    </row>
    <row r="632" spans="2:22" s="300" customFormat="1" x14ac:dyDescent="0.25">
      <c r="B632" s="301" t="s">
        <v>25</v>
      </c>
      <c r="C632" s="302"/>
      <c r="D632" s="86" t="str">
        <f>INDEX(Cad_Natureza!$B$3:$C$52,MATCH('2026'!F632,Cad_Natureza!$C$3:$C$52,0),MATCH('2026'!D$2,Cad_Natureza!$B$3:$C$3,0))</f>
        <v>GAST1</v>
      </c>
      <c r="E632" s="84" t="s">
        <v>1802</v>
      </c>
      <c r="F632" s="85" t="s">
        <v>742</v>
      </c>
      <c r="G632" s="86" t="s">
        <v>25</v>
      </c>
      <c r="H632" s="87">
        <v>46188</v>
      </c>
      <c r="I632" s="87"/>
      <c r="J632" s="79" t="s">
        <v>1590</v>
      </c>
      <c r="K632" s="62">
        <v>-82</v>
      </c>
      <c r="L632" s="62">
        <f t="shared" si="135"/>
        <v>495.05000000000075</v>
      </c>
      <c r="M632" s="302"/>
      <c r="N632" s="44" t="str">
        <f t="shared" si="143"/>
        <v>MCSGAST1CPF - Desp. Lazer e Entretenimento - Bares</v>
      </c>
      <c r="O632" s="44" t="str">
        <f t="shared" si="144"/>
        <v>GAST1CPF - Desp. Lazer e Entretenimento - Bares</v>
      </c>
      <c r="P632" s="44" t="str">
        <f t="shared" si="145"/>
        <v>MCSGAST1CPF - Desp. Lazer e Entretenimento - Bares</v>
      </c>
      <c r="Q632" s="44" t="str">
        <f t="shared" si="146"/>
        <v>MCSGAST1</v>
      </c>
      <c r="R632" s="44" t="str">
        <f t="shared" si="147"/>
        <v>MCSGAST1</v>
      </c>
      <c r="S632" s="38"/>
      <c r="T632" s="304">
        <f t="shared" si="148"/>
        <v>46174</v>
      </c>
      <c r="U632" s="304" t="str">
        <f t="shared" si="149"/>
        <v/>
      </c>
      <c r="V632" s="300" t="s">
        <v>761</v>
      </c>
    </row>
    <row r="633" spans="2:22" s="300" customFormat="1" x14ac:dyDescent="0.25">
      <c r="B633" s="301" t="s">
        <v>25</v>
      </c>
      <c r="C633" s="302"/>
      <c r="D633" s="86" t="str">
        <f>INDEX(Cad_Natureza!$B$3:$C$52,MATCH('2026'!F633,Cad_Natureza!$C$3:$C$52,0),MATCH('2026'!D$2,Cad_Natureza!$B$3:$C$3,0))</f>
        <v>GAST1</v>
      </c>
      <c r="E633" s="84" t="s">
        <v>1816</v>
      </c>
      <c r="F633" s="85" t="s">
        <v>742</v>
      </c>
      <c r="G633" s="86" t="s">
        <v>25</v>
      </c>
      <c r="H633" s="87">
        <v>46188</v>
      </c>
      <c r="I633" s="87"/>
      <c r="J633" s="79" t="s">
        <v>185</v>
      </c>
      <c r="K633" s="62">
        <v>-15</v>
      </c>
      <c r="L633" s="62">
        <f t="shared" si="135"/>
        <v>480.05000000000075</v>
      </c>
      <c r="M633" s="302"/>
      <c r="N633" s="44" t="str">
        <f t="shared" si="143"/>
        <v>MCSGAST1CPF - Desp. Lazer e Entretenimento - Bares</v>
      </c>
      <c r="O633" s="44" t="str">
        <f t="shared" si="144"/>
        <v>GAST1CPF - Desp. Lazer e Entretenimento - Bares</v>
      </c>
      <c r="P633" s="44" t="str">
        <f t="shared" si="145"/>
        <v>MCSGAST1CPF - Desp. Lazer e Entretenimento - Bares</v>
      </c>
      <c r="Q633" s="44" t="str">
        <f t="shared" si="146"/>
        <v>MCSGAST1</v>
      </c>
      <c r="R633" s="44" t="str">
        <f t="shared" si="147"/>
        <v>MCSGAST1</v>
      </c>
      <c r="S633" s="38"/>
      <c r="T633" s="304">
        <f t="shared" si="148"/>
        <v>46174</v>
      </c>
      <c r="U633" s="304" t="str">
        <f t="shared" si="149"/>
        <v/>
      </c>
      <c r="V633" s="300" t="s">
        <v>761</v>
      </c>
    </row>
    <row r="634" spans="2:22" s="300" customFormat="1" x14ac:dyDescent="0.25">
      <c r="B634" s="301" t="s">
        <v>25</v>
      </c>
      <c r="C634" s="302"/>
      <c r="D634" s="86" t="str">
        <f>INDEX(Cad_Natureza!$B$3:$C$52,MATCH('2026'!F634,Cad_Natureza!$C$3:$C$52,0),MATCH('2026'!D$2,Cad_Natureza!$B$3:$C$3,0))</f>
        <v>GAST1</v>
      </c>
      <c r="E634" s="84" t="s">
        <v>1816</v>
      </c>
      <c r="F634" s="85" t="s">
        <v>742</v>
      </c>
      <c r="G634" s="86" t="s">
        <v>25</v>
      </c>
      <c r="H634" s="87">
        <v>46188</v>
      </c>
      <c r="I634" s="87"/>
      <c r="J634" s="79" t="s">
        <v>185</v>
      </c>
      <c r="K634" s="62">
        <v>-12</v>
      </c>
      <c r="L634" s="62">
        <f t="shared" si="135"/>
        <v>468.05000000000075</v>
      </c>
      <c r="M634" s="302"/>
      <c r="N634" s="44" t="str">
        <f t="shared" si="143"/>
        <v>MCSGAST1CPF - Desp. Lazer e Entretenimento - Bares</v>
      </c>
      <c r="O634" s="44" t="str">
        <f t="shared" si="144"/>
        <v>GAST1CPF - Desp. Lazer e Entretenimento - Bares</v>
      </c>
      <c r="P634" s="44" t="str">
        <f t="shared" si="145"/>
        <v>MCSGAST1CPF - Desp. Lazer e Entretenimento - Bares</v>
      </c>
      <c r="Q634" s="44" t="str">
        <f t="shared" si="146"/>
        <v>MCSGAST1</v>
      </c>
      <c r="R634" s="44" t="str">
        <f t="shared" si="147"/>
        <v>MCSGAST1</v>
      </c>
      <c r="S634" s="38"/>
      <c r="T634" s="304">
        <f t="shared" si="148"/>
        <v>46174</v>
      </c>
      <c r="U634" s="304" t="str">
        <f t="shared" si="149"/>
        <v/>
      </c>
      <c r="V634" s="300" t="s">
        <v>761</v>
      </c>
    </row>
    <row r="635" spans="2:22" s="300" customFormat="1" x14ac:dyDescent="0.25">
      <c r="B635" s="301" t="s">
        <v>25</v>
      </c>
      <c r="C635" s="302"/>
      <c r="D635" s="86" t="str">
        <f>INDEX(Cad_Natureza!$B$3:$C$52,MATCH('2026'!F635,Cad_Natureza!$C$3:$C$52,0),MATCH('2026'!D$2,Cad_Natureza!$B$3:$C$3,0))</f>
        <v>GAST1</v>
      </c>
      <c r="E635" s="84" t="s">
        <v>1816</v>
      </c>
      <c r="F635" s="85" t="s">
        <v>742</v>
      </c>
      <c r="G635" s="86" t="s">
        <v>25</v>
      </c>
      <c r="H635" s="87">
        <v>46188</v>
      </c>
      <c r="I635" s="87"/>
      <c r="J635" s="79" t="s">
        <v>185</v>
      </c>
      <c r="K635" s="62">
        <v>-12</v>
      </c>
      <c r="L635" s="62">
        <f t="shared" si="135"/>
        <v>456.05000000000075</v>
      </c>
      <c r="M635" s="302"/>
      <c r="N635" s="44" t="str">
        <f t="shared" si="143"/>
        <v>MCSGAST1CPF - Desp. Lazer e Entretenimento - Bares</v>
      </c>
      <c r="O635" s="44" t="str">
        <f t="shared" si="144"/>
        <v>GAST1CPF - Desp. Lazer e Entretenimento - Bares</v>
      </c>
      <c r="P635" s="44" t="str">
        <f t="shared" si="145"/>
        <v>MCSGAST1CPF - Desp. Lazer e Entretenimento - Bares</v>
      </c>
      <c r="Q635" s="44" t="str">
        <f t="shared" si="146"/>
        <v>MCSGAST1</v>
      </c>
      <c r="R635" s="44" t="str">
        <f t="shared" si="147"/>
        <v>MCSGAST1</v>
      </c>
      <c r="S635" s="38"/>
      <c r="T635" s="304">
        <f t="shared" si="148"/>
        <v>46174</v>
      </c>
      <c r="U635" s="304" t="str">
        <f t="shared" si="149"/>
        <v/>
      </c>
      <c r="V635" s="300" t="s">
        <v>761</v>
      </c>
    </row>
    <row r="636" spans="2:22" s="300" customFormat="1" x14ac:dyDescent="0.25">
      <c r="B636" s="301" t="s">
        <v>25</v>
      </c>
      <c r="C636" s="302"/>
      <c r="D636" s="86" t="str">
        <f>INDEX(Cad_Natureza!$B$3:$C$52,MATCH('2026'!F636,Cad_Natureza!$C$3:$C$52,0),MATCH('2026'!D$2,Cad_Natureza!$B$3:$C$3,0))</f>
        <v>GAST1</v>
      </c>
      <c r="E636" s="84" t="s">
        <v>1817</v>
      </c>
      <c r="F636" s="85" t="s">
        <v>742</v>
      </c>
      <c r="G636" s="86" t="s">
        <v>25</v>
      </c>
      <c r="H636" s="87">
        <v>46188</v>
      </c>
      <c r="I636" s="87"/>
      <c r="J636" s="79" t="s">
        <v>185</v>
      </c>
      <c r="K636" s="62">
        <v>-16</v>
      </c>
      <c r="L636" s="62">
        <f t="shared" si="135"/>
        <v>440.05000000000075</v>
      </c>
      <c r="M636" s="302"/>
      <c r="N636" s="44" t="str">
        <f t="shared" si="143"/>
        <v>MCSGAST1CPF - Desp. Lazer e Entretenimento - Bares</v>
      </c>
      <c r="O636" s="44" t="str">
        <f t="shared" si="144"/>
        <v>GAST1CPF - Desp. Lazer e Entretenimento - Bares</v>
      </c>
      <c r="P636" s="44" t="str">
        <f t="shared" si="145"/>
        <v>MCSGAST1CPF - Desp. Lazer e Entretenimento - Bares</v>
      </c>
      <c r="Q636" s="44" t="str">
        <f t="shared" si="146"/>
        <v>MCSGAST1</v>
      </c>
      <c r="R636" s="44" t="str">
        <f t="shared" si="147"/>
        <v>MCSGAST1</v>
      </c>
      <c r="S636" s="38"/>
      <c r="T636" s="304">
        <f t="shared" si="148"/>
        <v>46174</v>
      </c>
      <c r="U636" s="304" t="str">
        <f t="shared" si="149"/>
        <v/>
      </c>
      <c r="V636" s="300" t="s">
        <v>761</v>
      </c>
    </row>
    <row r="637" spans="2:22" s="300" customFormat="1" x14ac:dyDescent="0.25">
      <c r="B637" s="301" t="s">
        <v>25</v>
      </c>
      <c r="C637" s="302"/>
      <c r="D637" s="86" t="str">
        <f>INDEX(Cad_Natureza!$B$3:$C$52,MATCH('2026'!F637,Cad_Natureza!$C$3:$C$52,0),MATCH('2026'!D$2,Cad_Natureza!$B$3:$C$3,0))</f>
        <v>GAST1</v>
      </c>
      <c r="E637" s="84" t="s">
        <v>1817</v>
      </c>
      <c r="F637" s="85" t="s">
        <v>742</v>
      </c>
      <c r="G637" s="86" t="s">
        <v>25</v>
      </c>
      <c r="H637" s="87">
        <v>46188</v>
      </c>
      <c r="I637" s="87"/>
      <c r="J637" s="79" t="s">
        <v>185</v>
      </c>
      <c r="K637" s="62">
        <v>-35</v>
      </c>
      <c r="L637" s="62">
        <f t="shared" si="135"/>
        <v>405.05000000000075</v>
      </c>
      <c r="M637" s="302"/>
      <c r="N637" s="44" t="str">
        <f t="shared" si="143"/>
        <v>MCSGAST1CPF - Desp. Lazer e Entretenimento - Bares</v>
      </c>
      <c r="O637" s="44" t="str">
        <f t="shared" si="144"/>
        <v>GAST1CPF - Desp. Lazer e Entretenimento - Bares</v>
      </c>
      <c r="P637" s="44" t="str">
        <f t="shared" si="145"/>
        <v>MCSGAST1CPF - Desp. Lazer e Entretenimento - Bares</v>
      </c>
      <c r="Q637" s="44" t="str">
        <f t="shared" si="146"/>
        <v>MCSGAST1</v>
      </c>
      <c r="R637" s="44" t="str">
        <f t="shared" si="147"/>
        <v>MCSGAST1</v>
      </c>
      <c r="S637" s="38"/>
      <c r="T637" s="304">
        <f t="shared" si="148"/>
        <v>46174</v>
      </c>
      <c r="U637" s="304" t="str">
        <f t="shared" si="149"/>
        <v/>
      </c>
      <c r="V637" s="300" t="s">
        <v>731</v>
      </c>
    </row>
    <row r="638" spans="2:22" s="300" customFormat="1" x14ac:dyDescent="0.25">
      <c r="B638" s="301" t="s">
        <v>25</v>
      </c>
      <c r="C638" s="302"/>
      <c r="D638" s="86" t="str">
        <f>INDEX(Cad_Natureza!$B$3:$C$52,MATCH('2026'!F638,Cad_Natureza!$C$3:$C$52,0),MATCH('2026'!D$2,Cad_Natureza!$B$3:$C$3,0))</f>
        <v>GAST1</v>
      </c>
      <c r="E638" s="84" t="s">
        <v>1817</v>
      </c>
      <c r="F638" s="85" t="s">
        <v>742</v>
      </c>
      <c r="G638" s="86" t="s">
        <v>25</v>
      </c>
      <c r="H638" s="87">
        <v>46188</v>
      </c>
      <c r="I638" s="87"/>
      <c r="J638" s="79" t="s">
        <v>185</v>
      </c>
      <c r="K638" s="62">
        <v>-42</v>
      </c>
      <c r="L638" s="62">
        <f t="shared" si="135"/>
        <v>363.05000000000075</v>
      </c>
      <c r="M638" s="302"/>
      <c r="N638" s="44" t="str">
        <f t="shared" si="143"/>
        <v>MCSGAST1CPF - Desp. Lazer e Entretenimento - Bares</v>
      </c>
      <c r="O638" s="44" t="str">
        <f t="shared" si="144"/>
        <v>GAST1CPF - Desp. Lazer e Entretenimento - Bares</v>
      </c>
      <c r="P638" s="44" t="str">
        <f t="shared" si="145"/>
        <v>MCSGAST1CPF - Desp. Lazer e Entretenimento - Bares</v>
      </c>
      <c r="Q638" s="44" t="str">
        <f t="shared" si="146"/>
        <v>MCSGAST1</v>
      </c>
      <c r="R638" s="44" t="str">
        <f t="shared" si="147"/>
        <v>MCSGAST1</v>
      </c>
      <c r="S638" s="38"/>
      <c r="T638" s="304">
        <f t="shared" si="148"/>
        <v>46174</v>
      </c>
      <c r="U638" s="304" t="str">
        <f t="shared" si="149"/>
        <v/>
      </c>
      <c r="V638" s="300" t="s">
        <v>731</v>
      </c>
    </row>
    <row r="639" spans="2:22" s="300" customFormat="1" x14ac:dyDescent="0.25">
      <c r="B639" s="301" t="s">
        <v>25</v>
      </c>
      <c r="C639" s="302"/>
      <c r="D639" s="86" t="str">
        <f>INDEX(Cad_Natureza!$B$3:$C$52,MATCH('2026'!F639,Cad_Natureza!$C$3:$C$52,0),MATCH('2026'!D$2,Cad_Natureza!$B$3:$C$3,0))</f>
        <v>GAST1</v>
      </c>
      <c r="E639" s="84" t="s">
        <v>1817</v>
      </c>
      <c r="F639" s="85" t="s">
        <v>742</v>
      </c>
      <c r="G639" s="86" t="s">
        <v>25</v>
      </c>
      <c r="H639" s="87">
        <v>46188</v>
      </c>
      <c r="I639" s="87"/>
      <c r="J639" s="79" t="s">
        <v>185</v>
      </c>
      <c r="K639" s="62">
        <v>-42</v>
      </c>
      <c r="L639" s="62">
        <f t="shared" si="135"/>
        <v>321.05000000000075</v>
      </c>
      <c r="M639" s="302"/>
      <c r="N639" s="44" t="str">
        <f t="shared" si="143"/>
        <v>MCSGAST1CPF - Desp. Lazer e Entretenimento - Bares</v>
      </c>
      <c r="O639" s="44" t="str">
        <f t="shared" si="144"/>
        <v>GAST1CPF - Desp. Lazer e Entretenimento - Bares</v>
      </c>
      <c r="P639" s="44" t="str">
        <f t="shared" si="145"/>
        <v>MCSGAST1CPF - Desp. Lazer e Entretenimento - Bares</v>
      </c>
      <c r="Q639" s="44" t="str">
        <f t="shared" si="146"/>
        <v>MCSGAST1</v>
      </c>
      <c r="R639" s="44" t="str">
        <f t="shared" si="147"/>
        <v>MCSGAST1</v>
      </c>
      <c r="S639" s="38"/>
      <c r="T639" s="304">
        <f t="shared" si="148"/>
        <v>46174</v>
      </c>
      <c r="U639" s="304" t="str">
        <f t="shared" si="149"/>
        <v/>
      </c>
      <c r="V639" s="300" t="s">
        <v>761</v>
      </c>
    </row>
    <row r="640" spans="2:22" s="300" customFormat="1" x14ac:dyDescent="0.25">
      <c r="B640" s="301" t="s">
        <v>25</v>
      </c>
      <c r="C640" s="302"/>
      <c r="D640" s="86" t="str">
        <f>INDEX(Cad_Natureza!$B$3:$C$52,MATCH('2026'!F640,Cad_Natureza!$C$3:$C$52,0),MATCH('2026'!D$2,Cad_Natureza!$B$3:$C$3,0))</f>
        <v>OPF1</v>
      </c>
      <c r="E640" s="84" t="s">
        <v>1818</v>
      </c>
      <c r="F640" s="85" t="s">
        <v>744</v>
      </c>
      <c r="G640" s="86" t="s">
        <v>25</v>
      </c>
      <c r="H640" s="87">
        <v>46188</v>
      </c>
      <c r="I640" s="87"/>
      <c r="J640" s="79" t="s">
        <v>457</v>
      </c>
      <c r="K640" s="62">
        <v>-16.43</v>
      </c>
      <c r="L640" s="62">
        <f t="shared" si="135"/>
        <v>304.62000000000074</v>
      </c>
      <c r="M640" s="302"/>
      <c r="N640" s="44" t="str">
        <f t="shared" si="143"/>
        <v>MCSOPF1CPF - Desp. Alimentação / Refeição</v>
      </c>
      <c r="O640" s="44" t="str">
        <f t="shared" si="144"/>
        <v>OPF1CPF - Desp. Alimentação / Refeição</v>
      </c>
      <c r="P640" s="44" t="str">
        <f t="shared" si="145"/>
        <v>MCSOPF1CPF - Desp. Alimentação / Refeição</v>
      </c>
      <c r="Q640" s="44" t="str">
        <f t="shared" si="146"/>
        <v>MCSOPF1</v>
      </c>
      <c r="R640" s="44" t="str">
        <f t="shared" si="147"/>
        <v>MCSOPF1</v>
      </c>
      <c r="S640" s="38"/>
      <c r="T640" s="304">
        <f t="shared" si="148"/>
        <v>46174</v>
      </c>
      <c r="U640" s="304" t="str">
        <f t="shared" si="149"/>
        <v/>
      </c>
      <c r="V640" s="300" t="s">
        <v>761</v>
      </c>
    </row>
    <row r="641" spans="2:22" s="300" customFormat="1" x14ac:dyDescent="0.25">
      <c r="B641" s="301" t="s">
        <v>25</v>
      </c>
      <c r="C641" s="302"/>
      <c r="D641" s="86" t="str">
        <f>INDEX(Cad_Natureza!$B$3:$C$52,MATCH('2026'!F641,Cad_Natureza!$C$3:$C$52,0),MATCH('2026'!D$2,Cad_Natureza!$B$3:$C$3,0))</f>
        <v>OPF1</v>
      </c>
      <c r="E641" s="84" t="s">
        <v>1819</v>
      </c>
      <c r="F641" s="85" t="s">
        <v>744</v>
      </c>
      <c r="G641" s="86" t="s">
        <v>25</v>
      </c>
      <c r="H641" s="87">
        <v>46188</v>
      </c>
      <c r="I641" s="87"/>
      <c r="J641" s="79" t="s">
        <v>182</v>
      </c>
      <c r="K641" s="62">
        <v>-25</v>
      </c>
      <c r="L641" s="62">
        <f t="shared" si="135"/>
        <v>279.62000000000074</v>
      </c>
      <c r="M641" s="302"/>
      <c r="N641" s="44" t="str">
        <f t="shared" si="0"/>
        <v>MCSOPF1CPF - Desp. Alimentação / Refeição</v>
      </c>
      <c r="O641" s="44" t="str">
        <f t="shared" si="1"/>
        <v>OPF1CPF - Desp. Alimentação / Refeição</v>
      </c>
      <c r="P641" s="44" t="str">
        <f t="shared" si="2"/>
        <v>MCSOPF1CPF - Desp. Alimentação / Refeição</v>
      </c>
      <c r="Q641" s="44" t="str">
        <f t="shared" si="3"/>
        <v>MCSOPF1</v>
      </c>
      <c r="R641" s="44" t="str">
        <f t="shared" si="4"/>
        <v>MCSOPF1</v>
      </c>
      <c r="S641" s="38"/>
      <c r="T641" s="304">
        <f t="shared" si="5"/>
        <v>46174</v>
      </c>
      <c r="U641" s="304" t="str">
        <f t="shared" si="6"/>
        <v/>
      </c>
      <c r="V641" s="300" t="s">
        <v>761</v>
      </c>
    </row>
    <row r="642" spans="2:22" s="300" customFormat="1" x14ac:dyDescent="0.25">
      <c r="B642" s="301" t="s">
        <v>25</v>
      </c>
      <c r="C642" s="302"/>
      <c r="D642" s="86" t="str">
        <f>INDEX(Cad_Natureza!$B$3:$C$52,MATCH('2026'!F642,Cad_Natureza!$C$3:$C$52,0),MATCH('2026'!D$2,Cad_Natureza!$B$3:$C$3,0))</f>
        <v>GAST1</v>
      </c>
      <c r="E642" s="84" t="s">
        <v>1820</v>
      </c>
      <c r="F642" s="85" t="s">
        <v>742</v>
      </c>
      <c r="G642" s="86" t="s">
        <v>25</v>
      </c>
      <c r="H642" s="87">
        <v>46188</v>
      </c>
      <c r="I642" s="87"/>
      <c r="J642" s="79" t="s">
        <v>1861</v>
      </c>
      <c r="K642" s="62">
        <v>-78.67</v>
      </c>
      <c r="L642" s="62">
        <f t="shared" si="135"/>
        <v>200.95000000000073</v>
      </c>
      <c r="M642" s="302"/>
      <c r="N642" s="44" t="str">
        <f t="shared" si="0"/>
        <v>MCSGAST1CPF - Desp. Lazer e Entretenimento - Bares</v>
      </c>
      <c r="O642" s="44" t="str">
        <f t="shared" si="1"/>
        <v>GAST1CPF - Desp. Lazer e Entretenimento - Bares</v>
      </c>
      <c r="P642" s="44" t="str">
        <f t="shared" si="2"/>
        <v>MCSGAST1CPF - Desp. Lazer e Entretenimento - Bares</v>
      </c>
      <c r="Q642" s="44" t="str">
        <f t="shared" si="3"/>
        <v>MCSGAST1</v>
      </c>
      <c r="R642" s="44" t="str">
        <f t="shared" si="4"/>
        <v>MCSGAST1</v>
      </c>
      <c r="S642" s="38"/>
      <c r="T642" s="304">
        <f t="shared" si="5"/>
        <v>46174</v>
      </c>
      <c r="U642" s="304" t="str">
        <f t="shared" si="6"/>
        <v/>
      </c>
      <c r="V642" s="300" t="s">
        <v>761</v>
      </c>
    </row>
    <row r="643" spans="2:22" s="300" customFormat="1" x14ac:dyDescent="0.25">
      <c r="B643" s="301" t="s">
        <v>25</v>
      </c>
      <c r="C643" s="302"/>
      <c r="D643" s="86" t="str">
        <f>INDEX(Cad_Natureza!$B$3:$C$52,MATCH('2026'!F643,Cad_Natureza!$C$3:$C$52,0),MATCH('2026'!D$2,Cad_Natureza!$B$3:$C$3,0))</f>
        <v>DESP4</v>
      </c>
      <c r="E643" s="84" t="s">
        <v>1821</v>
      </c>
      <c r="F643" s="85" t="s">
        <v>753</v>
      </c>
      <c r="G643" s="86" t="s">
        <v>25</v>
      </c>
      <c r="H643" s="87">
        <v>46188</v>
      </c>
      <c r="I643" s="87"/>
      <c r="J643" s="79" t="s">
        <v>1841</v>
      </c>
      <c r="K643" s="62">
        <v>-9</v>
      </c>
      <c r="L643" s="62">
        <f t="shared" si="135"/>
        <v>191.95000000000073</v>
      </c>
      <c r="M643" s="302"/>
      <c r="N643" s="44" t="str">
        <f t="shared" si="0"/>
        <v>MCSDESP4CPF - Desp. Moradia</v>
      </c>
      <c r="O643" s="44" t="str">
        <f t="shared" si="1"/>
        <v>DESP4CPF - Desp. Moradia</v>
      </c>
      <c r="P643" s="44" t="str">
        <f t="shared" si="2"/>
        <v>MCSDESP4CPF - Desp. Moradia</v>
      </c>
      <c r="Q643" s="44" t="str">
        <f t="shared" si="3"/>
        <v>MCSDESP4</v>
      </c>
      <c r="R643" s="44" t="str">
        <f t="shared" si="4"/>
        <v>MCSDESP4</v>
      </c>
      <c r="S643" s="38"/>
      <c r="T643" s="304">
        <f t="shared" si="5"/>
        <v>46174</v>
      </c>
      <c r="U643" s="304" t="str">
        <f t="shared" si="6"/>
        <v/>
      </c>
      <c r="V643" s="300" t="s">
        <v>731</v>
      </c>
    </row>
    <row r="644" spans="2:22" s="300" customFormat="1" x14ac:dyDescent="0.25">
      <c r="B644" s="301" t="s">
        <v>25</v>
      </c>
      <c r="C644" s="302"/>
      <c r="D644" s="86" t="str">
        <f>INDEX(Cad_Natureza!$B$3:$C$52,MATCH('2026'!F644,Cad_Natureza!$C$3:$C$52,0),MATCH('2026'!D$2,Cad_Natureza!$B$3:$C$3,0))</f>
        <v>OPF1</v>
      </c>
      <c r="E644" s="84" t="s">
        <v>1822</v>
      </c>
      <c r="F644" s="85" t="s">
        <v>744</v>
      </c>
      <c r="G644" s="86" t="s">
        <v>25</v>
      </c>
      <c r="H644" s="87">
        <v>46188</v>
      </c>
      <c r="I644" s="87"/>
      <c r="J644" s="79" t="s">
        <v>457</v>
      </c>
      <c r="K644" s="62">
        <v>-15</v>
      </c>
      <c r="L644" s="62">
        <f t="shared" ref="L644:L650" si="150">L643+K644</f>
        <v>176.95000000000073</v>
      </c>
      <c r="M644" s="302"/>
      <c r="N644" s="44" t="str">
        <f t="shared" si="0"/>
        <v>MCSOPF1CPF - Desp. Alimentação / Refeição</v>
      </c>
      <c r="O644" s="44" t="str">
        <f t="shared" si="1"/>
        <v>OPF1CPF - Desp. Alimentação / Refeição</v>
      </c>
      <c r="P644" s="44" t="str">
        <f t="shared" si="2"/>
        <v>MCSOPF1CPF - Desp. Alimentação / Refeição</v>
      </c>
      <c r="Q644" s="44" t="str">
        <f t="shared" si="3"/>
        <v>MCSOPF1</v>
      </c>
      <c r="R644" s="44" t="str">
        <f t="shared" si="4"/>
        <v>MCSOPF1</v>
      </c>
      <c r="S644" s="38"/>
      <c r="T644" s="304">
        <f t="shared" si="5"/>
        <v>46174</v>
      </c>
      <c r="U644" s="304" t="str">
        <f t="shared" si="6"/>
        <v/>
      </c>
      <c r="V644" s="300" t="s">
        <v>731</v>
      </c>
    </row>
    <row r="645" spans="2:22" s="300" customFormat="1" x14ac:dyDescent="0.25">
      <c r="B645" s="301" t="s">
        <v>25</v>
      </c>
      <c r="C645" s="302"/>
      <c r="D645" s="86" t="str">
        <f>INDEX(Cad_Natureza!$B$3:$C$52,MATCH('2026'!F645,Cad_Natureza!$C$3:$C$52,0),MATCH('2026'!D$2,Cad_Natureza!$B$3:$C$3,0))</f>
        <v>OPF1</v>
      </c>
      <c r="E645" s="84" t="s">
        <v>1823</v>
      </c>
      <c r="F645" s="85" t="s">
        <v>744</v>
      </c>
      <c r="G645" s="86" t="s">
        <v>25</v>
      </c>
      <c r="H645" s="87">
        <v>46188</v>
      </c>
      <c r="I645" s="87"/>
      <c r="J645" s="79" t="s">
        <v>182</v>
      </c>
      <c r="K645" s="62">
        <v>-24</v>
      </c>
      <c r="L645" s="62">
        <f t="shared" si="150"/>
        <v>152.95000000000073</v>
      </c>
      <c r="M645" s="302"/>
      <c r="N645" s="44" t="str">
        <f t="shared" si="0"/>
        <v>MCSOPF1CPF - Desp. Alimentação / Refeição</v>
      </c>
      <c r="O645" s="44" t="str">
        <f t="shared" si="1"/>
        <v>OPF1CPF - Desp. Alimentação / Refeição</v>
      </c>
      <c r="P645" s="44" t="str">
        <f t="shared" si="2"/>
        <v>MCSOPF1CPF - Desp. Alimentação / Refeição</v>
      </c>
      <c r="Q645" s="44" t="str">
        <f t="shared" si="3"/>
        <v>MCSOPF1</v>
      </c>
      <c r="R645" s="44" t="str">
        <f t="shared" si="4"/>
        <v>MCSOPF1</v>
      </c>
      <c r="S645" s="38"/>
      <c r="T645" s="304">
        <f t="shared" si="5"/>
        <v>46174</v>
      </c>
      <c r="U645" s="304" t="str">
        <f t="shared" si="6"/>
        <v/>
      </c>
      <c r="V645" s="300" t="s">
        <v>761</v>
      </c>
    </row>
    <row r="646" spans="2:22" s="300" customFormat="1" x14ac:dyDescent="0.25">
      <c r="B646" s="301" t="s">
        <v>25</v>
      </c>
      <c r="C646" s="302"/>
      <c r="D646" s="86" t="str">
        <f>INDEX(Cad_Natureza!$B$3:$C$52,MATCH('2026'!F646,Cad_Natureza!$C$3:$C$52,0),MATCH('2026'!D$2,Cad_Natureza!$B$3:$C$3,0))</f>
        <v>PENS6</v>
      </c>
      <c r="E646" s="84" t="s">
        <v>1824</v>
      </c>
      <c r="F646" s="85" t="s">
        <v>37</v>
      </c>
      <c r="G646" s="86" t="s">
        <v>25</v>
      </c>
      <c r="H646" s="87">
        <v>46188</v>
      </c>
      <c r="I646" s="87"/>
      <c r="J646" s="78" t="s">
        <v>37</v>
      </c>
      <c r="K646" s="62">
        <v>-35.93</v>
      </c>
      <c r="L646" s="62">
        <f t="shared" si="150"/>
        <v>117.02000000000072</v>
      </c>
      <c r="M646" s="302"/>
      <c r="N646" s="44" t="str">
        <f t="shared" si="0"/>
        <v>MCSPENS6CPF - Pensão - Farmácia e Saúde</v>
      </c>
      <c r="O646" s="44" t="str">
        <f t="shared" si="1"/>
        <v>PENS6CPF - Pensão - Farmácia e Saúde</v>
      </c>
      <c r="P646" s="44" t="str">
        <f t="shared" si="2"/>
        <v>MCSPENS6CPF - Pensão - Farmácia e Saúde</v>
      </c>
      <c r="Q646" s="44" t="str">
        <f t="shared" si="3"/>
        <v>MCSPENS6</v>
      </c>
      <c r="R646" s="44" t="str">
        <f t="shared" si="4"/>
        <v>MCSPENS6</v>
      </c>
      <c r="S646" s="38"/>
      <c r="T646" s="304">
        <f t="shared" si="5"/>
        <v>46174</v>
      </c>
      <c r="U646" s="304" t="str">
        <f t="shared" si="6"/>
        <v/>
      </c>
      <c r="V646" s="300" t="s">
        <v>761</v>
      </c>
    </row>
    <row r="647" spans="2:22" s="300" customFormat="1" x14ac:dyDescent="0.25">
      <c r="B647" s="301" t="s">
        <v>25</v>
      </c>
      <c r="C647" s="302"/>
      <c r="D647" s="86" t="str">
        <f>INDEX(Cad_Natureza!$B$3:$C$52,MATCH('2026'!F647,Cad_Natureza!$C$3:$C$52,0),MATCH('2026'!D$2,Cad_Natureza!$B$3:$C$3,0))</f>
        <v>DESP4</v>
      </c>
      <c r="E647" s="84" t="s">
        <v>1825</v>
      </c>
      <c r="F647" s="85" t="s">
        <v>753</v>
      </c>
      <c r="G647" s="86" t="s">
        <v>25</v>
      </c>
      <c r="H647" s="87">
        <v>46188</v>
      </c>
      <c r="I647" s="87"/>
      <c r="J647" s="79" t="s">
        <v>1841</v>
      </c>
      <c r="K647" s="62">
        <v>-15</v>
      </c>
      <c r="L647" s="62">
        <f t="shared" si="150"/>
        <v>102.02000000000072</v>
      </c>
      <c r="M647" s="302"/>
      <c r="N647" s="44" t="str">
        <f t="shared" si="0"/>
        <v>MCSDESP4CPF - Desp. Moradia</v>
      </c>
      <c r="O647" s="44" t="str">
        <f t="shared" si="1"/>
        <v>DESP4CPF - Desp. Moradia</v>
      </c>
      <c r="P647" s="44" t="str">
        <f t="shared" si="2"/>
        <v>MCSDESP4CPF - Desp. Moradia</v>
      </c>
      <c r="Q647" s="44" t="str">
        <f t="shared" si="3"/>
        <v>MCSDESP4</v>
      </c>
      <c r="R647" s="44" t="str">
        <f t="shared" si="4"/>
        <v>MCSDESP4</v>
      </c>
      <c r="S647" s="38"/>
      <c r="T647" s="304">
        <f t="shared" si="5"/>
        <v>46174</v>
      </c>
      <c r="U647" s="304" t="str">
        <f t="shared" si="6"/>
        <v/>
      </c>
      <c r="V647" s="300" t="s">
        <v>761</v>
      </c>
    </row>
    <row r="648" spans="2:22" s="300" customFormat="1" x14ac:dyDescent="0.25">
      <c r="B648" s="301" t="s">
        <v>25</v>
      </c>
      <c r="C648" s="302"/>
      <c r="D648" s="86" t="str">
        <f>INDEX(Cad_Natureza!$B$3:$C$52,MATCH('2026'!F648,Cad_Natureza!$C$3:$C$52,0),MATCH('2026'!D$2,Cad_Natureza!$B$3:$C$3,0))</f>
        <v>DESP3</v>
      </c>
      <c r="E648" s="84" t="s">
        <v>1826</v>
      </c>
      <c r="F648" s="85" t="s">
        <v>736</v>
      </c>
      <c r="G648" s="86" t="s">
        <v>25</v>
      </c>
      <c r="H648" s="87">
        <v>46188</v>
      </c>
      <c r="I648" s="87"/>
      <c r="J648" s="79" t="s">
        <v>1864</v>
      </c>
      <c r="K648" s="62">
        <v>-15</v>
      </c>
      <c r="L648" s="62">
        <f t="shared" si="150"/>
        <v>87.020000000000721</v>
      </c>
      <c r="M648" s="302"/>
      <c r="N648" s="44" t="str">
        <f t="shared" ref="N648:N654" si="151">B648&amp;D648&amp;F648</f>
        <v xml:space="preserve">MCSDESP3CPF - Desp. com veículo - Manut. / Gastos </v>
      </c>
      <c r="O648" s="44" t="str">
        <f t="shared" ref="O648:O654" si="152">D648&amp;F648</f>
        <v xml:space="preserve">DESP3CPF - Desp. com veículo - Manut. / Gastos </v>
      </c>
      <c r="P648" s="44" t="str">
        <f t="shared" ref="P648:P654" si="153">"MCS"&amp;D648&amp;F648</f>
        <v xml:space="preserve">MCSDESP3CPF - Desp. com veículo - Manut. / Gastos </v>
      </c>
      <c r="Q648" s="44" t="str">
        <f t="shared" ref="Q648:Q654" si="154">"MCS"&amp;D648</f>
        <v>MCSDESP3</v>
      </c>
      <c r="R648" s="44" t="str">
        <f t="shared" ref="R648:R654" si="155">B648&amp;D648</f>
        <v>MCSDESP3</v>
      </c>
      <c r="S648" s="38"/>
      <c r="T648" s="304">
        <f t="shared" ref="T648:T654" si="156">(1&amp;"/"&amp;MONTH(H648)&amp;"/"&amp;YEAR(H648))*1</f>
        <v>46174</v>
      </c>
      <c r="U648" s="304" t="str">
        <f t="shared" ref="U648:U654" si="157">IF(I648="","",(1&amp;"/"&amp;MONTH(I648)&amp;"/"&amp;YEAR(I648))*1)</f>
        <v/>
      </c>
      <c r="V648" s="300" t="s">
        <v>761</v>
      </c>
    </row>
    <row r="649" spans="2:22" s="291" customFormat="1" x14ac:dyDescent="0.25">
      <c r="B649" s="288" t="s">
        <v>25</v>
      </c>
      <c r="C649" s="83"/>
      <c r="D649" s="63" t="str">
        <f>INDEX(Cad_Natureza!$B$3:$C$52,MATCH('2026'!F649,Cad_Natureza!$C$3:$C$52,0),MATCH('2026'!D$2,Cad_Natureza!$B$3:$C$3,0))</f>
        <v>REC4</v>
      </c>
      <c r="E649" s="64" t="s">
        <v>1862</v>
      </c>
      <c r="F649" s="65" t="s">
        <v>734</v>
      </c>
      <c r="G649" s="63" t="s">
        <v>25</v>
      </c>
      <c r="H649" s="66">
        <v>46188</v>
      </c>
      <c r="I649" s="66"/>
      <c r="J649" s="67" t="s">
        <v>183</v>
      </c>
      <c r="K649" s="68">
        <v>1000</v>
      </c>
      <c r="L649" s="68">
        <f t="shared" si="150"/>
        <v>1087.0200000000007</v>
      </c>
      <c r="M649" s="83"/>
      <c r="N649" s="44" t="str">
        <f t="shared" si="151"/>
        <v>MCSREC4CPF - Transf. Da conta PJ para a conta PF</v>
      </c>
      <c r="O649" s="44" t="str">
        <f t="shared" si="152"/>
        <v>REC4CPF - Transf. Da conta PJ para a conta PF</v>
      </c>
      <c r="P649" s="44" t="str">
        <f t="shared" si="153"/>
        <v>MCSREC4CPF - Transf. Da conta PJ para a conta PF</v>
      </c>
      <c r="Q649" s="44" t="str">
        <f t="shared" si="154"/>
        <v>MCSREC4</v>
      </c>
      <c r="R649" s="44" t="str">
        <f t="shared" si="155"/>
        <v>MCSREC4</v>
      </c>
      <c r="S649" s="38"/>
      <c r="T649" s="290">
        <f t="shared" si="156"/>
        <v>46174</v>
      </c>
      <c r="U649" s="290" t="str">
        <f t="shared" si="157"/>
        <v/>
      </c>
      <c r="V649" s="291" t="s">
        <v>761</v>
      </c>
    </row>
    <row r="650" spans="2:22" s="300" customFormat="1" x14ac:dyDescent="0.25">
      <c r="B650" s="301" t="s">
        <v>25</v>
      </c>
      <c r="C650" s="302"/>
      <c r="D650" s="86" t="str">
        <f>INDEX(Cad_Natureza!$B$3:$C$52,MATCH('2026'!F650,Cad_Natureza!$C$3:$C$52,0),MATCH('2026'!D$2,Cad_Natureza!$B$3:$C$3,0))</f>
        <v>PENS2</v>
      </c>
      <c r="E650" s="84" t="s">
        <v>1863</v>
      </c>
      <c r="F650" s="85" t="s">
        <v>715</v>
      </c>
      <c r="G650" s="86" t="s">
        <v>25</v>
      </c>
      <c r="H650" s="87">
        <v>46188</v>
      </c>
      <c r="I650" s="87"/>
      <c r="J650" s="78" t="s">
        <v>1607</v>
      </c>
      <c r="K650" s="62">
        <v>-490.89</v>
      </c>
      <c r="L650" s="62">
        <f t="shared" si="150"/>
        <v>596.13000000000068</v>
      </c>
      <c r="M650" s="302"/>
      <c r="N650" s="44" t="str">
        <f t="shared" si="151"/>
        <v>MCSPENS2CPF - Pensão - Energia</v>
      </c>
      <c r="O650" s="44" t="str">
        <f t="shared" si="152"/>
        <v>PENS2CPF - Pensão - Energia</v>
      </c>
      <c r="P650" s="44" t="str">
        <f t="shared" si="153"/>
        <v>MCSPENS2CPF - Pensão - Energia</v>
      </c>
      <c r="Q650" s="44" t="str">
        <f t="shared" si="154"/>
        <v>MCSPENS2</v>
      </c>
      <c r="R650" s="44" t="str">
        <f t="shared" si="155"/>
        <v>MCSPENS2</v>
      </c>
      <c r="S650" s="38"/>
      <c r="T650" s="304">
        <f t="shared" si="156"/>
        <v>46174</v>
      </c>
      <c r="U650" s="304" t="str">
        <f t="shared" si="157"/>
        <v/>
      </c>
      <c r="V650" s="300" t="s">
        <v>731</v>
      </c>
    </row>
    <row r="651" spans="2:22" s="46" customFormat="1" x14ac:dyDescent="0.25">
      <c r="B651" s="37" t="s">
        <v>25</v>
      </c>
      <c r="C651" s="38"/>
      <c r="D651" s="39" t="e">
        <f>INDEX(Cad_Natureza!$B$3:$C$52,MATCH('2026'!F651,Cad_Natureza!$C$3:$C$52,0),MATCH('2026'!D$2,Cad_Natureza!$B$3:$C$3,0))</f>
        <v>#N/A</v>
      </c>
      <c r="E651" s="40"/>
      <c r="F651" s="41"/>
      <c r="G651" s="39" t="s">
        <v>25</v>
      </c>
      <c r="H651" s="42"/>
      <c r="I651" s="42"/>
      <c r="J651" s="43"/>
      <c r="K651" s="19"/>
      <c r="L651" s="19"/>
      <c r="M651" s="38"/>
      <c r="N651" s="44" t="e">
        <f t="shared" si="151"/>
        <v>#N/A</v>
      </c>
      <c r="O651" s="44" t="e">
        <f t="shared" si="152"/>
        <v>#N/A</v>
      </c>
      <c r="P651" s="44" t="e">
        <f t="shared" si="153"/>
        <v>#N/A</v>
      </c>
      <c r="Q651" s="44" t="e">
        <f t="shared" si="154"/>
        <v>#N/A</v>
      </c>
      <c r="R651" s="44" t="e">
        <f t="shared" si="155"/>
        <v>#N/A</v>
      </c>
      <c r="S651" s="38"/>
      <c r="T651" s="45">
        <f t="shared" si="156"/>
        <v>1</v>
      </c>
      <c r="U651" s="45" t="str">
        <f t="shared" si="157"/>
        <v/>
      </c>
      <c r="V651" s="46" t="s">
        <v>731</v>
      </c>
    </row>
    <row r="652" spans="2:22" s="46" customFormat="1" x14ac:dyDescent="0.25">
      <c r="B652" s="37" t="s">
        <v>25</v>
      </c>
      <c r="C652" s="38"/>
      <c r="D652" s="39" t="e">
        <f>INDEX(Cad_Natureza!$B$3:$C$52,MATCH('2026'!F652,Cad_Natureza!$C$3:$C$52,0),MATCH('2026'!D$2,Cad_Natureza!$B$3:$C$3,0))</f>
        <v>#N/A</v>
      </c>
      <c r="E652" s="40"/>
      <c r="F652" s="41"/>
      <c r="G652" s="39" t="s">
        <v>25</v>
      </c>
      <c r="H652" s="42"/>
      <c r="I652" s="42"/>
      <c r="J652" s="43"/>
      <c r="K652" s="19"/>
      <c r="L652" s="19"/>
      <c r="M652" s="38"/>
      <c r="N652" s="44" t="e">
        <f t="shared" si="151"/>
        <v>#N/A</v>
      </c>
      <c r="O652" s="44" t="e">
        <f t="shared" si="152"/>
        <v>#N/A</v>
      </c>
      <c r="P652" s="44" t="e">
        <f t="shared" si="153"/>
        <v>#N/A</v>
      </c>
      <c r="Q652" s="44" t="e">
        <f t="shared" si="154"/>
        <v>#N/A</v>
      </c>
      <c r="R652" s="44" t="e">
        <f t="shared" si="155"/>
        <v>#N/A</v>
      </c>
      <c r="S652" s="38"/>
      <c r="T652" s="45">
        <f t="shared" si="156"/>
        <v>1</v>
      </c>
      <c r="U652" s="45" t="str">
        <f t="shared" si="157"/>
        <v/>
      </c>
      <c r="V652" s="46" t="s">
        <v>761</v>
      </c>
    </row>
    <row r="653" spans="2:22" s="46" customFormat="1" x14ac:dyDescent="0.25">
      <c r="B653" s="37" t="s">
        <v>25</v>
      </c>
      <c r="C653" s="38"/>
      <c r="D653" s="39" t="e">
        <f>INDEX(Cad_Natureza!$B$3:$C$52,MATCH('2026'!F653,Cad_Natureza!$C$3:$C$52,0),MATCH('2026'!D$2,Cad_Natureza!$B$3:$C$3,0))</f>
        <v>#N/A</v>
      </c>
      <c r="E653" s="40"/>
      <c r="F653" s="41"/>
      <c r="G653" s="39" t="s">
        <v>25</v>
      </c>
      <c r="H653" s="42"/>
      <c r="I653" s="42"/>
      <c r="J653" s="43"/>
      <c r="K653" s="19"/>
      <c r="L653" s="19"/>
      <c r="M653" s="38"/>
      <c r="N653" s="44" t="e">
        <f t="shared" si="151"/>
        <v>#N/A</v>
      </c>
      <c r="O653" s="44" t="e">
        <f t="shared" si="152"/>
        <v>#N/A</v>
      </c>
      <c r="P653" s="44" t="e">
        <f t="shared" si="153"/>
        <v>#N/A</v>
      </c>
      <c r="Q653" s="44" t="e">
        <f t="shared" si="154"/>
        <v>#N/A</v>
      </c>
      <c r="R653" s="44" t="e">
        <f t="shared" si="155"/>
        <v>#N/A</v>
      </c>
      <c r="S653" s="38"/>
      <c r="T653" s="45">
        <f t="shared" si="156"/>
        <v>1</v>
      </c>
      <c r="U653" s="45" t="str">
        <f t="shared" si="157"/>
        <v/>
      </c>
      <c r="V653" s="46" t="s">
        <v>761</v>
      </c>
    </row>
    <row r="654" spans="2:22" s="46" customFormat="1" x14ac:dyDescent="0.25">
      <c r="B654" s="37" t="s">
        <v>25</v>
      </c>
      <c r="C654" s="38"/>
      <c r="D654" s="39" t="e">
        <f>INDEX(Cad_Natureza!$B$3:$C$52,MATCH('2026'!F654,Cad_Natureza!$C$3:$C$52,0),MATCH('2026'!D$2,Cad_Natureza!$B$3:$C$3,0))</f>
        <v>#N/A</v>
      </c>
      <c r="E654" s="40"/>
      <c r="F654" s="41"/>
      <c r="G654" s="39" t="s">
        <v>25</v>
      </c>
      <c r="H654" s="42"/>
      <c r="I654" s="42"/>
      <c r="J654" s="43"/>
      <c r="K654" s="19"/>
      <c r="L654" s="19"/>
      <c r="M654" s="38"/>
      <c r="N654" s="44" t="e">
        <f t="shared" si="151"/>
        <v>#N/A</v>
      </c>
      <c r="O654" s="44" t="e">
        <f t="shared" si="152"/>
        <v>#N/A</v>
      </c>
      <c r="P654" s="44" t="e">
        <f t="shared" si="153"/>
        <v>#N/A</v>
      </c>
      <c r="Q654" s="44" t="e">
        <f t="shared" si="154"/>
        <v>#N/A</v>
      </c>
      <c r="R654" s="44" t="e">
        <f t="shared" si="155"/>
        <v>#N/A</v>
      </c>
      <c r="S654" s="38"/>
      <c r="T654" s="45">
        <f t="shared" si="156"/>
        <v>1</v>
      </c>
      <c r="U654" s="45" t="str">
        <f t="shared" si="157"/>
        <v/>
      </c>
      <c r="V654" s="46" t="s">
        <v>761</v>
      </c>
    </row>
    <row r="655" spans="2:22" s="46" customFormat="1" x14ac:dyDescent="0.25">
      <c r="B655" s="37" t="s">
        <v>25</v>
      </c>
      <c r="C655" s="38"/>
      <c r="D655" s="39" t="e">
        <f>INDEX(Cad_Natureza!$B$3:$C$52,MATCH('2026'!F655,Cad_Natureza!$C$3:$C$52,0),MATCH('2026'!D$2,Cad_Natureza!$B$3:$C$3,0))</f>
        <v>#N/A</v>
      </c>
      <c r="E655" s="40"/>
      <c r="F655" s="41"/>
      <c r="G655" s="39" t="s">
        <v>25</v>
      </c>
      <c r="H655" s="42"/>
      <c r="I655" s="42"/>
      <c r="J655" s="43"/>
      <c r="K655" s="19"/>
      <c r="L655" s="19"/>
      <c r="M655" s="38"/>
      <c r="N655" s="44" t="e">
        <f t="shared" si="0"/>
        <v>#N/A</v>
      </c>
      <c r="O655" s="44" t="e">
        <f t="shared" si="1"/>
        <v>#N/A</v>
      </c>
      <c r="P655" s="44" t="e">
        <f t="shared" si="2"/>
        <v>#N/A</v>
      </c>
      <c r="Q655" s="44" t="e">
        <f t="shared" si="3"/>
        <v>#N/A</v>
      </c>
      <c r="R655" s="44" t="e">
        <f t="shared" si="4"/>
        <v>#N/A</v>
      </c>
      <c r="S655" s="38"/>
      <c r="T655" s="45">
        <f t="shared" si="5"/>
        <v>1</v>
      </c>
      <c r="U655" s="45" t="str">
        <f t="shared" si="6"/>
        <v/>
      </c>
      <c r="V655" s="46" t="s">
        <v>761</v>
      </c>
    </row>
    <row r="656" spans="2:22" s="46" customFormat="1" x14ac:dyDescent="0.25">
      <c r="B656" s="37" t="s">
        <v>25</v>
      </c>
      <c r="C656" s="38"/>
      <c r="D656" s="39" t="e">
        <f>INDEX(Cad_Natureza!$B$3:$C$52,MATCH('2026'!F656,Cad_Natureza!$C$3:$C$52,0),MATCH('2026'!D$2,Cad_Natureza!$B$3:$C$3,0))</f>
        <v>#N/A</v>
      </c>
      <c r="E656" s="40"/>
      <c r="F656" s="41"/>
      <c r="G656" s="39" t="s">
        <v>25</v>
      </c>
      <c r="H656" s="42"/>
      <c r="I656" s="42"/>
      <c r="J656" s="43"/>
      <c r="K656" s="19"/>
      <c r="L656" s="19"/>
      <c r="M656" s="38"/>
      <c r="N656" s="44" t="e">
        <f t="shared" si="0"/>
        <v>#N/A</v>
      </c>
      <c r="O656" s="44" t="e">
        <f t="shared" si="1"/>
        <v>#N/A</v>
      </c>
      <c r="P656" s="44" t="e">
        <f t="shared" si="2"/>
        <v>#N/A</v>
      </c>
      <c r="Q656" s="44" t="e">
        <f t="shared" si="3"/>
        <v>#N/A</v>
      </c>
      <c r="R656" s="44" t="e">
        <f t="shared" si="4"/>
        <v>#N/A</v>
      </c>
      <c r="S656" s="38"/>
      <c r="T656" s="45">
        <f t="shared" si="5"/>
        <v>1</v>
      </c>
      <c r="U656" s="45" t="str">
        <f t="shared" si="6"/>
        <v/>
      </c>
      <c r="V656" s="46" t="s">
        <v>761</v>
      </c>
    </row>
    <row r="657" spans="1:22" s="46" customFormat="1" x14ac:dyDescent="0.25">
      <c r="B657" s="37" t="s">
        <v>25</v>
      </c>
      <c r="C657" s="38"/>
      <c r="D657" s="39" t="e">
        <f>INDEX(Cad_Natureza!$B$3:$C$52,MATCH('2026'!F657,Cad_Natureza!$C$3:$C$52,0),MATCH('2026'!D$2,Cad_Natureza!$B$3:$C$3,0))</f>
        <v>#N/A</v>
      </c>
      <c r="E657" s="40"/>
      <c r="F657" s="41"/>
      <c r="G657" s="39" t="s">
        <v>25</v>
      </c>
      <c r="H657" s="42"/>
      <c r="I657" s="42"/>
      <c r="J657" s="79" t="s">
        <v>1130</v>
      </c>
      <c r="K657" s="62">
        <f t="shared" ref="K657:K661" si="158">-5000*6%</f>
        <v>-300</v>
      </c>
      <c r="L657" s="19"/>
      <c r="M657" s="38"/>
      <c r="N657" s="44" t="e">
        <f t="shared" si="0"/>
        <v>#N/A</v>
      </c>
      <c r="O657" s="44" t="e">
        <f t="shared" si="1"/>
        <v>#N/A</v>
      </c>
      <c r="P657" s="44" t="e">
        <f t="shared" si="2"/>
        <v>#N/A</v>
      </c>
      <c r="Q657" s="44" t="e">
        <f t="shared" si="3"/>
        <v>#N/A</v>
      </c>
      <c r="R657" s="44" t="e">
        <f t="shared" si="4"/>
        <v>#N/A</v>
      </c>
      <c r="S657" s="38"/>
      <c r="T657" s="45">
        <f t="shared" si="5"/>
        <v>1</v>
      </c>
      <c r="U657" s="45" t="str">
        <f t="shared" si="6"/>
        <v/>
      </c>
      <c r="V657" s="46" t="s">
        <v>731</v>
      </c>
    </row>
    <row r="658" spans="1:22" s="46" customFormat="1" x14ac:dyDescent="0.25">
      <c r="B658" s="37" t="s">
        <v>25</v>
      </c>
      <c r="C658" s="38"/>
      <c r="D658" s="39" t="e">
        <f>INDEX(Cad_Natureza!$B$3:$C$52,MATCH('2026'!F658,Cad_Natureza!$C$3:$C$52,0),MATCH('2026'!D$2,Cad_Natureza!$B$3:$C$3,0))</f>
        <v>#N/A</v>
      </c>
      <c r="E658" s="40"/>
      <c r="F658" s="41"/>
      <c r="G658" s="39" t="s">
        <v>25</v>
      </c>
      <c r="H658" s="42"/>
      <c r="I658" s="42"/>
      <c r="J658" s="79" t="s">
        <v>1131</v>
      </c>
      <c r="K658" s="62">
        <f t="shared" si="158"/>
        <v>-300</v>
      </c>
      <c r="L658" s="19"/>
      <c r="M658" s="38"/>
      <c r="N658" s="44" t="e">
        <f t="shared" si="0"/>
        <v>#N/A</v>
      </c>
      <c r="O658" s="44" t="e">
        <f t="shared" si="1"/>
        <v>#N/A</v>
      </c>
      <c r="P658" s="44" t="e">
        <f t="shared" si="2"/>
        <v>#N/A</v>
      </c>
      <c r="Q658" s="44" t="e">
        <f t="shared" si="3"/>
        <v>#N/A</v>
      </c>
      <c r="R658" s="44" t="e">
        <f t="shared" si="4"/>
        <v>#N/A</v>
      </c>
      <c r="S658" s="38"/>
      <c r="T658" s="45">
        <f t="shared" si="5"/>
        <v>1</v>
      </c>
      <c r="U658" s="45" t="str">
        <f t="shared" si="6"/>
        <v/>
      </c>
      <c r="V658" s="46" t="s">
        <v>731</v>
      </c>
    </row>
    <row r="659" spans="1:22" s="46" customFormat="1" x14ac:dyDescent="0.25">
      <c r="B659" s="37" t="s">
        <v>25</v>
      </c>
      <c r="C659" s="38"/>
      <c r="D659" s="39" t="e">
        <f>INDEX(Cad_Natureza!$B$3:$C$52,MATCH('2026'!F659,Cad_Natureza!$C$3:$C$52,0),MATCH('2026'!D$2,Cad_Natureza!$B$3:$C$3,0))</f>
        <v>#N/A</v>
      </c>
      <c r="E659" s="40"/>
      <c r="F659" s="41"/>
      <c r="G659" s="39" t="s">
        <v>25</v>
      </c>
      <c r="H659" s="42"/>
      <c r="I659" s="42"/>
      <c r="J659" s="79" t="s">
        <v>1132</v>
      </c>
      <c r="K659" s="62">
        <f t="shared" si="158"/>
        <v>-300</v>
      </c>
      <c r="L659" s="19"/>
      <c r="M659" s="38"/>
      <c r="N659" s="44" t="e">
        <f t="shared" si="0"/>
        <v>#N/A</v>
      </c>
      <c r="O659" s="44" t="e">
        <f t="shared" si="1"/>
        <v>#N/A</v>
      </c>
      <c r="P659" s="44" t="e">
        <f t="shared" si="2"/>
        <v>#N/A</v>
      </c>
      <c r="Q659" s="44" t="e">
        <f t="shared" si="3"/>
        <v>#N/A</v>
      </c>
      <c r="R659" s="44" t="e">
        <f t="shared" si="4"/>
        <v>#N/A</v>
      </c>
      <c r="S659" s="38"/>
      <c r="T659" s="45">
        <f t="shared" si="5"/>
        <v>1</v>
      </c>
      <c r="U659" s="45" t="str">
        <f t="shared" si="6"/>
        <v/>
      </c>
      <c r="V659" s="46" t="s">
        <v>761</v>
      </c>
    </row>
    <row r="660" spans="1:22" s="46" customFormat="1" x14ac:dyDescent="0.25">
      <c r="B660" s="37" t="s">
        <v>25</v>
      </c>
      <c r="C660" s="38"/>
      <c r="D660" s="39" t="e">
        <f>INDEX(Cad_Natureza!$B$3:$C$52,MATCH('2026'!F660,Cad_Natureza!$C$3:$C$52,0),MATCH('2026'!D$2,Cad_Natureza!$B$3:$C$3,0))</f>
        <v>#N/A</v>
      </c>
      <c r="E660" s="40"/>
      <c r="F660" s="41"/>
      <c r="G660" s="39" t="s">
        <v>25</v>
      </c>
      <c r="H660" s="42"/>
      <c r="I660" s="42"/>
      <c r="J660" s="79" t="s">
        <v>1133</v>
      </c>
      <c r="K660" s="62">
        <f t="shared" si="158"/>
        <v>-300</v>
      </c>
      <c r="L660" s="19"/>
      <c r="M660" s="38"/>
      <c r="N660" s="44" t="e">
        <f t="shared" si="0"/>
        <v>#N/A</v>
      </c>
      <c r="O660" s="44" t="e">
        <f t="shared" si="1"/>
        <v>#N/A</v>
      </c>
      <c r="P660" s="44" t="e">
        <f t="shared" si="2"/>
        <v>#N/A</v>
      </c>
      <c r="Q660" s="44" t="e">
        <f t="shared" si="3"/>
        <v>#N/A</v>
      </c>
      <c r="R660" s="44" t="e">
        <f t="shared" si="4"/>
        <v>#N/A</v>
      </c>
      <c r="S660" s="38"/>
      <c r="T660" s="45">
        <f t="shared" si="5"/>
        <v>1</v>
      </c>
      <c r="U660" s="45" t="str">
        <f t="shared" si="6"/>
        <v/>
      </c>
      <c r="V660" s="46" t="s">
        <v>761</v>
      </c>
    </row>
    <row r="661" spans="1:22" s="46" customFormat="1" x14ac:dyDescent="0.25">
      <c r="B661" s="37" t="s">
        <v>25</v>
      </c>
      <c r="C661" s="38"/>
      <c r="D661" s="39" t="e">
        <f>INDEX(Cad_Natureza!$B$3:$C$52,MATCH('2026'!F661,Cad_Natureza!$C$3:$C$52,0),MATCH('2026'!D$2,Cad_Natureza!$B$3:$C$3,0))</f>
        <v>#N/A</v>
      </c>
      <c r="E661" s="40"/>
      <c r="F661" s="41"/>
      <c r="G661" s="39" t="s">
        <v>25</v>
      </c>
      <c r="H661" s="42"/>
      <c r="I661" s="42"/>
      <c r="J661" s="79" t="s">
        <v>1866</v>
      </c>
      <c r="K661" s="62">
        <f t="shared" si="158"/>
        <v>-300</v>
      </c>
      <c r="L661" s="19"/>
      <c r="M661" s="38"/>
      <c r="N661" s="44" t="e">
        <f t="shared" ref="N661:N662" si="159">B661&amp;D661&amp;F661</f>
        <v>#N/A</v>
      </c>
      <c r="O661" s="44" t="e">
        <f t="shared" ref="O661:O662" si="160">D661&amp;F661</f>
        <v>#N/A</v>
      </c>
      <c r="P661" s="44" t="e">
        <f t="shared" ref="P661:P662" si="161">"MCS"&amp;D661&amp;F661</f>
        <v>#N/A</v>
      </c>
      <c r="Q661" s="44" t="e">
        <f t="shared" ref="Q661:Q662" si="162">"MCS"&amp;D661</f>
        <v>#N/A</v>
      </c>
      <c r="R661" s="44" t="e">
        <f t="shared" ref="R661:R662" si="163">B661&amp;D661</f>
        <v>#N/A</v>
      </c>
      <c r="S661" s="38"/>
      <c r="T661" s="45">
        <f t="shared" ref="T661:T662" si="164">(1&amp;"/"&amp;MONTH(H661)&amp;"/"&amp;YEAR(H661))*1</f>
        <v>1</v>
      </c>
      <c r="U661" s="45" t="str">
        <f t="shared" ref="U661:U662" si="165">IF(I661="","",(1&amp;"/"&amp;MONTH(I661)&amp;"/"&amp;YEAR(I661))*1)</f>
        <v/>
      </c>
      <c r="V661" s="46" t="s">
        <v>761</v>
      </c>
    </row>
    <row r="662" spans="1:22" s="300" customFormat="1" x14ac:dyDescent="0.25">
      <c r="B662" s="301" t="s">
        <v>25</v>
      </c>
      <c r="C662" s="302"/>
      <c r="D662" s="86" t="e">
        <f>INDEX(Cad_Natureza!$B$3:$C$52,MATCH('2026'!F662,Cad_Natureza!$C$3:$C$52,0),MATCH('2026'!D$2,Cad_Natureza!$B$3:$C$3,0))</f>
        <v>#N/A</v>
      </c>
      <c r="E662" s="84"/>
      <c r="F662" s="85"/>
      <c r="G662" s="86" t="s">
        <v>25</v>
      </c>
      <c r="H662" s="87"/>
      <c r="I662" s="87"/>
      <c r="J662" s="79" t="s">
        <v>1867</v>
      </c>
      <c r="K662" s="62">
        <f>-1500*6%</f>
        <v>-90</v>
      </c>
      <c r="L662" s="62"/>
      <c r="M662" s="302"/>
      <c r="N662" s="44" t="e">
        <f t="shared" si="159"/>
        <v>#N/A</v>
      </c>
      <c r="O662" s="44" t="e">
        <f t="shared" si="160"/>
        <v>#N/A</v>
      </c>
      <c r="P662" s="44" t="e">
        <f t="shared" si="161"/>
        <v>#N/A</v>
      </c>
      <c r="Q662" s="44" t="e">
        <f t="shared" si="162"/>
        <v>#N/A</v>
      </c>
      <c r="R662" s="44" t="e">
        <f t="shared" si="163"/>
        <v>#N/A</v>
      </c>
      <c r="S662" s="38"/>
      <c r="T662" s="304">
        <f t="shared" si="164"/>
        <v>1</v>
      </c>
      <c r="U662" s="304" t="str">
        <f t="shared" si="165"/>
        <v/>
      </c>
      <c r="V662" s="300" t="s">
        <v>761</v>
      </c>
    </row>
    <row r="663" spans="1:22" s="300" customFormat="1" x14ac:dyDescent="0.25">
      <c r="B663" s="301" t="s">
        <v>25</v>
      </c>
      <c r="C663" s="302"/>
      <c r="D663" s="86"/>
      <c r="E663" s="84"/>
      <c r="F663" s="85"/>
      <c r="G663" s="86" t="s">
        <v>25</v>
      </c>
      <c r="H663" s="87"/>
      <c r="I663" s="87"/>
      <c r="J663" s="79" t="s">
        <v>1868</v>
      </c>
      <c r="K663" s="62">
        <f>-5000*6%</f>
        <v>-300</v>
      </c>
      <c r="L663" s="62"/>
      <c r="M663" s="302"/>
      <c r="N663" s="44" t="str">
        <f t="shared" ref="N663" si="166">B663&amp;D663&amp;F663</f>
        <v>MCS</v>
      </c>
      <c r="O663" s="44" t="str">
        <f t="shared" ref="O663" si="167">D663&amp;F663</f>
        <v/>
      </c>
      <c r="P663" s="44" t="str">
        <f t="shared" ref="P663" si="168">"MCS"&amp;D663&amp;F663</f>
        <v>MCS</v>
      </c>
      <c r="Q663" s="44" t="str">
        <f t="shared" ref="Q663" si="169">"MCS"&amp;D663</f>
        <v>MCS</v>
      </c>
      <c r="R663" s="44" t="str">
        <f t="shared" ref="R663" si="170">B663&amp;D663</f>
        <v>MCS</v>
      </c>
      <c r="S663" s="38"/>
      <c r="T663" s="304">
        <f t="shared" ref="T663" si="171">(1&amp;"/"&amp;MONTH(H663)&amp;"/"&amp;YEAR(H663))*1</f>
        <v>1</v>
      </c>
      <c r="U663" s="304" t="str">
        <f t="shared" ref="U663" si="172">IF(I663="","",(1&amp;"/"&amp;MONTH(I663)&amp;"/"&amp;YEAR(I663))*1)</f>
        <v/>
      </c>
    </row>
    <row r="664" spans="1:22" s="300" customFormat="1" x14ac:dyDescent="0.25">
      <c r="B664" s="301" t="s">
        <v>25</v>
      </c>
      <c r="C664" s="302"/>
      <c r="D664" s="86"/>
      <c r="E664" s="84"/>
      <c r="F664" s="85"/>
      <c r="G664" s="86" t="s">
        <v>25</v>
      </c>
      <c r="H664" s="87"/>
      <c r="I664" s="87"/>
      <c r="J664" s="79" t="s">
        <v>1869</v>
      </c>
      <c r="K664" s="62">
        <f>-5000*6%</f>
        <v>-300</v>
      </c>
      <c r="L664" s="62"/>
      <c r="M664" s="302"/>
      <c r="N664" s="44" t="str">
        <f t="shared" ref="N664" si="173">B664&amp;D664&amp;F664</f>
        <v>MCS</v>
      </c>
      <c r="O664" s="44" t="str">
        <f t="shared" ref="O664" si="174">D664&amp;F664</f>
        <v/>
      </c>
      <c r="P664" s="44" t="str">
        <f t="shared" ref="P664" si="175">"MCS"&amp;D664&amp;F664</f>
        <v>MCS</v>
      </c>
      <c r="Q664" s="44" t="str">
        <f t="shared" ref="Q664" si="176">"MCS"&amp;D664</f>
        <v>MCS</v>
      </c>
      <c r="R664" s="44" t="str">
        <f t="shared" ref="R664" si="177">B664&amp;D664</f>
        <v>MCS</v>
      </c>
      <c r="S664" s="38"/>
      <c r="T664" s="304">
        <f t="shared" ref="T664" si="178">(1&amp;"/"&amp;MONTH(H664)&amp;"/"&amp;YEAR(H664))*1</f>
        <v>1</v>
      </c>
      <c r="U664" s="304" t="str">
        <f t="shared" ref="U664:U665" si="179">IF(I664="","",(1&amp;"/"&amp;MONTH(I664)&amp;"/"&amp;YEAR(I664))*1)</f>
        <v/>
      </c>
    </row>
    <row r="665" spans="1:22" s="300" customFormat="1" x14ac:dyDescent="0.25">
      <c r="B665" s="301" t="s">
        <v>25</v>
      </c>
      <c r="C665" s="302"/>
      <c r="D665" s="86"/>
      <c r="E665" s="84"/>
      <c r="F665" s="85"/>
      <c r="G665" s="86" t="s">
        <v>25</v>
      </c>
      <c r="H665" s="87"/>
      <c r="I665" s="87"/>
      <c r="J665" s="79" t="s">
        <v>1870</v>
      </c>
      <c r="K665" s="62">
        <f>-5000*6%</f>
        <v>-300</v>
      </c>
      <c r="L665" s="62"/>
      <c r="M665" s="302"/>
      <c r="N665" s="44" t="str">
        <f t="shared" ref="N665" si="180">B665&amp;D665&amp;F665</f>
        <v>MCS</v>
      </c>
      <c r="O665" s="44" t="str">
        <f t="shared" ref="O665" si="181">D665&amp;F665</f>
        <v/>
      </c>
      <c r="P665" s="44" t="str">
        <f t="shared" ref="P665" si="182">"MCS"&amp;D665&amp;F665</f>
        <v>MCS</v>
      </c>
      <c r="Q665" s="44" t="str">
        <f t="shared" ref="Q665" si="183">"MCS"&amp;D665</f>
        <v>MCS</v>
      </c>
      <c r="R665" s="44" t="str">
        <f t="shared" ref="R665" si="184">B665&amp;D665</f>
        <v>MCS</v>
      </c>
      <c r="S665" s="38"/>
      <c r="T665" s="304">
        <f t="shared" ref="T665" si="185">(1&amp;"/"&amp;MONTH(H665)&amp;"/"&amp;YEAR(H665))*1</f>
        <v>1</v>
      </c>
      <c r="U665" s="304" t="str">
        <f t="shared" si="179"/>
        <v/>
      </c>
    </row>
    <row r="666" spans="1:22" s="291" customFormat="1" x14ac:dyDescent="0.25">
      <c r="B666" s="288" t="s">
        <v>25</v>
      </c>
      <c r="C666" s="83"/>
      <c r="D666" s="63" t="str">
        <f>INDEX(Cad_Natureza!$B$3:$C$52,MATCH('2026'!F666,Cad_Natureza!$C$3:$C$52,0),MATCH('2026'!D$2,Cad_Natureza!$B$3:$C$3,0))</f>
        <v>REC4</v>
      </c>
      <c r="E666" s="64" t="s">
        <v>934</v>
      </c>
      <c r="F666" s="65" t="s">
        <v>734</v>
      </c>
      <c r="G666" s="63" t="s">
        <v>25</v>
      </c>
      <c r="H666" s="66"/>
      <c r="I666" s="66"/>
      <c r="J666" s="81" t="s">
        <v>1129</v>
      </c>
      <c r="K666" s="68">
        <v>5000</v>
      </c>
      <c r="L666" s="68">
        <f>L401+K666</f>
        <v>5477.1500000000005</v>
      </c>
      <c r="M666" s="83"/>
      <c r="N666" s="44" t="str">
        <f>B666&amp;D666&amp;F666</f>
        <v>MCSREC4CPF - Transf. Da conta PJ para a conta PF</v>
      </c>
      <c r="O666" s="44" t="str">
        <f>D666&amp;F666</f>
        <v>REC4CPF - Transf. Da conta PJ para a conta PF</v>
      </c>
      <c r="P666" s="44" t="str">
        <f>"MCS"&amp;D666&amp;F666</f>
        <v>MCSREC4CPF - Transf. Da conta PJ para a conta PF</v>
      </c>
      <c r="Q666" s="44" t="str">
        <f>"MCS"&amp;D666</f>
        <v>MCSREC4</v>
      </c>
      <c r="R666" s="44" t="str">
        <f>B666&amp;D666</f>
        <v>MCSREC4</v>
      </c>
      <c r="S666" s="38"/>
      <c r="T666" s="290">
        <f>(1&amp;"/"&amp;MONTH(H666)&amp;"/"&amp;YEAR(H666))*1</f>
        <v>1</v>
      </c>
      <c r="U666" s="290" t="str">
        <f t="shared" ref="U666" si="186">IF(I666="","",(1&amp;"/"&amp;MONTH(I666)&amp;"/"&amp;YEAR(I666))*1)</f>
        <v/>
      </c>
    </row>
    <row r="667" spans="1:22" s="300" customFormat="1" x14ac:dyDescent="0.25">
      <c r="B667" s="301" t="s">
        <v>25</v>
      </c>
      <c r="C667" s="302"/>
      <c r="D667" s="86" t="str">
        <f>INDEX(Cad_Natureza!$B$3:$C$52,MATCH('2026'!F667,Cad_Natureza!$C$3:$C$52,0),MATCH('2026'!D$2,Cad_Natureza!$B$3:$C$3,0))</f>
        <v>DESP1</v>
      </c>
      <c r="E667" s="84" t="s">
        <v>573</v>
      </c>
      <c r="F667" s="85" t="s">
        <v>733</v>
      </c>
      <c r="G667" s="86" t="s">
        <v>25</v>
      </c>
      <c r="H667" s="87"/>
      <c r="I667" s="87"/>
      <c r="J667" s="79"/>
      <c r="K667" s="62">
        <f>Prev_Combust_Refei!K33</f>
        <v>-440</v>
      </c>
      <c r="L667" s="62">
        <f>L666+K667</f>
        <v>5037.1500000000005</v>
      </c>
      <c r="M667" s="302"/>
      <c r="N667" s="44" t="str">
        <f t="shared" ref="N667:N669" si="187">B667&amp;D667&amp;F667</f>
        <v>MCSDESP1CPF - Desp. Cartão de crédito</v>
      </c>
      <c r="O667" s="44" t="str">
        <f t="shared" ref="O667:O669" si="188">D667&amp;F667</f>
        <v>DESP1CPF - Desp. Cartão de crédito</v>
      </c>
      <c r="P667" s="44" t="str">
        <f t="shared" ref="P667:P669" si="189">"MCS"&amp;D667&amp;F667</f>
        <v>MCSDESP1CPF - Desp. Cartão de crédito</v>
      </c>
      <c r="Q667" s="44" t="str">
        <f t="shared" ref="Q667:Q669" si="190">"MCS"&amp;D667</f>
        <v>MCSDESP1</v>
      </c>
      <c r="R667" s="44" t="str">
        <f t="shared" ref="R667:R669" si="191">B667&amp;D667</f>
        <v>MCSDESP1</v>
      </c>
      <c r="S667" s="38"/>
      <c r="T667" s="304">
        <f t="shared" ref="T667:T669" si="192">(1&amp;"/"&amp;MONTH(H667)&amp;"/"&amp;YEAR(H667))*1</f>
        <v>1</v>
      </c>
      <c r="U667" s="304" t="str">
        <f>IF(I667="","",(1&amp;"/"&amp;MONTH(I667)&amp;"/"&amp;YEAR(I667))*1)</f>
        <v/>
      </c>
    </row>
    <row r="668" spans="1:22" s="300" customFormat="1" x14ac:dyDescent="0.25">
      <c r="B668" s="301" t="s">
        <v>25</v>
      </c>
      <c r="C668" s="302"/>
      <c r="D668" s="86" t="str">
        <f>INDEX(Cad_Natureza!$B$3:$C$52,MATCH('2026'!F668,Cad_Natureza!$C$3:$C$52,0),MATCH('2026'!D$2,Cad_Natureza!$B$3:$C$3,0))</f>
        <v>FIN1</v>
      </c>
      <c r="E668" s="84" t="s">
        <v>202</v>
      </c>
      <c r="F668" s="85" t="s">
        <v>713</v>
      </c>
      <c r="G668" s="86" t="s">
        <v>25</v>
      </c>
      <c r="H668" s="87"/>
      <c r="I668" s="87"/>
      <c r="J668" s="79"/>
      <c r="K668" s="62">
        <f>Prev_Combust_Refei!I33</f>
        <v>-352</v>
      </c>
      <c r="L668" s="62">
        <f t="shared" ref="L668:L681" si="193">L667+K668</f>
        <v>4685.1500000000005</v>
      </c>
      <c r="M668" s="302"/>
      <c r="N668" s="44" t="str">
        <f t="shared" si="187"/>
        <v>MCSFIN1CPF - Desp. Financeiras - Empréstimos</v>
      </c>
      <c r="O668" s="44" t="str">
        <f t="shared" si="188"/>
        <v>FIN1CPF - Desp. Financeiras - Empréstimos</v>
      </c>
      <c r="P668" s="44" t="str">
        <f t="shared" si="189"/>
        <v>MCSFIN1CPF - Desp. Financeiras - Empréstimos</v>
      </c>
      <c r="Q668" s="44" t="str">
        <f t="shared" si="190"/>
        <v>MCSFIN1</v>
      </c>
      <c r="R668" s="44" t="str">
        <f t="shared" si="191"/>
        <v>MCSFIN1</v>
      </c>
      <c r="S668" s="38"/>
      <c r="T668" s="304">
        <f t="shared" si="192"/>
        <v>1</v>
      </c>
      <c r="U668" s="304" t="str">
        <f>IF(I668="","",(1&amp;"/"&amp;MONTH(I668)&amp;"/"&amp;YEAR(I668))*1)</f>
        <v/>
      </c>
    </row>
    <row r="669" spans="1:22" s="300" customFormat="1" x14ac:dyDescent="0.25">
      <c r="B669" s="301" t="s">
        <v>25</v>
      </c>
      <c r="C669" s="302"/>
      <c r="D669" s="86" t="str">
        <f>INDEX(Cad_Natureza!$B$3:$C$52,MATCH('2026'!F669,Cad_Natureza!$C$3:$C$52,0),MATCH('2026'!D$2,Cad_Natureza!$B$3:$C$3,0))</f>
        <v>PENS2</v>
      </c>
      <c r="E669" s="84" t="s">
        <v>698</v>
      </c>
      <c r="F669" s="85" t="s">
        <v>715</v>
      </c>
      <c r="G669" s="87" t="s">
        <v>25</v>
      </c>
      <c r="H669" s="87"/>
      <c r="I669" s="87"/>
      <c r="J669" s="78" t="s">
        <v>1607</v>
      </c>
      <c r="K669" s="80">
        <v>-816.87</v>
      </c>
      <c r="L669" s="62">
        <f t="shared" si="193"/>
        <v>3868.2800000000007</v>
      </c>
      <c r="M669" s="302"/>
      <c r="N669" s="44" t="str">
        <f t="shared" si="187"/>
        <v>MCSPENS2CPF - Pensão - Energia</v>
      </c>
      <c r="O669" s="44" t="str">
        <f t="shared" si="188"/>
        <v>PENS2CPF - Pensão - Energia</v>
      </c>
      <c r="P669" s="44" t="str">
        <f t="shared" si="189"/>
        <v>MCSPENS2CPF - Pensão - Energia</v>
      </c>
      <c r="Q669" s="44" t="str">
        <f t="shared" si="190"/>
        <v>MCSPENS2</v>
      </c>
      <c r="R669" s="44" t="str">
        <f t="shared" si="191"/>
        <v>MCSPENS2</v>
      </c>
      <c r="S669" s="38"/>
      <c r="T669" s="304">
        <f t="shared" si="192"/>
        <v>1</v>
      </c>
      <c r="U669" s="304" t="str">
        <f t="shared" ref="U669" si="194">IF(I669="","",(1&amp;"/"&amp;MONTH(I669)&amp;"/"&amp;YEAR(I669))*1)</f>
        <v/>
      </c>
      <c r="V669" s="300" t="s">
        <v>731</v>
      </c>
    </row>
    <row r="670" spans="1:22" s="300" customFormat="1" x14ac:dyDescent="0.25">
      <c r="B670" s="301" t="s">
        <v>25</v>
      </c>
      <c r="C670" s="302"/>
      <c r="D670" s="86" t="str">
        <f>INDEX(Cad_Natureza!$B$3:$C$52,MATCH('2026'!F670,Cad_Natureza!$C$3:$C$52,0),MATCH('2026'!D$2,Cad_Natureza!$B$3:$C$3,0))</f>
        <v>PENS5</v>
      </c>
      <c r="E670" s="84" t="s">
        <v>793</v>
      </c>
      <c r="F670" s="85" t="s">
        <v>716</v>
      </c>
      <c r="G670" s="86" t="s">
        <v>25</v>
      </c>
      <c r="H670" s="87"/>
      <c r="I670" s="87"/>
      <c r="J670" s="78" t="s">
        <v>1610</v>
      </c>
      <c r="K670" s="80">
        <f>-135.47</f>
        <v>-135.47</v>
      </c>
      <c r="L670" s="62">
        <f t="shared" si="193"/>
        <v>3732.8100000000009</v>
      </c>
      <c r="M670" s="302"/>
      <c r="N670" s="44" t="str">
        <f t="shared" ref="N670:N671" si="195">B670&amp;D670&amp;F670</f>
        <v>MCSPENS5CPF - Pensão - Água</v>
      </c>
      <c r="O670" s="44" t="str">
        <f t="shared" ref="O670:O671" si="196">D670&amp;F670</f>
        <v>PENS5CPF - Pensão - Água</v>
      </c>
      <c r="P670" s="44" t="str">
        <f t="shared" ref="P670:P671" si="197">"MCS"&amp;D670&amp;F670</f>
        <v>MCSPENS5CPF - Pensão - Água</v>
      </c>
      <c r="Q670" s="44" t="str">
        <f t="shared" ref="Q670:Q671" si="198">"MCS"&amp;D670</f>
        <v>MCSPENS5</v>
      </c>
      <c r="R670" s="44" t="str">
        <f t="shared" ref="R670:R671" si="199">B670&amp;D670</f>
        <v>MCSPENS5</v>
      </c>
      <c r="S670" s="38"/>
      <c r="T670" s="304">
        <f t="shared" ref="T670:T671" si="200">(1&amp;"/"&amp;MONTH(H670)&amp;"/"&amp;YEAR(H670))*1</f>
        <v>1</v>
      </c>
      <c r="U670" s="304" t="str">
        <f t="shared" ref="U670:U687" si="201">IF(I670="","",(1&amp;"/"&amp;MONTH(I670)&amp;"/"&amp;YEAR(I670))*1)</f>
        <v/>
      </c>
      <c r="V670" s="300" t="s">
        <v>731</v>
      </c>
    </row>
    <row r="671" spans="1:22" s="300" customFormat="1" x14ac:dyDescent="0.25">
      <c r="A671" s="300" t="s">
        <v>18</v>
      </c>
      <c r="B671" s="301" t="s">
        <v>25</v>
      </c>
      <c r="C671" s="302"/>
      <c r="D671" s="86" t="str">
        <f>INDEX(Cad_Natureza!$B$3:$C$52,MATCH('2026'!F671,Cad_Natureza!$C$3:$C$52,0),MATCH('2026'!D$2,Cad_Natureza!$B$3:$C$3,0))</f>
        <v>PENS1</v>
      </c>
      <c r="E671" s="84" t="s">
        <v>861</v>
      </c>
      <c r="F671" s="85" t="s">
        <v>717</v>
      </c>
      <c r="G671" s="86" t="s">
        <v>25</v>
      </c>
      <c r="H671" s="87"/>
      <c r="I671" s="87"/>
      <c r="J671" s="78" t="s">
        <v>1611</v>
      </c>
      <c r="K671" s="80">
        <v>-700</v>
      </c>
      <c r="L671" s="62">
        <f t="shared" si="193"/>
        <v>3032.8100000000009</v>
      </c>
      <c r="M671" s="302"/>
      <c r="N671" s="44" t="str">
        <f t="shared" si="195"/>
        <v>MCSPENS1CPF - Pensão - Aluguel</v>
      </c>
      <c r="O671" s="44" t="str">
        <f t="shared" si="196"/>
        <v>PENS1CPF - Pensão - Aluguel</v>
      </c>
      <c r="P671" s="44" t="str">
        <f t="shared" si="197"/>
        <v>MCSPENS1CPF - Pensão - Aluguel</v>
      </c>
      <c r="Q671" s="44" t="str">
        <f t="shared" si="198"/>
        <v>MCSPENS1</v>
      </c>
      <c r="R671" s="44" t="str">
        <f t="shared" si="199"/>
        <v>MCSPENS1</v>
      </c>
      <c r="S671" s="38"/>
      <c r="T671" s="304">
        <f t="shared" si="200"/>
        <v>1</v>
      </c>
      <c r="U671" s="304" t="str">
        <f t="shared" si="201"/>
        <v/>
      </c>
      <c r="V671" s="300" t="s">
        <v>731</v>
      </c>
    </row>
    <row r="672" spans="1:22" s="300" customFormat="1" x14ac:dyDescent="0.25">
      <c r="B672" s="301" t="s">
        <v>25</v>
      </c>
      <c r="C672" s="302"/>
      <c r="D672" s="86" t="str">
        <f>INDEX(Cad_Natureza!$B$3:$C$52,MATCH('2026'!F672,Cad_Natureza!$C$3:$C$52,0),MATCH('2026'!D$2,Cad_Natureza!$B$3:$C$3,0))</f>
        <v>PENS3</v>
      </c>
      <c r="E672" s="84" t="s">
        <v>704</v>
      </c>
      <c r="F672" s="85" t="s">
        <v>746</v>
      </c>
      <c r="G672" s="87" t="s">
        <v>25</v>
      </c>
      <c r="H672" s="87"/>
      <c r="I672" s="87"/>
      <c r="J672" s="78" t="s">
        <v>1612</v>
      </c>
      <c r="K672" s="80">
        <v>-495.5</v>
      </c>
      <c r="L672" s="62">
        <f t="shared" si="193"/>
        <v>2537.3100000000009</v>
      </c>
      <c r="M672" s="302"/>
      <c r="N672" s="44" t="str">
        <f>B672&amp;D672&amp;F672</f>
        <v>MCSPENS3CPF - Pensão - Plano de saúde</v>
      </c>
      <c r="O672" s="44" t="str">
        <f>D672&amp;F672</f>
        <v>PENS3CPF - Pensão - Plano de saúde</v>
      </c>
      <c r="P672" s="44" t="str">
        <f>"MCS"&amp;D672&amp;F672</f>
        <v>MCSPENS3CPF - Pensão - Plano de saúde</v>
      </c>
      <c r="Q672" s="44" t="str">
        <f>"MCS"&amp;D672</f>
        <v>MCSPENS3</v>
      </c>
      <c r="R672" s="44" t="str">
        <f>B672&amp;D672</f>
        <v>MCSPENS3</v>
      </c>
      <c r="S672" s="38"/>
      <c r="T672" s="304">
        <f>(1&amp;"/"&amp;MONTH(H672)&amp;"/"&amp;YEAR(H672))*1</f>
        <v>1</v>
      </c>
      <c r="U672" s="304" t="str">
        <f t="shared" ref="U672" si="202">IF(I672="","",(1&amp;"/"&amp;MONTH(I672)&amp;"/"&amp;YEAR(I672))*1)</f>
        <v/>
      </c>
      <c r="V672" s="300" t="s">
        <v>731</v>
      </c>
    </row>
    <row r="673" spans="2:22" s="46" customFormat="1" x14ac:dyDescent="0.25">
      <c r="B673" s="37" t="s">
        <v>25</v>
      </c>
      <c r="C673" s="38"/>
      <c r="D673" s="39" t="str">
        <f>INDEX(Cad_Natureza!$B$3:$C$52,MATCH('2026'!F673,Cad_Natureza!$C$3:$C$52,0),MATCH('2026'!D$2,Cad_Natureza!$B$3:$C$3,0))</f>
        <v>PENS8</v>
      </c>
      <c r="E673" s="40" t="s">
        <v>36</v>
      </c>
      <c r="F673" s="41" t="s">
        <v>36</v>
      </c>
      <c r="G673" s="39" t="s">
        <v>25</v>
      </c>
      <c r="H673" s="42"/>
      <c r="I673" s="18"/>
      <c r="J673" s="43"/>
      <c r="K673" s="36">
        <v>0</v>
      </c>
      <c r="L673" s="19">
        <f t="shared" si="193"/>
        <v>2537.3100000000009</v>
      </c>
      <c r="M673" s="38"/>
      <c r="N673" s="44" t="str">
        <f t="shared" ref="N673:N679" si="203">B673&amp;D673&amp;F673</f>
        <v>MCSPENS8CPF - Pensão - Alimentação</v>
      </c>
      <c r="O673" s="44" t="str">
        <f t="shared" ref="O673:O679" si="204">D673&amp;F673</f>
        <v>PENS8CPF - Pensão - Alimentação</v>
      </c>
      <c r="P673" s="44" t="str">
        <f t="shared" ref="P673:P679" si="205">"MCS"&amp;D673&amp;F673</f>
        <v>MCSPENS8CPF - Pensão - Alimentação</v>
      </c>
      <c r="Q673" s="44" t="str">
        <f t="shared" ref="Q673:Q679" si="206">"MCS"&amp;D673</f>
        <v>MCSPENS8</v>
      </c>
      <c r="R673" s="44" t="str">
        <f t="shared" ref="R673:R679" si="207">B673&amp;D673</f>
        <v>MCSPENS8</v>
      </c>
      <c r="S673" s="38"/>
      <c r="T673" s="45">
        <f t="shared" ref="T673:T679" si="208">(1&amp;"/"&amp;MONTH(H673)&amp;"/"&amp;YEAR(H673))*1</f>
        <v>1</v>
      </c>
      <c r="U673" s="24" t="str">
        <f t="shared" si="201"/>
        <v/>
      </c>
    </row>
    <row r="674" spans="2:22" s="46" customFormat="1" x14ac:dyDescent="0.25">
      <c r="B674" s="37" t="s">
        <v>25</v>
      </c>
      <c r="C674" s="38"/>
      <c r="D674" s="39" t="str">
        <f>INDEX(Cad_Natureza!$B$3:$C$52,MATCH('2026'!F674,Cad_Natureza!$C$3:$C$52,0),MATCH('2026'!D$2,Cad_Natureza!$B$3:$C$3,0))</f>
        <v>PENS9</v>
      </c>
      <c r="E674" s="40" t="s">
        <v>735</v>
      </c>
      <c r="F674" s="41" t="s">
        <v>735</v>
      </c>
      <c r="G674" s="39" t="s">
        <v>25</v>
      </c>
      <c r="H674" s="42"/>
      <c r="I674" s="18"/>
      <c r="J674" s="43"/>
      <c r="K674" s="36">
        <v>0</v>
      </c>
      <c r="L674" s="19">
        <f t="shared" si="193"/>
        <v>2537.3100000000009</v>
      </c>
      <c r="M674" s="38"/>
      <c r="N674" s="44" t="str">
        <f t="shared" si="203"/>
        <v>MCSPENS9CPF - Pensão - Outros Gastos</v>
      </c>
      <c r="O674" s="44" t="str">
        <f t="shared" si="204"/>
        <v>PENS9CPF - Pensão - Outros Gastos</v>
      </c>
      <c r="P674" s="44" t="str">
        <f t="shared" si="205"/>
        <v>MCSPENS9CPF - Pensão - Outros Gastos</v>
      </c>
      <c r="Q674" s="44" t="str">
        <f t="shared" si="206"/>
        <v>MCSPENS9</v>
      </c>
      <c r="R674" s="44" t="str">
        <f t="shared" si="207"/>
        <v>MCSPENS9</v>
      </c>
      <c r="S674" s="38"/>
      <c r="T674" s="45">
        <f t="shared" si="208"/>
        <v>1</v>
      </c>
      <c r="U674" s="24" t="str">
        <f t="shared" si="201"/>
        <v/>
      </c>
    </row>
    <row r="675" spans="2:22" s="300" customFormat="1" x14ac:dyDescent="0.25">
      <c r="B675" s="301" t="s">
        <v>25</v>
      </c>
      <c r="C675" s="302"/>
      <c r="D675" s="86" t="str">
        <f>INDEX(Cad_Natureza!$B$3:$C$52,MATCH('2026'!F675,Cad_Natureza!$C$3:$C$52,0),MATCH('2026'!D$2,Cad_Natureza!$B$3:$C$3,0))</f>
        <v>FIN3</v>
      </c>
      <c r="E675" s="84" t="s">
        <v>571</v>
      </c>
      <c r="F675" s="85" t="s">
        <v>939</v>
      </c>
      <c r="G675" s="86" t="s">
        <v>25</v>
      </c>
      <c r="H675" s="87"/>
      <c r="I675" s="87"/>
      <c r="J675" s="79" t="s">
        <v>1613</v>
      </c>
      <c r="K675" s="80">
        <v>-300</v>
      </c>
      <c r="L675" s="62">
        <f t="shared" si="193"/>
        <v>2237.3100000000009</v>
      </c>
      <c r="M675" s="302"/>
      <c r="N675" s="44" t="str">
        <f t="shared" si="203"/>
        <v>MCSFIN3CPF - Desp. Financeiras - Empréstimos bancários</v>
      </c>
      <c r="O675" s="44" t="str">
        <f t="shared" si="204"/>
        <v>FIN3CPF - Desp. Financeiras - Empréstimos bancários</v>
      </c>
      <c r="P675" s="44" t="str">
        <f t="shared" si="205"/>
        <v>MCSFIN3CPF - Desp. Financeiras - Empréstimos bancários</v>
      </c>
      <c r="Q675" s="44" t="str">
        <f t="shared" si="206"/>
        <v>MCSFIN3</v>
      </c>
      <c r="R675" s="44" t="str">
        <f t="shared" si="207"/>
        <v>MCSFIN3</v>
      </c>
      <c r="S675" s="38"/>
      <c r="T675" s="304">
        <f t="shared" si="208"/>
        <v>1</v>
      </c>
      <c r="U675" s="304" t="str">
        <f t="shared" si="201"/>
        <v/>
      </c>
    </row>
    <row r="676" spans="2:22" s="46" customFormat="1" x14ac:dyDescent="0.25">
      <c r="B676" s="37" t="s">
        <v>25</v>
      </c>
      <c r="C676" s="38"/>
      <c r="D676" s="39" t="str">
        <f>INDEX(Cad_Natureza!$B$3:$C$52,MATCH('2026'!F676,Cad_Natureza!$C$3:$C$52,0),MATCH('2026'!D$2,Cad_Natureza!$B$3:$C$3,0))</f>
        <v>DESP1</v>
      </c>
      <c r="E676" s="40" t="s">
        <v>681</v>
      </c>
      <c r="F676" s="41" t="s">
        <v>733</v>
      </c>
      <c r="G676" s="39" t="s">
        <v>25</v>
      </c>
      <c r="H676" s="42"/>
      <c r="I676" s="18"/>
      <c r="J676" s="43"/>
      <c r="K676" s="80">
        <v>0</v>
      </c>
      <c r="L676" s="19">
        <f t="shared" si="193"/>
        <v>2237.3100000000009</v>
      </c>
      <c r="M676" s="38"/>
      <c r="N676" s="44" t="str">
        <f t="shared" si="203"/>
        <v>MCSDESP1CPF - Desp. Cartão de crédito</v>
      </c>
      <c r="O676" s="44" t="str">
        <f t="shared" si="204"/>
        <v>DESP1CPF - Desp. Cartão de crédito</v>
      </c>
      <c r="P676" s="44" t="str">
        <f t="shared" si="205"/>
        <v>MCSDESP1CPF - Desp. Cartão de crédito</v>
      </c>
      <c r="Q676" s="44" t="str">
        <f t="shared" si="206"/>
        <v>MCSDESP1</v>
      </c>
      <c r="R676" s="44" t="str">
        <f t="shared" si="207"/>
        <v>MCSDESP1</v>
      </c>
      <c r="S676" s="38"/>
      <c r="T676" s="45">
        <f t="shared" si="208"/>
        <v>1</v>
      </c>
      <c r="U676" s="24" t="str">
        <f t="shared" si="201"/>
        <v/>
      </c>
    </row>
    <row r="677" spans="2:22" s="300" customFormat="1" x14ac:dyDescent="0.25">
      <c r="B677" s="301" t="s">
        <v>25</v>
      </c>
      <c r="C677" s="302"/>
      <c r="D677" s="86" t="str">
        <f>INDEX(Cad_Natureza!$B$3:$C$52,MATCH('2026'!F677,Cad_Natureza!$C$3:$C$52,0),MATCH('2026'!D$2,Cad_Natureza!$B$3:$C$3,0))</f>
        <v>DESP1</v>
      </c>
      <c r="E677" s="84" t="s">
        <v>699</v>
      </c>
      <c r="F677" s="85" t="s">
        <v>733</v>
      </c>
      <c r="G677" s="86" t="s">
        <v>25</v>
      </c>
      <c r="H677" s="87"/>
      <c r="I677" s="87"/>
      <c r="J677" s="79"/>
      <c r="K677" s="80">
        <v>-5.9</v>
      </c>
      <c r="L677" s="62">
        <f t="shared" si="193"/>
        <v>2231.4100000000008</v>
      </c>
      <c r="M677" s="302"/>
      <c r="N677" s="44" t="str">
        <f t="shared" si="203"/>
        <v>MCSDESP1CPF - Desp. Cartão de crédito</v>
      </c>
      <c r="O677" s="44" t="str">
        <f t="shared" si="204"/>
        <v>DESP1CPF - Desp. Cartão de crédito</v>
      </c>
      <c r="P677" s="44" t="str">
        <f t="shared" si="205"/>
        <v>MCSDESP1CPF - Desp. Cartão de crédito</v>
      </c>
      <c r="Q677" s="44" t="str">
        <f t="shared" si="206"/>
        <v>MCSDESP1</v>
      </c>
      <c r="R677" s="44" t="str">
        <f t="shared" si="207"/>
        <v>MCSDESP1</v>
      </c>
      <c r="S677" s="38"/>
      <c r="T677" s="304">
        <f t="shared" si="208"/>
        <v>1</v>
      </c>
      <c r="U677" s="304" t="str">
        <f t="shared" si="201"/>
        <v/>
      </c>
    </row>
    <row r="678" spans="2:22" s="300" customFormat="1" x14ac:dyDescent="0.25">
      <c r="B678" s="301" t="s">
        <v>25</v>
      </c>
      <c r="C678" s="302"/>
      <c r="D678" s="86" t="str">
        <f>INDEX(Cad_Natureza!$B$3:$C$52,MATCH('2026'!F678,Cad_Natureza!$C$3:$C$52,0),MATCH('2026'!D$2,Cad_Natureza!$B$3:$C$3,0))</f>
        <v>DESP2</v>
      </c>
      <c r="E678" s="84" t="s">
        <v>222</v>
      </c>
      <c r="F678" s="85" t="s">
        <v>739</v>
      </c>
      <c r="G678" s="86" t="s">
        <v>25</v>
      </c>
      <c r="H678" s="87"/>
      <c r="I678" s="87"/>
      <c r="J678" s="79" t="s">
        <v>355</v>
      </c>
      <c r="K678" s="62">
        <v>-95</v>
      </c>
      <c r="L678" s="62">
        <f t="shared" si="193"/>
        <v>2136.4100000000008</v>
      </c>
      <c r="M678" s="302"/>
      <c r="N678" s="44" t="str">
        <f t="shared" si="203"/>
        <v>MCSDESP2CPF - Desp. Telefone / Internet</v>
      </c>
      <c r="O678" s="44" t="str">
        <f t="shared" si="204"/>
        <v>DESP2CPF - Desp. Telefone / Internet</v>
      </c>
      <c r="P678" s="44" t="str">
        <f t="shared" si="205"/>
        <v>MCSDESP2CPF - Desp. Telefone / Internet</v>
      </c>
      <c r="Q678" s="44" t="str">
        <f t="shared" si="206"/>
        <v>MCSDESP2</v>
      </c>
      <c r="R678" s="44" t="str">
        <f t="shared" si="207"/>
        <v>MCSDESP2</v>
      </c>
      <c r="S678" s="38"/>
      <c r="T678" s="304">
        <f t="shared" si="208"/>
        <v>1</v>
      </c>
      <c r="U678" s="304" t="str">
        <f t="shared" si="201"/>
        <v/>
      </c>
    </row>
    <row r="679" spans="2:22" s="300" customFormat="1" x14ac:dyDescent="0.25">
      <c r="B679" s="301" t="s">
        <v>25</v>
      </c>
      <c r="C679" s="302"/>
      <c r="D679" s="86" t="str">
        <f>INDEX(Cad_Natureza!$B$3:$C$52,MATCH('2026'!F679,Cad_Natureza!$C$3:$C$52,0),MATCH('2026'!D$2,Cad_Natureza!$B$3:$C$3,0))</f>
        <v>DESP2</v>
      </c>
      <c r="E679" s="84" t="s">
        <v>352</v>
      </c>
      <c r="F679" s="85" t="s">
        <v>739</v>
      </c>
      <c r="G679" s="86" t="s">
        <v>25</v>
      </c>
      <c r="H679" s="87"/>
      <c r="I679" s="87"/>
      <c r="J679" s="79" t="s">
        <v>352</v>
      </c>
      <c r="K679" s="62">
        <f>-125</f>
        <v>-125</v>
      </c>
      <c r="L679" s="62">
        <f t="shared" si="193"/>
        <v>2011.4100000000008</v>
      </c>
      <c r="M679" s="302"/>
      <c r="N679" s="44" t="str">
        <f t="shared" si="203"/>
        <v>MCSDESP2CPF - Desp. Telefone / Internet</v>
      </c>
      <c r="O679" s="44" t="str">
        <f t="shared" si="204"/>
        <v>DESP2CPF - Desp. Telefone / Internet</v>
      </c>
      <c r="P679" s="44" t="str">
        <f t="shared" si="205"/>
        <v>MCSDESP2CPF - Desp. Telefone / Internet</v>
      </c>
      <c r="Q679" s="44" t="str">
        <f t="shared" si="206"/>
        <v>MCSDESP2</v>
      </c>
      <c r="R679" s="44" t="str">
        <f t="shared" si="207"/>
        <v>MCSDESP2</v>
      </c>
      <c r="S679" s="38"/>
      <c r="T679" s="304">
        <f t="shared" si="208"/>
        <v>1</v>
      </c>
      <c r="U679" s="304" t="str">
        <f t="shared" si="201"/>
        <v/>
      </c>
    </row>
    <row r="680" spans="2:22" s="300" customFormat="1" x14ac:dyDescent="0.25">
      <c r="B680" s="301" t="s">
        <v>25</v>
      </c>
      <c r="C680" s="302"/>
      <c r="D680" s="86" t="str">
        <f>INDEX(Cad_Natureza!$B$3:$C$52,MATCH('2026'!F680,Cad_Natureza!$C$3:$C$52,0),MATCH('2026'!D$2,Cad_Natureza!$B$3:$C$3,0))</f>
        <v>PENS1</v>
      </c>
      <c r="E680" s="84" t="s">
        <v>861</v>
      </c>
      <c r="F680" s="85" t="s">
        <v>717</v>
      </c>
      <c r="G680" s="86" t="s">
        <v>25</v>
      </c>
      <c r="H680" s="87"/>
      <c r="I680" s="87"/>
      <c r="J680" s="78"/>
      <c r="K680" s="62">
        <v>-700</v>
      </c>
      <c r="L680" s="62">
        <f t="shared" si="193"/>
        <v>1311.4100000000008</v>
      </c>
      <c r="M680" s="302"/>
      <c r="N680" s="44" t="str">
        <f t="shared" ref="N680" si="209">B680&amp;D680&amp;F680</f>
        <v>MCSPENS1CPF - Pensão - Aluguel</v>
      </c>
      <c r="O680" s="44" t="str">
        <f t="shared" ref="O680" si="210">D680&amp;F680</f>
        <v>PENS1CPF - Pensão - Aluguel</v>
      </c>
      <c r="P680" s="44" t="str">
        <f t="shared" ref="P680" si="211">"MCS"&amp;D680&amp;F680</f>
        <v>MCSPENS1CPF - Pensão - Aluguel</v>
      </c>
      <c r="Q680" s="44" t="str">
        <f t="shared" ref="Q680" si="212">"MCS"&amp;D680</f>
        <v>MCSPENS1</v>
      </c>
      <c r="R680" s="44" t="str">
        <f t="shared" ref="R680" si="213">B680&amp;D680</f>
        <v>MCSPENS1</v>
      </c>
      <c r="S680" s="38"/>
      <c r="T680" s="304">
        <f t="shared" ref="T680" si="214">(1&amp;"/"&amp;MONTH(H680)&amp;"/"&amp;YEAR(H680))*1</f>
        <v>1</v>
      </c>
      <c r="U680" s="304" t="str">
        <f t="shared" ref="U680" si="215">IF(I680="","",(1&amp;"/"&amp;MONTH(I680)&amp;"/"&amp;YEAR(I680))*1)</f>
        <v/>
      </c>
      <c r="V680" s="300" t="s">
        <v>731</v>
      </c>
    </row>
    <row r="681" spans="2:22" s="300" customFormat="1" x14ac:dyDescent="0.25">
      <c r="B681" s="301" t="s">
        <v>25</v>
      </c>
      <c r="C681" s="302"/>
      <c r="D681" s="86" t="str">
        <f>INDEX(Cad_Natureza!$B$3:$C$52,MATCH('2026'!F681,Cad_Natureza!$C$3:$C$52,0),MATCH('2026'!D$2,Cad_Natureza!$B$3:$C$3,0))</f>
        <v>PENS1</v>
      </c>
      <c r="E681" s="84" t="s">
        <v>861</v>
      </c>
      <c r="F681" s="85" t="s">
        <v>717</v>
      </c>
      <c r="G681" s="86" t="s">
        <v>25</v>
      </c>
      <c r="H681" s="87"/>
      <c r="I681" s="87"/>
      <c r="J681" s="78"/>
      <c r="K681" s="62">
        <v>-700</v>
      </c>
      <c r="L681" s="62">
        <f t="shared" si="193"/>
        <v>611.41000000000076</v>
      </c>
      <c r="M681" s="302"/>
      <c r="N681" s="44" t="str">
        <f t="shared" ref="N681:N682" si="216">B681&amp;D681&amp;F681</f>
        <v>MCSPENS1CPF - Pensão - Aluguel</v>
      </c>
      <c r="O681" s="44" t="str">
        <f t="shared" ref="O681:O682" si="217">D681&amp;F681</f>
        <v>PENS1CPF - Pensão - Aluguel</v>
      </c>
      <c r="P681" s="44" t="str">
        <f t="shared" ref="P681:P682" si="218">"MCS"&amp;D681&amp;F681</f>
        <v>MCSPENS1CPF - Pensão - Aluguel</v>
      </c>
      <c r="Q681" s="44" t="str">
        <f t="shared" ref="Q681:Q682" si="219">"MCS"&amp;D681</f>
        <v>MCSPENS1</v>
      </c>
      <c r="R681" s="44" t="str">
        <f t="shared" ref="R681:R682" si="220">B681&amp;D681</f>
        <v>MCSPENS1</v>
      </c>
      <c r="S681" s="38"/>
      <c r="T681" s="304">
        <f t="shared" ref="T681:T682" si="221">(1&amp;"/"&amp;MONTH(H681)&amp;"/"&amp;YEAR(H681))*1</f>
        <v>1</v>
      </c>
      <c r="U681" s="304" t="str">
        <f t="shared" ref="U681:U682" si="222">IF(I681="","",(1&amp;"/"&amp;MONTH(I681)&amp;"/"&amp;YEAR(I681))*1)</f>
        <v/>
      </c>
      <c r="V681" s="300" t="s">
        <v>731</v>
      </c>
    </row>
    <row r="682" spans="2:22" s="46" customFormat="1" x14ac:dyDescent="0.25">
      <c r="B682" s="37" t="s">
        <v>25</v>
      </c>
      <c r="C682" s="38"/>
      <c r="D682" s="39"/>
      <c r="E682" s="40"/>
      <c r="F682" s="41"/>
      <c r="G682" s="39" t="s">
        <v>25</v>
      </c>
      <c r="H682" s="42"/>
      <c r="I682" s="42"/>
      <c r="J682" s="43" t="s">
        <v>1134</v>
      </c>
      <c r="K682" s="19"/>
      <c r="L682" s="19"/>
      <c r="M682" s="38"/>
      <c r="N682" s="44" t="str">
        <f t="shared" si="216"/>
        <v>MCS</v>
      </c>
      <c r="O682" s="44" t="str">
        <f t="shared" si="217"/>
        <v/>
      </c>
      <c r="P682" s="44" t="str">
        <f t="shared" si="218"/>
        <v>MCS</v>
      </c>
      <c r="Q682" s="44" t="str">
        <f t="shared" si="219"/>
        <v>MCS</v>
      </c>
      <c r="R682" s="44" t="str">
        <f t="shared" si="220"/>
        <v>MCS</v>
      </c>
      <c r="S682" s="38"/>
      <c r="T682" s="45">
        <f t="shared" si="221"/>
        <v>1</v>
      </c>
      <c r="U682" s="24" t="str">
        <f t="shared" si="222"/>
        <v/>
      </c>
    </row>
    <row r="683" spans="2:22" s="46" customFormat="1" x14ac:dyDescent="0.25">
      <c r="B683" s="37" t="s">
        <v>25</v>
      </c>
      <c r="C683" s="38"/>
      <c r="D683" s="39"/>
      <c r="E683" s="40"/>
      <c r="F683" s="41"/>
      <c r="G683" s="39" t="s">
        <v>25</v>
      </c>
      <c r="H683" s="42"/>
      <c r="I683" s="42"/>
      <c r="J683" s="43" t="s">
        <v>954</v>
      </c>
      <c r="K683" s="19"/>
      <c r="L683" s="19"/>
      <c r="M683" s="38"/>
      <c r="N683" s="44" t="str">
        <f t="shared" ref="N683:N687" si="223">B683&amp;D683&amp;F683</f>
        <v>MCS</v>
      </c>
      <c r="O683" s="44" t="str">
        <f t="shared" ref="O683:O687" si="224">D683&amp;F683</f>
        <v/>
      </c>
      <c r="P683" s="44" t="str">
        <f t="shared" ref="P683:P687" si="225">"MCS"&amp;D683&amp;F683</f>
        <v>MCS</v>
      </c>
      <c r="Q683" s="44" t="str">
        <f t="shared" ref="Q683:Q687" si="226">"MCS"&amp;D683</f>
        <v>MCS</v>
      </c>
      <c r="R683" s="44" t="str">
        <f t="shared" ref="R683:R687" si="227">B683&amp;D683</f>
        <v>MCS</v>
      </c>
      <c r="S683" s="38"/>
      <c r="T683" s="45">
        <f t="shared" ref="T683:T687" si="228">(1&amp;"/"&amp;MONTH(H683)&amp;"/"&amp;YEAR(H683))*1</f>
        <v>1</v>
      </c>
      <c r="U683" s="24" t="str">
        <f t="shared" si="201"/>
        <v/>
      </c>
    </row>
    <row r="684" spans="2:22" s="300" customFormat="1" x14ac:dyDescent="0.25">
      <c r="B684" s="301" t="s">
        <v>25</v>
      </c>
      <c r="C684" s="302"/>
      <c r="D684" s="86" t="str">
        <f>INDEX(Cad_Natureza!$B$3:$C$52,MATCH('2026'!F684,Cad_Natureza!$C$3:$C$52,0),MATCH('2026'!D$2,Cad_Natureza!$B$3:$C$3,0))</f>
        <v>PENS2</v>
      </c>
      <c r="E684" s="84" t="s">
        <v>698</v>
      </c>
      <c r="F684" s="85" t="s">
        <v>715</v>
      </c>
      <c r="G684" s="87" t="s">
        <v>25</v>
      </c>
      <c r="H684" s="87"/>
      <c r="I684" s="87"/>
      <c r="J684" s="78" t="s">
        <v>962</v>
      </c>
      <c r="K684" s="80">
        <v>-833.3</v>
      </c>
      <c r="L684" s="62">
        <f>L681+K684</f>
        <v>-221.88999999999919</v>
      </c>
      <c r="M684" s="302"/>
      <c r="N684" s="44" t="str">
        <f t="shared" si="223"/>
        <v>MCSPENS2CPF - Pensão - Energia</v>
      </c>
      <c r="O684" s="44" t="str">
        <f t="shared" si="224"/>
        <v>PENS2CPF - Pensão - Energia</v>
      </c>
      <c r="P684" s="44" t="str">
        <f t="shared" si="225"/>
        <v>MCSPENS2CPF - Pensão - Energia</v>
      </c>
      <c r="Q684" s="44" t="str">
        <f t="shared" si="226"/>
        <v>MCSPENS2</v>
      </c>
      <c r="R684" s="44" t="str">
        <f t="shared" si="227"/>
        <v>MCSPENS2</v>
      </c>
      <c r="S684" s="38"/>
      <c r="T684" s="304">
        <f t="shared" si="228"/>
        <v>1</v>
      </c>
      <c r="U684" s="304" t="str">
        <f t="shared" si="201"/>
        <v/>
      </c>
    </row>
    <row r="685" spans="2:22" s="46" customFormat="1" x14ac:dyDescent="0.25">
      <c r="B685" s="37" t="s">
        <v>25</v>
      </c>
      <c r="C685" s="38"/>
      <c r="D685" s="39"/>
      <c r="E685" s="40"/>
      <c r="F685" s="41"/>
      <c r="G685" s="39" t="s">
        <v>25</v>
      </c>
      <c r="H685" s="42"/>
      <c r="I685" s="42"/>
      <c r="J685" s="33"/>
      <c r="K685" s="36"/>
      <c r="L685" s="19"/>
      <c r="M685" s="38"/>
      <c r="N685" s="44" t="str">
        <f t="shared" si="223"/>
        <v>MCS</v>
      </c>
      <c r="O685" s="44" t="str">
        <f t="shared" si="224"/>
        <v/>
      </c>
      <c r="P685" s="44" t="str">
        <f t="shared" si="225"/>
        <v>MCS</v>
      </c>
      <c r="Q685" s="44" t="str">
        <f t="shared" si="226"/>
        <v>MCS</v>
      </c>
      <c r="R685" s="44" t="str">
        <f t="shared" si="227"/>
        <v>MCS</v>
      </c>
      <c r="S685" s="38"/>
      <c r="T685" s="45">
        <f t="shared" si="228"/>
        <v>1</v>
      </c>
      <c r="U685" s="24" t="str">
        <f t="shared" si="201"/>
        <v/>
      </c>
    </row>
    <row r="686" spans="2:22" s="46" customFormat="1" x14ac:dyDescent="0.25">
      <c r="B686" s="37" t="s">
        <v>25</v>
      </c>
      <c r="C686" s="38"/>
      <c r="D686" s="39"/>
      <c r="E686" s="40"/>
      <c r="F686" s="41"/>
      <c r="G686" s="39" t="s">
        <v>25</v>
      </c>
      <c r="H686" s="42"/>
      <c r="I686" s="42"/>
      <c r="J686" s="43"/>
      <c r="K686" s="19"/>
      <c r="L686" s="19"/>
      <c r="M686" s="38"/>
      <c r="N686" s="44" t="str">
        <f t="shared" si="223"/>
        <v>MCS</v>
      </c>
      <c r="O686" s="44" t="str">
        <f t="shared" si="224"/>
        <v/>
      </c>
      <c r="P686" s="44" t="str">
        <f t="shared" si="225"/>
        <v>MCS</v>
      </c>
      <c r="Q686" s="44" t="str">
        <f t="shared" si="226"/>
        <v>MCS</v>
      </c>
      <c r="R686" s="44" t="str">
        <f t="shared" si="227"/>
        <v>MCS</v>
      </c>
      <c r="S686" s="38"/>
      <c r="T686" s="45">
        <f t="shared" si="228"/>
        <v>1</v>
      </c>
      <c r="U686" s="24" t="str">
        <f t="shared" si="201"/>
        <v/>
      </c>
    </row>
    <row r="687" spans="2:22" s="46" customFormat="1" x14ac:dyDescent="0.25">
      <c r="B687" s="37" t="s">
        <v>25</v>
      </c>
      <c r="C687" s="38"/>
      <c r="D687" s="39"/>
      <c r="E687" s="40"/>
      <c r="F687" s="41"/>
      <c r="G687" s="39" t="s">
        <v>25</v>
      </c>
      <c r="H687" s="42"/>
      <c r="I687" s="42"/>
      <c r="J687" s="43"/>
      <c r="K687" s="19"/>
      <c r="L687" s="19"/>
      <c r="M687" s="38"/>
      <c r="N687" s="44" t="str">
        <f t="shared" si="223"/>
        <v>MCS</v>
      </c>
      <c r="O687" s="44" t="str">
        <f t="shared" si="224"/>
        <v/>
      </c>
      <c r="P687" s="44" t="str">
        <f t="shared" si="225"/>
        <v>MCS</v>
      </c>
      <c r="Q687" s="44" t="str">
        <f t="shared" si="226"/>
        <v>MCS</v>
      </c>
      <c r="R687" s="44" t="str">
        <f t="shared" si="227"/>
        <v>MCS</v>
      </c>
      <c r="S687" s="38"/>
      <c r="T687" s="45">
        <f t="shared" si="228"/>
        <v>1</v>
      </c>
      <c r="U687" s="24" t="str">
        <f t="shared" si="201"/>
        <v/>
      </c>
    </row>
    <row r="688" spans="2:22" s="184" customFormat="1" x14ac:dyDescent="0.25">
      <c r="B688" s="184" t="s">
        <v>18</v>
      </c>
      <c r="C688" s="185" t="s">
        <v>18</v>
      </c>
      <c r="D688" s="184" t="s">
        <v>18</v>
      </c>
      <c r="E688" s="184" t="s">
        <v>18</v>
      </c>
      <c r="F688" s="31" t="s">
        <v>18</v>
      </c>
      <c r="G688" s="184" t="s">
        <v>18</v>
      </c>
      <c r="H688" s="184" t="s">
        <v>18</v>
      </c>
      <c r="I688" s="243" t="s">
        <v>18</v>
      </c>
      <c r="J688" s="184" t="s">
        <v>18</v>
      </c>
      <c r="K688" s="184" t="s">
        <v>18</v>
      </c>
      <c r="M688" s="185" t="s">
        <v>18</v>
      </c>
      <c r="N688" s="31" t="s">
        <v>18</v>
      </c>
      <c r="O688" s="31" t="s">
        <v>18</v>
      </c>
      <c r="P688" s="31" t="s">
        <v>18</v>
      </c>
      <c r="Q688" s="31" t="s">
        <v>18</v>
      </c>
      <c r="R688" s="31" t="s">
        <v>18</v>
      </c>
      <c r="S688" s="185" t="s">
        <v>18</v>
      </c>
      <c r="T688" s="184" t="s">
        <v>18</v>
      </c>
      <c r="U688" s="184" t="s">
        <v>18</v>
      </c>
    </row>
  </sheetData>
  <autoFilter ref="B2:V2" xr:uid="{00000000-0001-0000-0200-000000000000}"/>
  <dataValidations disablePrompts="1" count="2">
    <dataValidation type="list" allowBlank="1" showInputMessage="1" showErrorMessage="1" sqref="G685:G687 G670:G683 G3:G668" xr:uid="{4764DC36-33F0-411A-AA9A-D876A5FC283A}">
      <formula1>Lista_Socios</formula1>
    </dataValidation>
    <dataValidation type="list" allowBlank="1" showInputMessage="1" showErrorMessage="1" sqref="F3:F687" xr:uid="{21075B2A-B49C-4970-B292-6CAB86A14248}">
      <formula1>Lista_CRs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6D53-4352-4A9E-920E-606D1C313C6A}">
  <sheetPr codeName="Planilha2">
    <tabColor theme="1"/>
  </sheetPr>
  <dimension ref="A1:W48"/>
  <sheetViews>
    <sheetView showGridLines="0" zoomScale="80" zoomScaleNormal="80" workbookViewId="0">
      <pane ySplit="6" topLeftCell="A7" activePane="bottomLeft" state="frozen"/>
      <selection pane="bottomLeft" activeCell="B18" sqref="B18"/>
    </sheetView>
  </sheetViews>
  <sheetFormatPr defaultColWidth="9.140625" defaultRowHeight="15" x14ac:dyDescent="0.25"/>
  <cols>
    <col min="1" max="1" width="2.7109375" style="1" customWidth="1"/>
    <col min="2" max="2" width="9.85546875" style="1" bestFit="1" customWidth="1"/>
    <col min="3" max="3" width="11.42578125" style="1" customWidth="1"/>
    <col min="4" max="4" width="41.42578125" style="1" customWidth="1"/>
    <col min="5" max="5" width="19.85546875" style="2" customWidth="1"/>
    <col min="6" max="16" width="12.28515625" style="1" customWidth="1"/>
    <col min="17" max="17" width="11.5703125" style="1" customWidth="1"/>
    <col min="18" max="18" width="9.140625" style="1"/>
    <col min="19" max="19" width="6.5703125" style="1" customWidth="1"/>
    <col min="20" max="20" width="12.85546875" style="1" customWidth="1"/>
    <col min="21" max="21" width="14.7109375" style="1" customWidth="1"/>
    <col min="22" max="22" width="11" style="1" customWidth="1"/>
    <col min="23" max="23" width="12" style="1" bestFit="1" customWidth="1"/>
    <col min="24" max="16384" width="9.140625" style="1"/>
  </cols>
  <sheetData>
    <row r="1" spans="1:23" ht="12.75" customHeight="1" x14ac:dyDescent="0.25">
      <c r="A1"/>
      <c r="D1" s="29"/>
      <c r="E1" s="28"/>
    </row>
    <row r="2" spans="1:23" ht="18.75" x14ac:dyDescent="0.3">
      <c r="A2" s="6" t="s">
        <v>25</v>
      </c>
      <c r="B2" s="9" t="s">
        <v>26</v>
      </c>
      <c r="C2" s="9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23" ht="16.5" customHeight="1" x14ac:dyDescent="0.3">
      <c r="A3" s="6" t="s">
        <v>25</v>
      </c>
      <c r="B3" s="6"/>
      <c r="C3" s="6"/>
      <c r="D3" s="10" t="s">
        <v>800</v>
      </c>
      <c r="E3" s="30" t="s">
        <v>25</v>
      </c>
      <c r="F3"/>
      <c r="G3"/>
      <c r="H3"/>
      <c r="I3"/>
      <c r="J3"/>
      <c r="K3"/>
      <c r="L3"/>
      <c r="M3"/>
      <c r="N3"/>
      <c r="O3"/>
      <c r="P3"/>
      <c r="Q3"/>
      <c r="T3" s="47" t="s">
        <v>801</v>
      </c>
    </row>
    <row r="4" spans="1:23" ht="16.5" customHeight="1" x14ac:dyDescent="0.3">
      <c r="A4" s="6" t="s">
        <v>25</v>
      </c>
      <c r="B4" s="6"/>
      <c r="C4" s="6"/>
      <c r="D4" s="10" t="s">
        <v>23</v>
      </c>
      <c r="E4" s="305" t="s">
        <v>28</v>
      </c>
      <c r="F4" s="305"/>
      <c r="G4" s="305"/>
      <c r="H4" s="305"/>
      <c r="I4"/>
      <c r="J4"/>
      <c r="K4"/>
      <c r="L4"/>
      <c r="M4"/>
      <c r="N4"/>
      <c r="O4"/>
      <c r="P4"/>
      <c r="Q4"/>
      <c r="T4" s="221" t="s">
        <v>788</v>
      </c>
      <c r="U4" s="221" t="s">
        <v>777</v>
      </c>
      <c r="V4" s="221" t="s">
        <v>802</v>
      </c>
    </row>
    <row r="5" spans="1:23" x14ac:dyDescent="0.25">
      <c r="A5" s="6" t="s">
        <v>21</v>
      </c>
      <c r="B5" s="6"/>
      <c r="C5" s="6"/>
      <c r="D5" s="22"/>
      <c r="E5" s="22"/>
      <c r="F5"/>
      <c r="G5"/>
      <c r="H5"/>
      <c r="I5"/>
      <c r="J5"/>
      <c r="K5"/>
      <c r="L5"/>
      <c r="M5"/>
      <c r="N5"/>
      <c r="O5"/>
      <c r="P5"/>
      <c r="Q5"/>
      <c r="T5" s="222" t="s">
        <v>779</v>
      </c>
      <c r="U5" s="223">
        <f t="shared" ref="U5:U13" si="0">SUMIFS($E$7:$E$40,$B$7:$B$40,T5)</f>
        <v>33591.75</v>
      </c>
      <c r="V5" s="229">
        <f t="shared" ref="V5:V13" si="1">IFERROR(ABS(U5/$U$5),0)</f>
        <v>1</v>
      </c>
    </row>
    <row r="6" spans="1:23" ht="15" customHeight="1" x14ac:dyDescent="0.25">
      <c r="A6" s="6" t="s">
        <v>22</v>
      </c>
      <c r="B6" s="102" t="s">
        <v>787</v>
      </c>
      <c r="C6" s="102" t="s">
        <v>32</v>
      </c>
      <c r="D6" s="103" t="s">
        <v>0</v>
      </c>
      <c r="E6" s="308" t="s">
        <v>5</v>
      </c>
      <c r="F6" s="307">
        <v>46023</v>
      </c>
      <c r="G6" s="217">
        <v>46054</v>
      </c>
      <c r="H6" s="217">
        <v>46082</v>
      </c>
      <c r="I6" s="217">
        <v>46113</v>
      </c>
      <c r="J6" s="217">
        <v>46143</v>
      </c>
      <c r="K6" s="217">
        <v>46174</v>
      </c>
      <c r="L6" s="217">
        <v>46204</v>
      </c>
      <c r="M6" s="217">
        <v>46235</v>
      </c>
      <c r="N6" s="217">
        <v>46266</v>
      </c>
      <c r="O6" s="217">
        <v>46296</v>
      </c>
      <c r="P6" s="217">
        <v>46327</v>
      </c>
      <c r="Q6" s="217">
        <v>46357</v>
      </c>
      <c r="T6" s="224" t="s">
        <v>786</v>
      </c>
      <c r="U6" s="225">
        <f t="shared" si="0"/>
        <v>-11734.05</v>
      </c>
      <c r="V6" s="226">
        <f t="shared" si="1"/>
        <v>0.34931344749826965</v>
      </c>
    </row>
    <row r="7" spans="1:23" s="56" customFormat="1" ht="15" customHeight="1" x14ac:dyDescent="0.25">
      <c r="B7" s="173" t="s">
        <v>779</v>
      </c>
      <c r="C7" s="173" t="s">
        <v>12</v>
      </c>
      <c r="D7" s="174" t="s">
        <v>745</v>
      </c>
      <c r="E7" s="309">
        <f t="shared" ref="E7:E13" si="2">SUM(F7:Q7)</f>
        <v>0</v>
      </c>
      <c r="F7" s="176">
        <f>IF((AND($E$3="MCS",$E$4="TODOS CRs")),
SUMIFS('2026'!$K:$K,'2026'!$R:$R,$E$3&amp;$C7,'2026'!$T:$T,F$6),
SUMIFS('2026'!$K:$K,'2026'!$N:$N,$E$3&amp;$C7&amp;$E$4,'2026'!$T:$T,F$6))</f>
        <v>0</v>
      </c>
      <c r="G7" s="176">
        <f>IF((AND($E$3="MCS",$E$4="TODOS CRs")),
SUMIFS('2026'!$K:$K,'2026'!$R:$R,$E$3&amp;$C7,'2026'!$T:$T,G$6),
SUMIFS('2026'!$K:$K,'2026'!$N:$N,$E$3&amp;$C7&amp;$E$4,'2026'!$T:$T,G$6))</f>
        <v>0</v>
      </c>
      <c r="H7" s="176">
        <f>IF((AND($E$3="MCS",$E$4="TODOS CRs")),
SUMIFS('2026'!$K:$K,'2026'!$R:$R,$E$3&amp;$C7,'2026'!$T:$T,H$6),
SUMIFS('2026'!$K:$K,'2026'!$N:$N,$E$3&amp;$C7&amp;$E$4,'2026'!$T:$T,H$6))</f>
        <v>0</v>
      </c>
      <c r="I7" s="176">
        <f>IF((AND($E$3="MCS",$E$4="TODOS CRs")),
SUMIFS('2026'!$K:$K,'2026'!$R:$R,$E$3&amp;$C7,'2026'!$T:$T,I$6),
SUMIFS('2026'!$K:$K,'2026'!$N:$N,$E$3&amp;$C7&amp;$E$4,'2026'!$T:$T,I$6))</f>
        <v>0</v>
      </c>
      <c r="J7" s="176">
        <f>IF((AND($E$3="MCS",$E$4="TODOS CRs")),
SUMIFS('2026'!$K:$K,'2026'!$R:$R,$E$3&amp;$C7,'2026'!$T:$T,J$6),
SUMIFS('2026'!$K:$K,'2026'!$N:$N,$E$3&amp;$C7&amp;$E$4,'2026'!$T:$T,J$6))</f>
        <v>0</v>
      </c>
      <c r="K7" s="176">
        <f>IF((AND($E$3="MCS",$E$4="TODOS CRs")),
SUMIFS('2026'!$K:$K,'2026'!$R:$R,$E$3&amp;$C7,'2026'!$T:$T,K$6),
SUMIFS('2026'!$K:$K,'2026'!$N:$N,$E$3&amp;$C7&amp;$E$4,'2026'!$T:$T,K$6))</f>
        <v>0</v>
      </c>
      <c r="L7" s="176">
        <f>IF((AND($E$3="MCS",$E$4="TODOS CRs")),
SUMIFS('2026'!$K:$K,'2026'!$R:$R,$E$3&amp;$C7,'2026'!$T:$T,L$6),
SUMIFS('2026'!$K:$K,'2026'!$N:$N,$E$3&amp;$C7&amp;$E$4,'2026'!$T:$T,L$6))</f>
        <v>0</v>
      </c>
      <c r="M7" s="176">
        <f>IF((AND($E$3="MCS",$E$4="TODOS CRs")),
SUMIFS('2026'!$K:$K,'2026'!$R:$R,$E$3&amp;$C7,'2026'!$T:$T,M$6),
SUMIFS('2026'!$K:$K,'2026'!$N:$N,$E$3&amp;$C7&amp;$E$4,'2026'!$T:$T,M$6))</f>
        <v>0</v>
      </c>
      <c r="N7" s="176">
        <f>IF((AND($E$3="MCS",$E$4="TODOS CRs")),
SUMIFS('2026'!$K:$K,'2026'!$R:$R,$E$3&amp;$C7,'2026'!$T:$T,N$6),
SUMIFS('2026'!$K:$K,'2026'!$N:$N,$E$3&amp;$C7&amp;$E$4,'2026'!$T:$T,N$6))</f>
        <v>0</v>
      </c>
      <c r="O7" s="176">
        <f>IF((AND($E$3="MCS",$E$4="TODOS CRs")),
SUMIFS('2026'!$K:$K,'2026'!$R:$R,$E$3&amp;$C7,'2026'!$T:$T,O$6),
SUMIFS('2026'!$K:$K,'2026'!$N:$N,$E$3&amp;$C7&amp;$E$4,'2026'!$T:$T,O$6))</f>
        <v>0</v>
      </c>
      <c r="P7" s="176">
        <f>IF((AND($E$3="MCS",$E$4="TODOS CRs")),
SUMIFS('2026'!$K:$K,'2026'!$R:$R,$E$3&amp;$C7,'2026'!$T:$T,P$6),
SUMIFS('2026'!$K:$K,'2026'!$N:$N,$E$3&amp;$C7&amp;$E$4,'2026'!$T:$T,P$6))</f>
        <v>0</v>
      </c>
      <c r="Q7" s="176">
        <f>IF((AND($E$3="MCS",$E$4="TODOS CRs")),
SUMIFS('2026'!$K:$K,'2026'!$R:$R,$E$3&amp;$C7,'2026'!$T:$T,Q$6),
SUMIFS('2026'!$K:$K,'2026'!$N:$N,$E$3&amp;$C7&amp;$E$4,'2026'!$T:$T,Q$6))</f>
        <v>0</v>
      </c>
      <c r="T7" s="199" t="s">
        <v>780</v>
      </c>
      <c r="U7" s="203">
        <f t="shared" si="0"/>
        <v>-6840.46</v>
      </c>
      <c r="V7" s="201">
        <f t="shared" si="1"/>
        <v>0.203635118741953</v>
      </c>
      <c r="W7" s="1"/>
    </row>
    <row r="8" spans="1:23" ht="15" customHeight="1" x14ac:dyDescent="0.25">
      <c r="B8" s="129" t="s">
        <v>779</v>
      </c>
      <c r="C8" s="129" t="s">
        <v>13</v>
      </c>
      <c r="D8" s="128" t="s">
        <v>775</v>
      </c>
      <c r="E8" s="310">
        <f t="shared" si="2"/>
        <v>0</v>
      </c>
      <c r="F8" s="130">
        <f>IF((AND($E$3="MCS",$E$4="TODOS CRs")),
SUMIFS('2026'!$K:$K,'2026'!$R:$R,$E$3&amp;$C8,'2026'!$T:$T,F$6),
SUMIFS('2026'!$K:$K,'2026'!$N:$N,$E$3&amp;$C8&amp;$E$4,'2026'!$T:$T,F$6))</f>
        <v>0</v>
      </c>
      <c r="G8" s="130">
        <f>IF((AND($E$3="MCS",$E$4="TODOS CRs")),
SUMIFS('2026'!$K:$K,'2026'!$R:$R,$E$3&amp;$C8,'2026'!$T:$T,G$6),
SUMIFS('2026'!$K:$K,'2026'!$N:$N,$E$3&amp;$C8&amp;$E$4,'2026'!$T:$T,G$6))</f>
        <v>0</v>
      </c>
      <c r="H8" s="130">
        <f>IF((AND($E$3="MCS",$E$4="TODOS CRs")),
SUMIFS('2026'!$K:$K,'2026'!$R:$R,$E$3&amp;$C8,'2026'!$T:$T,H$6),
SUMIFS('2026'!$K:$K,'2026'!$N:$N,$E$3&amp;$C8&amp;$E$4,'2026'!$T:$T,H$6))</f>
        <v>0</v>
      </c>
      <c r="I8" s="130">
        <f>IF((AND($E$3="MCS",$E$4="TODOS CRs")),
SUMIFS('2026'!$K:$K,'2026'!$R:$R,$E$3&amp;$C8,'2026'!$T:$T,I$6),
SUMIFS('2026'!$K:$K,'2026'!$N:$N,$E$3&amp;$C8&amp;$E$4,'2026'!$T:$T,I$6))</f>
        <v>0</v>
      </c>
      <c r="J8" s="130">
        <f>IF((AND($E$3="MCS",$E$4="TODOS CRs")),
SUMIFS('2026'!$K:$K,'2026'!$R:$R,$E$3&amp;$C8,'2026'!$T:$T,J$6),
SUMIFS('2026'!$K:$K,'2026'!$N:$N,$E$3&amp;$C8&amp;$E$4,'2026'!$T:$T,J$6))</f>
        <v>0</v>
      </c>
      <c r="K8" s="130">
        <f>IF((AND($E$3="MCS",$E$4="TODOS CRs")),
SUMIFS('2026'!$K:$K,'2026'!$R:$R,$E$3&amp;$C8,'2026'!$T:$T,K$6),
SUMIFS('2026'!$K:$K,'2026'!$N:$N,$E$3&amp;$C8&amp;$E$4,'2026'!$T:$T,K$6))</f>
        <v>0</v>
      </c>
      <c r="L8" s="130">
        <f>IF((AND($E$3="MCS",$E$4="TODOS CRs")),
SUMIFS('2026'!$K:$K,'2026'!$R:$R,$E$3&amp;$C8,'2026'!$T:$T,L$6),
SUMIFS('2026'!$K:$K,'2026'!$N:$N,$E$3&amp;$C8&amp;$E$4,'2026'!$T:$T,L$6))</f>
        <v>0</v>
      </c>
      <c r="M8" s="130">
        <f>IF((AND($E$3="MCS",$E$4="TODOS CRs")),
SUMIFS('2026'!$K:$K,'2026'!$R:$R,$E$3&amp;$C8,'2026'!$T:$T,M$6),
SUMIFS('2026'!$K:$K,'2026'!$N:$N,$E$3&amp;$C8&amp;$E$4,'2026'!$T:$T,M$6))</f>
        <v>0</v>
      </c>
      <c r="N8" s="130">
        <f>IF((AND($E$3="MCS",$E$4="TODOS CRs")),
SUMIFS('2026'!$K:$K,'2026'!$R:$R,$E$3&amp;$C8,'2026'!$T:$T,N$6),
SUMIFS('2026'!$K:$K,'2026'!$N:$N,$E$3&amp;$C8&amp;$E$4,'2026'!$T:$T,N$6))</f>
        <v>0</v>
      </c>
      <c r="O8" s="130">
        <f>IF((AND($E$3="MCS",$E$4="TODOS CRs")),
SUMIFS('2026'!$K:$K,'2026'!$R:$R,$E$3&amp;$C8,'2026'!$T:$T,O$6),
SUMIFS('2026'!$K:$K,'2026'!$N:$N,$E$3&amp;$C8&amp;$E$4,'2026'!$T:$T,O$6))</f>
        <v>0</v>
      </c>
      <c r="P8" s="130">
        <f>IF((AND($E$3="MCS",$E$4="TODOS CRs")),
SUMIFS('2026'!$K:$K,'2026'!$R:$R,$E$3&amp;$C8,'2026'!$T:$T,P$6),
SUMIFS('2026'!$K:$K,'2026'!$N:$N,$E$3&amp;$C8&amp;$E$4,'2026'!$T:$T,P$6))</f>
        <v>0</v>
      </c>
      <c r="Q8" s="130">
        <f>IF((AND($E$3="MCS",$E$4="TODOS CRs")),
SUMIFS('2026'!$K:$K,'2026'!$R:$R,$E$3&amp;$C8,'2026'!$T:$T,Q$6),
SUMIFS('2026'!$K:$K,'2026'!$N:$N,$E$3&amp;$C8&amp;$E$4,'2026'!$T:$T,Q$6))</f>
        <v>0</v>
      </c>
      <c r="T8" s="237" t="s">
        <v>782</v>
      </c>
      <c r="U8" s="238">
        <f t="shared" si="0"/>
        <v>-6045.55</v>
      </c>
      <c r="V8" s="239">
        <f t="shared" si="1"/>
        <v>0.17997127270832869</v>
      </c>
    </row>
    <row r="9" spans="1:23" ht="15" customHeight="1" x14ac:dyDescent="0.25">
      <c r="B9" s="129" t="s">
        <v>779</v>
      </c>
      <c r="C9" s="129" t="s">
        <v>14</v>
      </c>
      <c r="D9" s="128" t="s">
        <v>776</v>
      </c>
      <c r="E9" s="310">
        <f t="shared" si="2"/>
        <v>0</v>
      </c>
      <c r="F9" s="130">
        <f>IF((AND($E$3="MCS",$E$4="TODOS CRs")),
SUMIFS('2026'!$K:$K,'2026'!$R:$R,$E$3&amp;$C9,'2026'!$T:$T,F$6),
SUMIFS('2026'!$K:$K,'2026'!$N:$N,$E$3&amp;$C9&amp;$E$4,'2026'!$T:$T,F$6))</f>
        <v>0</v>
      </c>
      <c r="G9" s="130">
        <f>IF((AND($E$3="MCS",$E$4="TODOS CRs")),
SUMIFS('2026'!$K:$K,'2026'!$R:$R,$E$3&amp;$C9,'2026'!$T:$T,G$6),
SUMIFS('2026'!$K:$K,'2026'!$N:$N,$E$3&amp;$C9&amp;$E$4,'2026'!$T:$T,G$6))</f>
        <v>0</v>
      </c>
      <c r="H9" s="130">
        <f>IF((AND($E$3="MCS",$E$4="TODOS CRs")),
SUMIFS('2026'!$K:$K,'2026'!$R:$R,$E$3&amp;$C9,'2026'!$T:$T,H$6),
SUMIFS('2026'!$K:$K,'2026'!$N:$N,$E$3&amp;$C9&amp;$E$4,'2026'!$T:$T,H$6))</f>
        <v>0</v>
      </c>
      <c r="I9" s="130">
        <f>IF((AND($E$3="MCS",$E$4="TODOS CRs")),
SUMIFS('2026'!$K:$K,'2026'!$R:$R,$E$3&amp;$C9,'2026'!$T:$T,I$6),
SUMIFS('2026'!$K:$K,'2026'!$N:$N,$E$3&amp;$C9&amp;$E$4,'2026'!$T:$T,I$6))</f>
        <v>0</v>
      </c>
      <c r="J9" s="130">
        <f>IF((AND($E$3="MCS",$E$4="TODOS CRs")),
SUMIFS('2026'!$K:$K,'2026'!$R:$R,$E$3&amp;$C9,'2026'!$T:$T,J$6),
SUMIFS('2026'!$K:$K,'2026'!$N:$N,$E$3&amp;$C9&amp;$E$4,'2026'!$T:$T,J$6))</f>
        <v>0</v>
      </c>
      <c r="K9" s="130">
        <f>IF((AND($E$3="MCS",$E$4="TODOS CRs")),
SUMIFS('2026'!$K:$K,'2026'!$R:$R,$E$3&amp;$C9,'2026'!$T:$T,K$6),
SUMIFS('2026'!$K:$K,'2026'!$N:$N,$E$3&amp;$C9&amp;$E$4,'2026'!$T:$T,K$6))</f>
        <v>0</v>
      </c>
      <c r="L9" s="130">
        <f>IF((AND($E$3="MCS",$E$4="TODOS CRs")),
SUMIFS('2026'!$K:$K,'2026'!$R:$R,$E$3&amp;$C9,'2026'!$T:$T,L$6),
SUMIFS('2026'!$K:$K,'2026'!$N:$N,$E$3&amp;$C9&amp;$E$4,'2026'!$T:$T,L$6))</f>
        <v>0</v>
      </c>
      <c r="M9" s="130">
        <f>IF((AND($E$3="MCS",$E$4="TODOS CRs")),
SUMIFS('2026'!$K:$K,'2026'!$R:$R,$E$3&amp;$C9,'2026'!$T:$T,M$6),
SUMIFS('2026'!$K:$K,'2026'!$N:$N,$E$3&amp;$C9&amp;$E$4,'2026'!$T:$T,M$6))</f>
        <v>0</v>
      </c>
      <c r="N9" s="130">
        <f>IF((AND($E$3="MCS",$E$4="TODOS CRs")),
SUMIFS('2026'!$K:$K,'2026'!$R:$R,$E$3&amp;$C9,'2026'!$T:$T,N$6),
SUMIFS('2026'!$K:$K,'2026'!$N:$N,$E$3&amp;$C9&amp;$E$4,'2026'!$T:$T,N$6))</f>
        <v>0</v>
      </c>
      <c r="O9" s="130">
        <f>IF((AND($E$3="MCS",$E$4="TODOS CRs")),
SUMIFS('2026'!$K:$K,'2026'!$R:$R,$E$3&amp;$C9,'2026'!$T:$T,O$6),
SUMIFS('2026'!$K:$K,'2026'!$N:$N,$E$3&amp;$C9&amp;$E$4,'2026'!$T:$T,O$6))</f>
        <v>0</v>
      </c>
      <c r="P9" s="130">
        <f>IF((AND($E$3="MCS",$E$4="TODOS CRs")),
SUMIFS('2026'!$K:$K,'2026'!$R:$R,$E$3&amp;$C9,'2026'!$T:$T,P$6),
SUMIFS('2026'!$K:$K,'2026'!$N:$N,$E$3&amp;$C9&amp;$E$4,'2026'!$T:$T,P$6))</f>
        <v>0</v>
      </c>
      <c r="Q9" s="130">
        <f>IF((AND($E$3="MCS",$E$4="TODOS CRs")),
SUMIFS('2026'!$K:$K,'2026'!$R:$R,$E$3&amp;$C9,'2026'!$T:$T,Q$6),
SUMIFS('2026'!$K:$K,'2026'!$N:$N,$E$3&amp;$C9&amp;$E$4,'2026'!$T:$T,Q$6))</f>
        <v>0</v>
      </c>
      <c r="T9" s="297" t="s">
        <v>781</v>
      </c>
      <c r="U9" s="298">
        <f t="shared" si="0"/>
        <v>-4028.63</v>
      </c>
      <c r="V9" s="299">
        <f t="shared" si="1"/>
        <v>0.11992914927028214</v>
      </c>
    </row>
    <row r="10" spans="1:23" ht="15" customHeight="1" x14ac:dyDescent="0.25">
      <c r="B10" s="129" t="s">
        <v>779</v>
      </c>
      <c r="C10" s="129" t="s">
        <v>15</v>
      </c>
      <c r="D10" s="128" t="s">
        <v>734</v>
      </c>
      <c r="E10" s="310">
        <f t="shared" si="2"/>
        <v>32740</v>
      </c>
      <c r="F10" s="130">
        <f>IF((AND($E$3="MCS",$E$4="TODOS CRs")),
SUMIFS('2026'!$K:$K,'2026'!$R:$R,$E$3&amp;$C10,'2026'!$T:$T,F$6),
SUMIFS('2026'!$K:$K,'2026'!$N:$N,$E$3&amp;$C10&amp;$E$4,'2026'!$T:$T,F$6))</f>
        <v>4900</v>
      </c>
      <c r="G10" s="130">
        <f>IF((AND($E$3="MCS",$E$4="TODOS CRs")),
SUMIFS('2026'!$K:$K,'2026'!$R:$R,$E$3&amp;$C10,'2026'!$T:$T,G$6),
SUMIFS('2026'!$K:$K,'2026'!$N:$N,$E$3&amp;$C10&amp;$E$4,'2026'!$T:$T,G$6))</f>
        <v>5500</v>
      </c>
      <c r="H10" s="130">
        <f>IF((AND($E$3="MCS",$E$4="TODOS CRs")),
SUMIFS('2026'!$K:$K,'2026'!$R:$R,$E$3&amp;$C10,'2026'!$T:$T,H$6),
SUMIFS('2026'!$K:$K,'2026'!$N:$N,$E$3&amp;$C10&amp;$E$4,'2026'!$T:$T,H$6))</f>
        <v>5040</v>
      </c>
      <c r="I10" s="130">
        <f>IF((AND($E$3="MCS",$E$4="TODOS CRs")),
SUMIFS('2026'!$K:$K,'2026'!$R:$R,$E$3&amp;$C10,'2026'!$T:$T,I$6),
SUMIFS('2026'!$K:$K,'2026'!$N:$N,$E$3&amp;$C10&amp;$E$4,'2026'!$T:$T,I$6))</f>
        <v>7000</v>
      </c>
      <c r="J10" s="130">
        <f>IF((AND($E$3="MCS",$E$4="TODOS CRs")),
SUMIFS('2026'!$K:$K,'2026'!$R:$R,$E$3&amp;$C10,'2026'!$T:$T,J$6),
SUMIFS('2026'!$K:$K,'2026'!$N:$N,$E$3&amp;$C10&amp;$E$4,'2026'!$T:$T,J$6))</f>
        <v>6300</v>
      </c>
      <c r="K10" s="130">
        <f>IF((AND($E$3="MCS",$E$4="TODOS CRs")),
SUMIFS('2026'!$K:$K,'2026'!$R:$R,$E$3&amp;$C10,'2026'!$T:$T,K$6),
SUMIFS('2026'!$K:$K,'2026'!$N:$N,$E$3&amp;$C10&amp;$E$4,'2026'!$T:$T,K$6))</f>
        <v>4000</v>
      </c>
      <c r="L10" s="130">
        <f>IF((AND($E$3="MCS",$E$4="TODOS CRs")),
SUMIFS('2026'!$K:$K,'2026'!$R:$R,$E$3&amp;$C10,'2026'!$T:$T,L$6),
SUMIFS('2026'!$K:$K,'2026'!$N:$N,$E$3&amp;$C10&amp;$E$4,'2026'!$T:$T,L$6))</f>
        <v>0</v>
      </c>
      <c r="M10" s="130">
        <f>IF((AND($E$3="MCS",$E$4="TODOS CRs")),
SUMIFS('2026'!$K:$K,'2026'!$R:$R,$E$3&amp;$C10,'2026'!$T:$T,M$6),
SUMIFS('2026'!$K:$K,'2026'!$N:$N,$E$3&amp;$C10&amp;$E$4,'2026'!$T:$T,M$6))</f>
        <v>0</v>
      </c>
      <c r="N10" s="130">
        <f>IF((AND($E$3="MCS",$E$4="TODOS CRs")),
SUMIFS('2026'!$K:$K,'2026'!$R:$R,$E$3&amp;$C10,'2026'!$T:$T,N$6),
SUMIFS('2026'!$K:$K,'2026'!$N:$N,$E$3&amp;$C10&amp;$E$4,'2026'!$T:$T,N$6))</f>
        <v>0</v>
      </c>
      <c r="O10" s="130">
        <f>IF((AND($E$3="MCS",$E$4="TODOS CRs")),
SUMIFS('2026'!$K:$K,'2026'!$R:$R,$E$3&amp;$C10,'2026'!$T:$T,O$6),
SUMIFS('2026'!$K:$K,'2026'!$N:$N,$E$3&amp;$C10&amp;$E$4,'2026'!$T:$T,O$6))</f>
        <v>0</v>
      </c>
      <c r="P10" s="130">
        <f>IF((AND($E$3="MCS",$E$4="TODOS CRs")),
SUMIFS('2026'!$K:$K,'2026'!$R:$R,$E$3&amp;$C10,'2026'!$T:$T,P$6),
SUMIFS('2026'!$K:$K,'2026'!$N:$N,$E$3&amp;$C10&amp;$E$4,'2026'!$T:$T,P$6))</f>
        <v>0</v>
      </c>
      <c r="Q10" s="130">
        <f>IF((AND($E$3="MCS",$E$4="TODOS CRs")),
SUMIFS('2026'!$K:$K,'2026'!$R:$R,$E$3&amp;$C10,'2026'!$T:$T,Q$6),
SUMIFS('2026'!$K:$K,'2026'!$N:$N,$E$3&amp;$C10&amp;$E$4,'2026'!$T:$T,Q$6))</f>
        <v>0</v>
      </c>
      <c r="T10" s="230" t="s">
        <v>783</v>
      </c>
      <c r="U10" s="231">
        <f t="shared" si="0"/>
        <v>-2350.3000000000002</v>
      </c>
      <c r="V10" s="232">
        <f t="shared" si="1"/>
        <v>6.9966584057097353E-2</v>
      </c>
    </row>
    <row r="11" spans="1:23" ht="15" customHeight="1" x14ac:dyDescent="0.25">
      <c r="B11" s="129" t="s">
        <v>779</v>
      </c>
      <c r="C11" s="129" t="s">
        <v>730</v>
      </c>
      <c r="D11" s="128" t="s">
        <v>740</v>
      </c>
      <c r="E11" s="310">
        <f t="shared" si="2"/>
        <v>681.75</v>
      </c>
      <c r="F11" s="130">
        <f>IF((AND($E$3="MCS",$E$4="TODOS CRs")),
SUMIFS('2026'!$K:$K,'2026'!$R:$R,$E$3&amp;$C11,'2026'!$T:$T,F$6),
SUMIFS('2026'!$K:$K,'2026'!$N:$N,$E$3&amp;$C11&amp;$E$4,'2026'!$T:$T,F$6))</f>
        <v>0</v>
      </c>
      <c r="G11" s="130">
        <f>IF((AND($E$3="MCS",$E$4="TODOS CRs")),
SUMIFS('2026'!$K:$K,'2026'!$R:$R,$E$3&amp;$C11,'2026'!$T:$T,G$6),
SUMIFS('2026'!$K:$K,'2026'!$N:$N,$E$3&amp;$C11&amp;$E$4,'2026'!$T:$T,G$6))</f>
        <v>17.62</v>
      </c>
      <c r="H11" s="130">
        <f>IF((AND($E$3="MCS",$E$4="TODOS CRs")),
SUMIFS('2026'!$K:$K,'2026'!$R:$R,$E$3&amp;$C11,'2026'!$T:$T,H$6),
SUMIFS('2026'!$K:$K,'2026'!$N:$N,$E$3&amp;$C11&amp;$E$4,'2026'!$T:$T,H$6))</f>
        <v>56</v>
      </c>
      <c r="I11" s="130">
        <f>IF((AND($E$3="MCS",$E$4="TODOS CRs")),
SUMIFS('2026'!$K:$K,'2026'!$R:$R,$E$3&amp;$C11,'2026'!$T:$T,I$6),
SUMIFS('2026'!$K:$K,'2026'!$N:$N,$E$3&amp;$C11&amp;$E$4,'2026'!$T:$T,I$6))</f>
        <v>25</v>
      </c>
      <c r="J11" s="130">
        <f>IF((AND($E$3="MCS",$E$4="TODOS CRs")),
SUMIFS('2026'!$K:$K,'2026'!$R:$R,$E$3&amp;$C11,'2026'!$T:$T,J$6),
SUMIFS('2026'!$K:$K,'2026'!$N:$N,$E$3&amp;$C11&amp;$E$4,'2026'!$T:$T,J$6))</f>
        <v>189.99</v>
      </c>
      <c r="K11" s="130">
        <f>IF((AND($E$3="MCS",$E$4="TODOS CRs")),
SUMIFS('2026'!$K:$K,'2026'!$R:$R,$E$3&amp;$C11,'2026'!$T:$T,K$6),
SUMIFS('2026'!$K:$K,'2026'!$N:$N,$E$3&amp;$C11&amp;$E$4,'2026'!$T:$T,K$6))</f>
        <v>393.14000000000004</v>
      </c>
      <c r="L11" s="130">
        <f>IF((AND($E$3="MCS",$E$4="TODOS CRs")),
SUMIFS('2026'!$K:$K,'2026'!$R:$R,$E$3&amp;$C11,'2026'!$T:$T,L$6),
SUMIFS('2026'!$K:$K,'2026'!$N:$N,$E$3&amp;$C11&amp;$E$4,'2026'!$T:$T,L$6))</f>
        <v>0</v>
      </c>
      <c r="M11" s="130">
        <f>IF((AND($E$3="MCS",$E$4="TODOS CRs")),
SUMIFS('2026'!$K:$K,'2026'!$R:$R,$E$3&amp;$C11,'2026'!$T:$T,M$6),
SUMIFS('2026'!$K:$K,'2026'!$N:$N,$E$3&amp;$C11&amp;$E$4,'2026'!$T:$T,M$6))</f>
        <v>0</v>
      </c>
      <c r="N11" s="130">
        <f>IF((AND($E$3="MCS",$E$4="TODOS CRs")),
SUMIFS('2026'!$K:$K,'2026'!$R:$R,$E$3&amp;$C11,'2026'!$T:$T,N$6),
SUMIFS('2026'!$K:$K,'2026'!$N:$N,$E$3&amp;$C11&amp;$E$4,'2026'!$T:$T,N$6))</f>
        <v>0</v>
      </c>
      <c r="O11" s="130">
        <f>IF((AND($E$3="MCS",$E$4="TODOS CRs")),
SUMIFS('2026'!$K:$K,'2026'!$R:$R,$E$3&amp;$C11,'2026'!$T:$T,O$6),
SUMIFS('2026'!$K:$K,'2026'!$N:$N,$E$3&amp;$C11&amp;$E$4,'2026'!$T:$T,O$6))</f>
        <v>0</v>
      </c>
      <c r="P11" s="130">
        <f>IF((AND($E$3="MCS",$E$4="TODOS CRs")),
SUMIFS('2026'!$K:$K,'2026'!$R:$R,$E$3&amp;$C11,'2026'!$T:$T,P$6),
SUMIFS('2026'!$K:$K,'2026'!$N:$N,$E$3&amp;$C11&amp;$E$4,'2026'!$T:$T,P$6))</f>
        <v>0</v>
      </c>
      <c r="Q11" s="130">
        <f>IF((AND($E$3="MCS",$E$4="TODOS CRs")),
SUMIFS('2026'!$K:$K,'2026'!$R:$R,$E$3&amp;$C11,'2026'!$T:$T,Q$6),
SUMIFS('2026'!$K:$K,'2026'!$N:$N,$E$3&amp;$C11&amp;$E$4,'2026'!$T:$T,Q$6))</f>
        <v>0</v>
      </c>
      <c r="T11" s="230" t="s">
        <v>785</v>
      </c>
      <c r="U11" s="231">
        <f t="shared" si="0"/>
        <v>-2053.59</v>
      </c>
      <c r="V11" s="232">
        <f t="shared" si="1"/>
        <v>6.1133760521556633E-2</v>
      </c>
    </row>
    <row r="12" spans="1:23" ht="15" customHeight="1" x14ac:dyDescent="0.25">
      <c r="B12" s="129" t="s">
        <v>779</v>
      </c>
      <c r="C12" s="129" t="s">
        <v>798</v>
      </c>
      <c r="D12" s="128" t="s">
        <v>755</v>
      </c>
      <c r="E12" s="310">
        <f t="shared" si="2"/>
        <v>0</v>
      </c>
      <c r="F12" s="130">
        <f>IF((AND($E$3="MCS",$E$4="TODOS CRs")),
SUMIFS('2026'!$K:$K,'2026'!$R:$R,$E$3&amp;$C12,'2026'!$T:$T,F$6),
SUMIFS('2026'!$K:$K,'2026'!$N:$N,$E$3&amp;$C12&amp;$E$4,'2026'!$T:$T,F$6))</f>
        <v>0</v>
      </c>
      <c r="G12" s="130">
        <f>IF((AND($E$3="MCS",$E$4="TODOS CRs")),
SUMIFS('2026'!$K:$K,'2026'!$R:$R,$E$3&amp;$C12,'2026'!$T:$T,G$6),
SUMIFS('2026'!$K:$K,'2026'!$N:$N,$E$3&amp;$C12&amp;$E$4,'2026'!$T:$T,G$6))</f>
        <v>0</v>
      </c>
      <c r="H12" s="130">
        <f>IF((AND($E$3="MCS",$E$4="TODOS CRs")),
SUMIFS('2026'!$K:$K,'2026'!$R:$R,$E$3&amp;$C12,'2026'!$T:$T,H$6),
SUMIFS('2026'!$K:$K,'2026'!$N:$N,$E$3&amp;$C12&amp;$E$4,'2026'!$T:$T,H$6))</f>
        <v>0</v>
      </c>
      <c r="I12" s="130">
        <f>IF((AND($E$3="MCS",$E$4="TODOS CRs")),
SUMIFS('2026'!$K:$K,'2026'!$R:$R,$E$3&amp;$C12,'2026'!$T:$T,I$6),
SUMIFS('2026'!$K:$K,'2026'!$N:$N,$E$3&amp;$C12&amp;$E$4,'2026'!$T:$T,I$6))</f>
        <v>0</v>
      </c>
      <c r="J12" s="130">
        <f>IF((AND($E$3="MCS",$E$4="TODOS CRs")),
SUMIFS('2026'!$K:$K,'2026'!$R:$R,$E$3&amp;$C12,'2026'!$T:$T,J$6),
SUMIFS('2026'!$K:$K,'2026'!$N:$N,$E$3&amp;$C12&amp;$E$4,'2026'!$T:$T,J$6))</f>
        <v>0</v>
      </c>
      <c r="K12" s="130">
        <f>IF((AND($E$3="MCS",$E$4="TODOS CRs")),
SUMIFS('2026'!$K:$K,'2026'!$R:$R,$E$3&amp;$C12,'2026'!$T:$T,K$6),
SUMIFS('2026'!$K:$K,'2026'!$N:$N,$E$3&amp;$C12&amp;$E$4,'2026'!$T:$T,K$6))</f>
        <v>0</v>
      </c>
      <c r="L12" s="130">
        <f>IF((AND($E$3="MCS",$E$4="TODOS CRs")),
SUMIFS('2026'!$K:$K,'2026'!$R:$R,$E$3&amp;$C12,'2026'!$T:$T,L$6),
SUMIFS('2026'!$K:$K,'2026'!$N:$N,$E$3&amp;$C12&amp;$E$4,'2026'!$T:$T,L$6))</f>
        <v>0</v>
      </c>
      <c r="M12" s="130">
        <f>IF((AND($E$3="MCS",$E$4="TODOS CRs")),
SUMIFS('2026'!$K:$K,'2026'!$R:$R,$E$3&amp;$C12,'2026'!$T:$T,M$6),
SUMIFS('2026'!$K:$K,'2026'!$N:$N,$E$3&amp;$C12&amp;$E$4,'2026'!$T:$T,M$6))</f>
        <v>0</v>
      </c>
      <c r="N12" s="130">
        <f>IF((AND($E$3="MCS",$E$4="TODOS CRs")),
SUMIFS('2026'!$K:$K,'2026'!$R:$R,$E$3&amp;$C12,'2026'!$T:$T,N$6),
SUMIFS('2026'!$K:$K,'2026'!$N:$N,$E$3&amp;$C12&amp;$E$4,'2026'!$T:$T,N$6))</f>
        <v>0</v>
      </c>
      <c r="O12" s="130">
        <f>IF((AND($E$3="MCS",$E$4="TODOS CRs")),
SUMIFS('2026'!$K:$K,'2026'!$R:$R,$E$3&amp;$C12,'2026'!$T:$T,O$6),
SUMIFS('2026'!$K:$K,'2026'!$N:$N,$E$3&amp;$C12&amp;$E$4,'2026'!$T:$T,O$6))</f>
        <v>0</v>
      </c>
      <c r="P12" s="130">
        <f>IF((AND($E$3="MCS",$E$4="TODOS CRs")),
SUMIFS('2026'!$K:$K,'2026'!$R:$R,$E$3&amp;$C12,'2026'!$T:$T,P$6),
SUMIFS('2026'!$K:$K,'2026'!$N:$N,$E$3&amp;$C12&amp;$E$4,'2026'!$T:$T,P$6))</f>
        <v>0</v>
      </c>
      <c r="Q12" s="130">
        <f>IF((AND($E$3="MCS",$E$4="TODOS CRs")),
SUMIFS('2026'!$K:$K,'2026'!$R:$R,$E$3&amp;$C12,'2026'!$T:$T,Q$6),
SUMIFS('2026'!$K:$K,'2026'!$N:$N,$E$3&amp;$C12&amp;$E$4,'2026'!$T:$T,Q$6))</f>
        <v>0</v>
      </c>
      <c r="T12" s="230" t="s">
        <v>784</v>
      </c>
      <c r="U12" s="231">
        <f t="shared" si="0"/>
        <v>-296</v>
      </c>
      <c r="V12" s="232">
        <f t="shared" si="1"/>
        <v>8.8116873934820303E-3</v>
      </c>
    </row>
    <row r="13" spans="1:23" s="186" customFormat="1" ht="15" customHeight="1" x14ac:dyDescent="0.25">
      <c r="B13" s="170" t="s">
        <v>779</v>
      </c>
      <c r="C13" s="170" t="s">
        <v>756</v>
      </c>
      <c r="D13" s="171" t="s">
        <v>774</v>
      </c>
      <c r="E13" s="311">
        <f t="shared" si="2"/>
        <v>170</v>
      </c>
      <c r="F13" s="187">
        <f>IF((AND($E$3="MCS",$E$4="TODOS CRs")),
SUMIFS('2026'!$K:$K,'2026'!$R:$R,$E$3&amp;$C13,'2026'!$T:$T,F$6),
SUMIFS('2026'!$K:$K,'2026'!$N:$N,$E$3&amp;$C13&amp;$E$4,'2026'!$T:$T,F$6))</f>
        <v>0</v>
      </c>
      <c r="G13" s="187">
        <f>IF((AND($E$3="MCS",$E$4="TODOS CRs")),
SUMIFS('2026'!$K:$K,'2026'!$R:$R,$E$3&amp;$C13,'2026'!$T:$T,G$6),
SUMIFS('2026'!$K:$K,'2026'!$N:$N,$E$3&amp;$C13&amp;$E$4,'2026'!$T:$T,G$6))</f>
        <v>0</v>
      </c>
      <c r="H13" s="187">
        <f>IF((AND($E$3="MCS",$E$4="TODOS CRs")),
SUMIFS('2026'!$K:$K,'2026'!$R:$R,$E$3&amp;$C13,'2026'!$T:$T,H$6),
SUMIFS('2026'!$K:$K,'2026'!$N:$N,$E$3&amp;$C13&amp;$E$4,'2026'!$T:$T,H$6))</f>
        <v>0</v>
      </c>
      <c r="I13" s="187">
        <f>IF((AND($E$3="MCS",$E$4="TODOS CRs")),
SUMIFS('2026'!$K:$K,'2026'!$R:$R,$E$3&amp;$C13,'2026'!$T:$T,I$6),
SUMIFS('2026'!$K:$K,'2026'!$N:$N,$E$3&amp;$C13&amp;$E$4,'2026'!$T:$T,I$6))</f>
        <v>0</v>
      </c>
      <c r="J13" s="187">
        <f>IF((AND($E$3="MCS",$E$4="TODOS CRs")),
SUMIFS('2026'!$K:$K,'2026'!$R:$R,$E$3&amp;$C13,'2026'!$T:$T,J$6),
SUMIFS('2026'!$K:$K,'2026'!$N:$N,$E$3&amp;$C13&amp;$E$4,'2026'!$T:$T,J$6))</f>
        <v>170</v>
      </c>
      <c r="K13" s="187">
        <f>IF((AND($E$3="MCS",$E$4="TODOS CRs")),
SUMIFS('2026'!$K:$K,'2026'!$R:$R,$E$3&amp;$C13,'2026'!$T:$T,K$6),
SUMIFS('2026'!$K:$K,'2026'!$N:$N,$E$3&amp;$C13&amp;$E$4,'2026'!$T:$T,K$6))</f>
        <v>0</v>
      </c>
      <c r="L13" s="187">
        <f>IF((AND($E$3="MCS",$E$4="TODOS CRs")),
SUMIFS('2026'!$K:$K,'2026'!$R:$R,$E$3&amp;$C13,'2026'!$T:$T,L$6),
SUMIFS('2026'!$K:$K,'2026'!$N:$N,$E$3&amp;$C13&amp;$E$4,'2026'!$T:$T,L$6))</f>
        <v>0</v>
      </c>
      <c r="M13" s="187">
        <f>IF((AND($E$3="MCS",$E$4="TODOS CRs")),
SUMIFS('2026'!$K:$K,'2026'!$R:$R,$E$3&amp;$C13,'2026'!$T:$T,M$6),
SUMIFS('2026'!$K:$K,'2026'!$N:$N,$E$3&amp;$C13&amp;$E$4,'2026'!$T:$T,M$6))</f>
        <v>0</v>
      </c>
      <c r="N13" s="187">
        <f>IF((AND($E$3="MCS",$E$4="TODOS CRs")),
SUMIFS('2026'!$K:$K,'2026'!$R:$R,$E$3&amp;$C13,'2026'!$T:$T,N$6),
SUMIFS('2026'!$K:$K,'2026'!$N:$N,$E$3&amp;$C13&amp;$E$4,'2026'!$T:$T,N$6))</f>
        <v>0</v>
      </c>
      <c r="O13" s="187">
        <f>IF((AND($E$3="MCS",$E$4="TODOS CRs")),
SUMIFS('2026'!$K:$K,'2026'!$R:$R,$E$3&amp;$C13,'2026'!$T:$T,O$6),
SUMIFS('2026'!$K:$K,'2026'!$N:$N,$E$3&amp;$C13&amp;$E$4,'2026'!$T:$T,O$6))</f>
        <v>0</v>
      </c>
      <c r="P13" s="187">
        <f>IF((AND($E$3="MCS",$E$4="TODOS CRs")),
SUMIFS('2026'!$K:$K,'2026'!$R:$R,$E$3&amp;$C13,'2026'!$T:$T,P$6),
SUMIFS('2026'!$K:$K,'2026'!$N:$N,$E$3&amp;$C13&amp;$E$4,'2026'!$T:$T,P$6))</f>
        <v>0</v>
      </c>
      <c r="Q13" s="187">
        <f>IF((AND($E$3="MCS",$E$4="TODOS CRs")),
SUMIFS('2026'!$K:$K,'2026'!$R:$R,$E$3&amp;$C13,'2026'!$T:$T,Q$6),
SUMIFS('2026'!$K:$K,'2026'!$N:$N,$E$3&amp;$C13&amp;$E$4,'2026'!$T:$T,Q$6))</f>
        <v>0</v>
      </c>
      <c r="T13" s="233" t="s">
        <v>777</v>
      </c>
      <c r="U13" s="234">
        <f t="shared" si="0"/>
        <v>0</v>
      </c>
      <c r="V13" s="235">
        <f t="shared" si="1"/>
        <v>0</v>
      </c>
      <c r="W13" s="1"/>
    </row>
    <row r="14" spans="1:23" s="121" customFormat="1" ht="18.75" x14ac:dyDescent="0.3">
      <c r="D14" s="122" t="s">
        <v>7</v>
      </c>
      <c r="E14" s="312">
        <f t="shared" ref="E14" si="3">SUBTOTAL(9,E7:E13)</f>
        <v>33591.75</v>
      </c>
      <c r="F14" s="127">
        <f t="shared" ref="F14" si="4">SUBTOTAL(9,F7:F13)</f>
        <v>4900</v>
      </c>
      <c r="G14" s="127">
        <f t="shared" ref="G14" si="5">SUBTOTAL(9,G7:G13)</f>
        <v>5517.62</v>
      </c>
      <c r="H14" s="127">
        <f t="shared" ref="H14" si="6">SUBTOTAL(9,H7:H13)</f>
        <v>5096</v>
      </c>
      <c r="I14" s="127">
        <f t="shared" ref="I14" si="7">SUBTOTAL(9,I7:I13)</f>
        <v>7025</v>
      </c>
      <c r="J14" s="127">
        <f t="shared" ref="J14" si="8">SUBTOTAL(9,J7:J13)</f>
        <v>6659.99</v>
      </c>
      <c r="K14" s="127">
        <f t="shared" ref="K14" si="9">SUBTOTAL(9,K7:K13)</f>
        <v>4393.1400000000003</v>
      </c>
      <c r="L14" s="127">
        <f t="shared" ref="L14" si="10">SUBTOTAL(9,L7:L13)</f>
        <v>0</v>
      </c>
      <c r="M14" s="127">
        <f t="shared" ref="M14" si="11">SUBTOTAL(9,M7:M13)</f>
        <v>0</v>
      </c>
      <c r="N14" s="127">
        <f t="shared" ref="N14" si="12">SUBTOTAL(9,N7:N13)</f>
        <v>0</v>
      </c>
      <c r="O14" s="127">
        <f t="shared" ref="O14" si="13">SUBTOTAL(9,O7:O13)</f>
        <v>0</v>
      </c>
      <c r="P14" s="127">
        <f t="shared" ref="P14" si="14">SUBTOTAL(9,P7:P13)</f>
        <v>0</v>
      </c>
      <c r="Q14" s="127">
        <f t="shared" ref="Q14" si="15">SUBTOTAL(9,Q7:Q13)</f>
        <v>0</v>
      </c>
      <c r="T14" s="227" t="s">
        <v>803</v>
      </c>
      <c r="U14" s="228">
        <f>U5+U13</f>
        <v>33591.75</v>
      </c>
      <c r="V14" s="236">
        <f t="shared" ref="V14" si="16">ABS(U14/$U$5)</f>
        <v>1</v>
      </c>
      <c r="W14" s="1"/>
    </row>
    <row r="15" spans="1:23" ht="11.25" customHeight="1" x14ac:dyDescent="0.25">
      <c r="A15" s="5"/>
      <c r="B15" s="5"/>
      <c r="C15" s="5"/>
    </row>
    <row r="16" spans="1:23" ht="15" customHeight="1" x14ac:dyDescent="0.25">
      <c r="A16" s="4"/>
      <c r="B16" s="101" t="s">
        <v>787</v>
      </c>
      <c r="C16" s="101" t="s">
        <v>32</v>
      </c>
      <c r="D16" s="98" t="s">
        <v>1</v>
      </c>
      <c r="E16" s="99" t="s">
        <v>5</v>
      </c>
      <c r="F16" s="216">
        <f t="shared" ref="F16:Q16" si="17">F6</f>
        <v>46023</v>
      </c>
      <c r="G16" s="215">
        <f t="shared" si="17"/>
        <v>46054</v>
      </c>
      <c r="H16" s="215">
        <f t="shared" si="17"/>
        <v>46082</v>
      </c>
      <c r="I16" s="215">
        <f t="shared" si="17"/>
        <v>46113</v>
      </c>
      <c r="J16" s="215">
        <f t="shared" si="17"/>
        <v>46143</v>
      </c>
      <c r="K16" s="215">
        <f t="shared" si="17"/>
        <v>46174</v>
      </c>
      <c r="L16" s="215">
        <f t="shared" si="17"/>
        <v>46204</v>
      </c>
      <c r="M16" s="215">
        <f t="shared" si="17"/>
        <v>46235</v>
      </c>
      <c r="N16" s="215">
        <f t="shared" si="17"/>
        <v>46266</v>
      </c>
      <c r="O16" s="215">
        <f t="shared" si="17"/>
        <v>46296</v>
      </c>
      <c r="P16" s="215">
        <f t="shared" si="17"/>
        <v>46327</v>
      </c>
      <c r="Q16" s="215">
        <f t="shared" si="17"/>
        <v>46357</v>
      </c>
    </row>
    <row r="17" spans="1:17" s="141" customFormat="1" ht="15" customHeight="1" x14ac:dyDescent="0.25">
      <c r="A17" s="135"/>
      <c r="B17" s="136" t="s">
        <v>780</v>
      </c>
      <c r="C17" s="136" t="s">
        <v>8</v>
      </c>
      <c r="D17" s="137" t="s">
        <v>744</v>
      </c>
      <c r="E17" s="138">
        <f t="shared" ref="E17:E39" si="18">SUM(F17:Q17)</f>
        <v>-1928.08</v>
      </c>
      <c r="F17" s="150">
        <f>IF((AND($E$3="MCS",$E$4="TODOS CRs")),
SUMIFS('2026'!$K:$K,'2026'!$R:$R,$E$3&amp;$C17,'2026'!$T:$T,F$6),
SUMIFS('2026'!$K:$K,'2026'!$N:$N,$E$3&amp;$C17&amp;$E$4,'2026'!$T:$T,F$6))</f>
        <v>-416.33</v>
      </c>
      <c r="G17" s="140">
        <f>IF((AND($E$3="MCS",$E$4="TODOS CRs")),
SUMIFS('2026'!$K:$K,'2026'!$R:$R,$E$3&amp;$C17,'2026'!$T:$T,G$6),
SUMIFS('2026'!$K:$K,'2026'!$N:$N,$E$3&amp;$C17&amp;$E$4,'2026'!$T:$T,G$6))</f>
        <v>-293</v>
      </c>
      <c r="H17" s="140">
        <f>IF((AND($E$3="MCS",$E$4="TODOS CRs")),
SUMIFS('2026'!$K:$K,'2026'!$R:$R,$E$3&amp;$C17,'2026'!$T:$T,H$6),
SUMIFS('2026'!$K:$K,'2026'!$N:$N,$E$3&amp;$C17&amp;$E$4,'2026'!$T:$T,H$6))</f>
        <v>-24</v>
      </c>
      <c r="I17" s="140">
        <f>IF((AND($E$3="MCS",$E$4="TODOS CRs")),
SUMIFS('2026'!$K:$K,'2026'!$R:$R,$E$3&amp;$C17,'2026'!$T:$T,I$6),
SUMIFS('2026'!$K:$K,'2026'!$N:$N,$E$3&amp;$C17&amp;$E$4,'2026'!$T:$T,I$6))</f>
        <v>-250.16</v>
      </c>
      <c r="J17" s="140">
        <f>IF((AND($E$3="MCS",$E$4="TODOS CRs")),
SUMIFS('2026'!$K:$K,'2026'!$R:$R,$E$3&amp;$C17,'2026'!$T:$T,J$6),
SUMIFS('2026'!$K:$K,'2026'!$N:$N,$E$3&amp;$C17&amp;$E$4,'2026'!$T:$T,J$6))</f>
        <v>-497.16</v>
      </c>
      <c r="K17" s="140">
        <f>IF((AND($E$3="MCS",$E$4="TODOS CRs")),
SUMIFS('2026'!$K:$K,'2026'!$R:$R,$E$3&amp;$C17,'2026'!$T:$T,K$6),
SUMIFS('2026'!$K:$K,'2026'!$N:$N,$E$3&amp;$C17&amp;$E$4,'2026'!$T:$T,K$6))</f>
        <v>-447.43</v>
      </c>
      <c r="L17" s="140">
        <f>IF((AND($E$3="MCS",$E$4="TODOS CRs")),
SUMIFS('2026'!$K:$K,'2026'!$R:$R,$E$3&amp;$C17,'2026'!$T:$T,L$6),
SUMIFS('2026'!$K:$K,'2026'!$N:$N,$E$3&amp;$C17&amp;$E$4,'2026'!$T:$T,L$6))</f>
        <v>0</v>
      </c>
      <c r="M17" s="140">
        <f>IF((AND($E$3="MCS",$E$4="TODOS CRs")),
SUMIFS('2026'!$K:$K,'2026'!$R:$R,$E$3&amp;$C17,'2026'!$T:$T,M$6),
SUMIFS('2026'!$K:$K,'2026'!$N:$N,$E$3&amp;$C17&amp;$E$4,'2026'!$T:$T,M$6))</f>
        <v>0</v>
      </c>
      <c r="N17" s="140">
        <f>IF((AND($E$3="MCS",$E$4="TODOS CRs")),
SUMIFS('2026'!$K:$K,'2026'!$R:$R,$E$3&amp;$C17,'2026'!$T:$T,N$6),
SUMIFS('2026'!$K:$K,'2026'!$N:$N,$E$3&amp;$C17&amp;$E$4,'2026'!$T:$T,N$6))</f>
        <v>0</v>
      </c>
      <c r="O17" s="140">
        <f>IF((AND($E$3="MCS",$E$4="TODOS CRs")),
SUMIFS('2026'!$K:$K,'2026'!$R:$R,$E$3&amp;$C17,'2026'!$T:$T,O$6),
SUMIFS('2026'!$K:$K,'2026'!$N:$N,$E$3&amp;$C17&amp;$E$4,'2026'!$T:$T,O$6))</f>
        <v>0</v>
      </c>
      <c r="P17" s="140">
        <f>IF((AND($E$3="MCS",$E$4="TODOS CRs")),
SUMIFS('2026'!$K:$K,'2026'!$R:$R,$E$3&amp;$C17,'2026'!$T:$T,P$6),
SUMIFS('2026'!$K:$K,'2026'!$N:$N,$E$3&amp;$C17&amp;$E$4,'2026'!$T:$T,P$6))</f>
        <v>0</v>
      </c>
      <c r="Q17" s="140">
        <f>IF((AND($E$3="MCS",$E$4="TODOS CRs")),
SUMIFS('2026'!$K:$K,'2026'!$R:$R,$E$3&amp;$C17,'2026'!$T:$T,Q$6),
SUMIFS('2026'!$K:$K,'2026'!$N:$N,$E$3&amp;$C17&amp;$E$4,'2026'!$T:$T,Q$6))</f>
        <v>0</v>
      </c>
    </row>
    <row r="18" spans="1:17" s="142" customFormat="1" ht="15" customHeight="1" x14ac:dyDescent="0.25">
      <c r="A18" s="135"/>
      <c r="B18" s="136" t="s">
        <v>780</v>
      </c>
      <c r="C18" s="136" t="s">
        <v>9</v>
      </c>
      <c r="D18" s="137" t="s">
        <v>741</v>
      </c>
      <c r="E18" s="138">
        <f t="shared" si="18"/>
        <v>-4912.38</v>
      </c>
      <c r="F18" s="150">
        <f>IF((AND($E$3="MCS",$E$4="TODOS CRs")),
SUMIFS('2026'!$K:$K,'2026'!$R:$R,$E$3&amp;$C18,'2026'!$T:$T,F$6),
SUMIFS('2026'!$K:$K,'2026'!$N:$N,$E$3&amp;$C18&amp;$E$4,'2026'!$T:$T,F$6))</f>
        <v>-740</v>
      </c>
      <c r="G18" s="140">
        <f>IF((AND($E$3="MCS",$E$4="TODOS CRs")),
SUMIFS('2026'!$K:$K,'2026'!$R:$R,$E$3&amp;$C18,'2026'!$T:$T,G$6),
SUMIFS('2026'!$K:$K,'2026'!$N:$N,$E$3&amp;$C18&amp;$E$4,'2026'!$T:$T,G$6))</f>
        <v>-1096.67</v>
      </c>
      <c r="H18" s="140">
        <f>IF((AND($E$3="MCS",$E$4="TODOS CRs")),
SUMIFS('2026'!$K:$K,'2026'!$R:$R,$E$3&amp;$C18,'2026'!$T:$T,H$6),
SUMIFS('2026'!$K:$K,'2026'!$N:$N,$E$3&amp;$C18&amp;$E$4,'2026'!$T:$T,H$6))</f>
        <v>-675.2</v>
      </c>
      <c r="I18" s="140">
        <f>IF((AND($E$3="MCS",$E$4="TODOS CRs")),
SUMIFS('2026'!$K:$K,'2026'!$R:$R,$E$3&amp;$C18,'2026'!$T:$T,I$6),
SUMIFS('2026'!$K:$K,'2026'!$N:$N,$E$3&amp;$C18&amp;$E$4,'2026'!$T:$T,I$6))</f>
        <v>-887.68000000000006</v>
      </c>
      <c r="J18" s="140">
        <f>IF((AND($E$3="MCS",$E$4="TODOS CRs")),
SUMIFS('2026'!$K:$K,'2026'!$R:$R,$E$3&amp;$C18,'2026'!$T:$T,J$6),
SUMIFS('2026'!$K:$K,'2026'!$N:$N,$E$3&amp;$C18&amp;$E$4,'2026'!$T:$T,J$6))</f>
        <v>-1012.83</v>
      </c>
      <c r="K18" s="140">
        <f>IF((AND($E$3="MCS",$E$4="TODOS CRs")),
SUMIFS('2026'!$K:$K,'2026'!$R:$R,$E$3&amp;$C18,'2026'!$T:$T,K$6),
SUMIFS('2026'!$K:$K,'2026'!$N:$N,$E$3&amp;$C18&amp;$E$4,'2026'!$T:$T,K$6))</f>
        <v>-500</v>
      </c>
      <c r="L18" s="140">
        <f>IF((AND($E$3="MCS",$E$4="TODOS CRs")),
SUMIFS('2026'!$K:$K,'2026'!$R:$R,$E$3&amp;$C18,'2026'!$T:$T,L$6),
SUMIFS('2026'!$K:$K,'2026'!$N:$N,$E$3&amp;$C18&amp;$E$4,'2026'!$T:$T,L$6))</f>
        <v>0</v>
      </c>
      <c r="M18" s="140">
        <f>IF((AND($E$3="MCS",$E$4="TODOS CRs")),
SUMIFS('2026'!$K:$K,'2026'!$R:$R,$E$3&amp;$C18,'2026'!$T:$T,M$6),
SUMIFS('2026'!$K:$K,'2026'!$N:$N,$E$3&amp;$C18&amp;$E$4,'2026'!$T:$T,M$6))</f>
        <v>0</v>
      </c>
      <c r="N18" s="140">
        <f>IF((AND($E$3="MCS",$E$4="TODOS CRs")),
SUMIFS('2026'!$K:$K,'2026'!$R:$R,$E$3&amp;$C18,'2026'!$T:$T,N$6),
SUMIFS('2026'!$K:$K,'2026'!$N:$N,$E$3&amp;$C18&amp;$E$4,'2026'!$T:$T,N$6))</f>
        <v>0</v>
      </c>
      <c r="O18" s="140">
        <f>IF((AND($E$3="MCS",$E$4="TODOS CRs")),
SUMIFS('2026'!$K:$K,'2026'!$R:$R,$E$3&amp;$C18,'2026'!$T:$T,O$6),
SUMIFS('2026'!$K:$K,'2026'!$N:$N,$E$3&amp;$C18&amp;$E$4,'2026'!$T:$T,O$6))</f>
        <v>0</v>
      </c>
      <c r="P18" s="140">
        <f>IF((AND($E$3="MCS",$E$4="TODOS CRs")),
SUMIFS('2026'!$K:$K,'2026'!$R:$R,$E$3&amp;$C18,'2026'!$T:$T,P$6),
SUMIFS('2026'!$K:$K,'2026'!$N:$N,$E$3&amp;$C18&amp;$E$4,'2026'!$T:$T,P$6))</f>
        <v>0</v>
      </c>
      <c r="Q18" s="140">
        <f>IF((AND($E$3="MCS",$E$4="TODOS CRs")),
SUMIFS('2026'!$K:$K,'2026'!$R:$R,$E$3&amp;$C18,'2026'!$T:$T,Q$6),
SUMIFS('2026'!$K:$K,'2026'!$N:$N,$E$3&amp;$C18&amp;$E$4,'2026'!$T:$T,Q$6))</f>
        <v>0</v>
      </c>
    </row>
    <row r="19" spans="1:17" s="142" customFormat="1" ht="15" customHeight="1" x14ac:dyDescent="0.25">
      <c r="A19" s="135"/>
      <c r="B19" s="143" t="s">
        <v>781</v>
      </c>
      <c r="C19" s="143" t="s">
        <v>721</v>
      </c>
      <c r="D19" s="144" t="s">
        <v>733</v>
      </c>
      <c r="E19" s="145">
        <f t="shared" si="18"/>
        <v>-215.52</v>
      </c>
      <c r="F19" s="151">
        <f>IF((AND($E$3="MCS",$E$4="TODOS CRs")),
SUMIFS('2026'!$K:$K,'2026'!$R:$R,$E$3&amp;$C19,'2026'!$T:$T,F$6),
SUMIFS('2026'!$K:$K,'2026'!$N:$N,$E$3&amp;$C19&amp;$E$4,'2026'!$T:$T,F$6))</f>
        <v>0</v>
      </c>
      <c r="G19" s="147">
        <f>IF((AND($E$3="MCS",$E$4="TODOS CRs")),
SUMIFS('2026'!$K:$K,'2026'!$R:$R,$E$3&amp;$C19,'2026'!$T:$T,G$6),
SUMIFS('2026'!$K:$K,'2026'!$N:$N,$E$3&amp;$C19&amp;$E$4,'2026'!$T:$T,G$6))</f>
        <v>-203.49</v>
      </c>
      <c r="H19" s="147">
        <f>IF((AND($E$3="MCS",$E$4="TODOS CRs")),
SUMIFS('2026'!$K:$K,'2026'!$R:$R,$E$3&amp;$C19,'2026'!$T:$T,H$6),
SUMIFS('2026'!$K:$K,'2026'!$N:$N,$E$3&amp;$C19&amp;$E$4,'2026'!$T:$T,H$6))</f>
        <v>-5.9</v>
      </c>
      <c r="I19" s="147">
        <f>IF((AND($E$3="MCS",$E$4="TODOS CRs")),
SUMIFS('2026'!$K:$K,'2026'!$R:$R,$E$3&amp;$C19,'2026'!$T:$T,I$6),
SUMIFS('2026'!$K:$K,'2026'!$N:$N,$E$3&amp;$C19&amp;$E$4,'2026'!$T:$T,I$6))</f>
        <v>0</v>
      </c>
      <c r="J19" s="147">
        <f>IF((AND($E$3="MCS",$E$4="TODOS CRs")),
SUMIFS('2026'!$K:$K,'2026'!$R:$R,$E$3&amp;$C19,'2026'!$T:$T,J$6),
SUMIFS('2026'!$K:$K,'2026'!$N:$N,$E$3&amp;$C19&amp;$E$4,'2026'!$T:$T,J$6))</f>
        <v>0</v>
      </c>
      <c r="K19" s="147">
        <f>IF((AND($E$3="MCS",$E$4="TODOS CRs")),
SUMIFS('2026'!$K:$K,'2026'!$R:$R,$E$3&amp;$C19,'2026'!$T:$T,K$6),
SUMIFS('2026'!$K:$K,'2026'!$N:$N,$E$3&amp;$C19&amp;$E$4,'2026'!$T:$T,K$6))</f>
        <v>-6.13</v>
      </c>
      <c r="L19" s="147">
        <f>IF((AND($E$3="MCS",$E$4="TODOS CRs")),
SUMIFS('2026'!$K:$K,'2026'!$R:$R,$E$3&amp;$C19,'2026'!$T:$T,L$6),
SUMIFS('2026'!$K:$K,'2026'!$N:$N,$E$3&amp;$C19&amp;$E$4,'2026'!$T:$T,L$6))</f>
        <v>0</v>
      </c>
      <c r="M19" s="147">
        <f>IF((AND($E$3="MCS",$E$4="TODOS CRs")),
SUMIFS('2026'!$K:$K,'2026'!$R:$R,$E$3&amp;$C19,'2026'!$T:$T,M$6),
SUMIFS('2026'!$K:$K,'2026'!$N:$N,$E$3&amp;$C19&amp;$E$4,'2026'!$T:$T,M$6))</f>
        <v>0</v>
      </c>
      <c r="N19" s="147">
        <f>IF((AND($E$3="MCS",$E$4="TODOS CRs")),
SUMIFS('2026'!$K:$K,'2026'!$R:$R,$E$3&amp;$C19,'2026'!$T:$T,N$6),
SUMIFS('2026'!$K:$K,'2026'!$N:$N,$E$3&amp;$C19&amp;$E$4,'2026'!$T:$T,N$6))</f>
        <v>0</v>
      </c>
      <c r="O19" s="147">
        <f>IF((AND($E$3="MCS",$E$4="TODOS CRs")),
SUMIFS('2026'!$K:$K,'2026'!$R:$R,$E$3&amp;$C19,'2026'!$T:$T,O$6),
SUMIFS('2026'!$K:$K,'2026'!$N:$N,$E$3&amp;$C19&amp;$E$4,'2026'!$T:$T,O$6))</f>
        <v>0</v>
      </c>
      <c r="P19" s="147">
        <f>IF((AND($E$3="MCS",$E$4="TODOS CRs")),
SUMIFS('2026'!$K:$K,'2026'!$R:$R,$E$3&amp;$C19,'2026'!$T:$T,P$6),
SUMIFS('2026'!$K:$K,'2026'!$N:$N,$E$3&amp;$C19&amp;$E$4,'2026'!$T:$T,P$6))</f>
        <v>0</v>
      </c>
      <c r="Q19" s="147">
        <f>IF((AND($E$3="MCS",$E$4="TODOS CRs")),
SUMIFS('2026'!$K:$K,'2026'!$R:$R,$E$3&amp;$C19,'2026'!$T:$T,Q$6),
SUMIFS('2026'!$K:$K,'2026'!$N:$N,$E$3&amp;$C19&amp;$E$4,'2026'!$T:$T,Q$6))</f>
        <v>0</v>
      </c>
    </row>
    <row r="20" spans="1:17" s="142" customFormat="1" ht="15" customHeight="1" x14ac:dyDescent="0.25">
      <c r="A20" s="135"/>
      <c r="B20" s="143" t="s">
        <v>781</v>
      </c>
      <c r="C20" s="143" t="s">
        <v>722</v>
      </c>
      <c r="D20" s="144" t="s">
        <v>739</v>
      </c>
      <c r="E20" s="145">
        <f t="shared" si="18"/>
        <v>-1380.4099999999999</v>
      </c>
      <c r="F20" s="151">
        <f>IF((AND($E$3="MCS",$E$4="TODOS CRs")),
SUMIFS('2026'!$K:$K,'2026'!$R:$R,$E$3&amp;$C20,'2026'!$T:$T,F$6),
SUMIFS('2026'!$K:$K,'2026'!$N:$N,$E$3&amp;$C20&amp;$E$4,'2026'!$T:$T,F$6))</f>
        <v>-248.12</v>
      </c>
      <c r="G20" s="147">
        <f>IF((AND($E$3="MCS",$E$4="TODOS CRs")),
SUMIFS('2026'!$K:$K,'2026'!$R:$R,$E$3&amp;$C20,'2026'!$T:$T,G$6),
SUMIFS('2026'!$K:$K,'2026'!$N:$N,$E$3&amp;$C20&amp;$E$4,'2026'!$T:$T,G$6))</f>
        <v>-124.97</v>
      </c>
      <c r="H20" s="147">
        <f>IF((AND($E$3="MCS",$E$4="TODOS CRs")),
SUMIFS('2026'!$K:$K,'2026'!$R:$R,$E$3&amp;$C20,'2026'!$T:$T,H$6),
SUMIFS('2026'!$K:$K,'2026'!$N:$N,$E$3&amp;$C20&amp;$E$4,'2026'!$T:$T,H$6))</f>
        <v>-447.99</v>
      </c>
      <c r="I20" s="147">
        <f>IF((AND($E$3="MCS",$E$4="TODOS CRs")),
SUMIFS('2026'!$K:$K,'2026'!$R:$R,$E$3&amp;$C20,'2026'!$T:$T,I$6),
SUMIFS('2026'!$K:$K,'2026'!$N:$N,$E$3&amp;$C20&amp;$E$4,'2026'!$T:$T,I$6))</f>
        <v>-125.21</v>
      </c>
      <c r="J20" s="147">
        <f>IF((AND($E$3="MCS",$E$4="TODOS CRs")),
SUMIFS('2026'!$K:$K,'2026'!$R:$R,$E$3&amp;$C20,'2026'!$T:$T,J$6),
SUMIFS('2026'!$K:$K,'2026'!$N:$N,$E$3&amp;$C20&amp;$E$4,'2026'!$T:$T,J$6))</f>
        <v>-309.02</v>
      </c>
      <c r="K20" s="147">
        <f>IF((AND($E$3="MCS",$E$4="TODOS CRs")),
SUMIFS('2026'!$K:$K,'2026'!$R:$R,$E$3&amp;$C20,'2026'!$T:$T,K$6),
SUMIFS('2026'!$K:$K,'2026'!$N:$N,$E$3&amp;$C20&amp;$E$4,'2026'!$T:$T,K$6))</f>
        <v>-125.1</v>
      </c>
      <c r="L20" s="147">
        <f>IF((AND($E$3="MCS",$E$4="TODOS CRs")),
SUMIFS('2026'!$K:$K,'2026'!$R:$R,$E$3&amp;$C20,'2026'!$T:$T,L$6),
SUMIFS('2026'!$K:$K,'2026'!$N:$N,$E$3&amp;$C20&amp;$E$4,'2026'!$T:$T,L$6))</f>
        <v>0</v>
      </c>
      <c r="M20" s="147">
        <f>IF((AND($E$3="MCS",$E$4="TODOS CRs")),
SUMIFS('2026'!$K:$K,'2026'!$R:$R,$E$3&amp;$C20,'2026'!$T:$T,M$6),
SUMIFS('2026'!$K:$K,'2026'!$N:$N,$E$3&amp;$C20&amp;$E$4,'2026'!$T:$T,M$6))</f>
        <v>0</v>
      </c>
      <c r="N20" s="147">
        <f>IF((AND($E$3="MCS",$E$4="TODOS CRs")),
SUMIFS('2026'!$K:$K,'2026'!$R:$R,$E$3&amp;$C20,'2026'!$T:$T,N$6),
SUMIFS('2026'!$K:$K,'2026'!$N:$N,$E$3&amp;$C20&amp;$E$4,'2026'!$T:$T,N$6))</f>
        <v>0</v>
      </c>
      <c r="O20" s="147">
        <f>IF((AND($E$3="MCS",$E$4="TODOS CRs")),
SUMIFS('2026'!$K:$K,'2026'!$R:$R,$E$3&amp;$C20,'2026'!$T:$T,O$6),
SUMIFS('2026'!$K:$K,'2026'!$N:$N,$E$3&amp;$C20&amp;$E$4,'2026'!$T:$T,O$6))</f>
        <v>0</v>
      </c>
      <c r="P20" s="147">
        <f>IF((AND($E$3="MCS",$E$4="TODOS CRs")),
SUMIFS('2026'!$K:$K,'2026'!$R:$R,$E$3&amp;$C20,'2026'!$T:$T,P$6),
SUMIFS('2026'!$K:$K,'2026'!$N:$N,$E$3&amp;$C20&amp;$E$4,'2026'!$T:$T,P$6))</f>
        <v>0</v>
      </c>
      <c r="Q20" s="147">
        <f>IF((AND($E$3="MCS",$E$4="TODOS CRs")),
SUMIFS('2026'!$K:$K,'2026'!$R:$R,$E$3&amp;$C20,'2026'!$T:$T,Q$6),
SUMIFS('2026'!$K:$K,'2026'!$N:$N,$E$3&amp;$C20&amp;$E$4,'2026'!$T:$T,Q$6))</f>
        <v>0</v>
      </c>
    </row>
    <row r="21" spans="1:17" s="142" customFormat="1" ht="15" customHeight="1" x14ac:dyDescent="0.25">
      <c r="A21" s="135"/>
      <c r="B21" s="143" t="s">
        <v>781</v>
      </c>
      <c r="C21" s="143" t="s">
        <v>723</v>
      </c>
      <c r="D21" s="144" t="s">
        <v>736</v>
      </c>
      <c r="E21" s="145">
        <f t="shared" si="18"/>
        <v>-526.70000000000005</v>
      </c>
      <c r="F21" s="151">
        <f>IF((AND($E$3="MCS",$E$4="TODOS CRs")),
SUMIFS('2026'!$K:$K,'2026'!$R:$R,$E$3&amp;$C21,'2026'!$T:$T,F$6),
SUMIFS('2026'!$K:$K,'2026'!$N:$N,$E$3&amp;$C21&amp;$E$4,'2026'!$T:$T,F$6))</f>
        <v>0</v>
      </c>
      <c r="G21" s="147">
        <f>IF((AND($E$3="MCS",$E$4="TODOS CRs")),
SUMIFS('2026'!$K:$K,'2026'!$R:$R,$E$3&amp;$C21,'2026'!$T:$T,G$6),
SUMIFS('2026'!$K:$K,'2026'!$N:$N,$E$3&amp;$C21&amp;$E$4,'2026'!$T:$T,G$6))</f>
        <v>-60</v>
      </c>
      <c r="H21" s="147">
        <f>IF((AND($E$3="MCS",$E$4="TODOS CRs")),
SUMIFS('2026'!$K:$K,'2026'!$R:$R,$E$3&amp;$C21,'2026'!$T:$T,H$6),
SUMIFS('2026'!$K:$K,'2026'!$N:$N,$E$3&amp;$C21&amp;$E$4,'2026'!$T:$T,H$6))</f>
        <v>0</v>
      </c>
      <c r="I21" s="147">
        <f>IF((AND($E$3="MCS",$E$4="TODOS CRs")),
SUMIFS('2026'!$K:$K,'2026'!$R:$R,$E$3&amp;$C21,'2026'!$T:$T,I$6),
SUMIFS('2026'!$K:$K,'2026'!$N:$N,$E$3&amp;$C21&amp;$E$4,'2026'!$T:$T,I$6))</f>
        <v>0</v>
      </c>
      <c r="J21" s="147">
        <f>IF((AND($E$3="MCS",$E$4="TODOS CRs")),
SUMIFS('2026'!$K:$K,'2026'!$R:$R,$E$3&amp;$C21,'2026'!$T:$T,J$6),
SUMIFS('2026'!$K:$K,'2026'!$N:$N,$E$3&amp;$C21&amp;$E$4,'2026'!$T:$T,J$6))</f>
        <v>-432.95</v>
      </c>
      <c r="K21" s="147">
        <f>IF((AND($E$3="MCS",$E$4="TODOS CRs")),
SUMIFS('2026'!$K:$K,'2026'!$R:$R,$E$3&amp;$C21,'2026'!$T:$T,K$6),
SUMIFS('2026'!$K:$K,'2026'!$N:$N,$E$3&amp;$C21&amp;$E$4,'2026'!$T:$T,K$6))</f>
        <v>-33.75</v>
      </c>
      <c r="L21" s="147">
        <f>IF((AND($E$3="MCS",$E$4="TODOS CRs")),
SUMIFS('2026'!$K:$K,'2026'!$R:$R,$E$3&amp;$C21,'2026'!$T:$T,L$6),
SUMIFS('2026'!$K:$K,'2026'!$N:$N,$E$3&amp;$C21&amp;$E$4,'2026'!$T:$T,L$6))</f>
        <v>0</v>
      </c>
      <c r="M21" s="147">
        <f>IF((AND($E$3="MCS",$E$4="TODOS CRs")),
SUMIFS('2026'!$K:$K,'2026'!$R:$R,$E$3&amp;$C21,'2026'!$T:$T,M$6),
SUMIFS('2026'!$K:$K,'2026'!$N:$N,$E$3&amp;$C21&amp;$E$4,'2026'!$T:$T,M$6))</f>
        <v>0</v>
      </c>
      <c r="N21" s="147">
        <f>IF((AND($E$3="MCS",$E$4="TODOS CRs")),
SUMIFS('2026'!$K:$K,'2026'!$R:$R,$E$3&amp;$C21,'2026'!$T:$T,N$6),
SUMIFS('2026'!$K:$K,'2026'!$N:$N,$E$3&amp;$C21&amp;$E$4,'2026'!$T:$T,N$6))</f>
        <v>0</v>
      </c>
      <c r="O21" s="147">
        <f>IF((AND($E$3="MCS",$E$4="TODOS CRs")),
SUMIFS('2026'!$K:$K,'2026'!$R:$R,$E$3&amp;$C21,'2026'!$T:$T,O$6),
SUMIFS('2026'!$K:$K,'2026'!$N:$N,$E$3&amp;$C21&amp;$E$4,'2026'!$T:$T,O$6))</f>
        <v>0</v>
      </c>
      <c r="P21" s="147">
        <f>IF((AND($E$3="MCS",$E$4="TODOS CRs")),
SUMIFS('2026'!$K:$K,'2026'!$R:$R,$E$3&amp;$C21,'2026'!$T:$T,P$6),
SUMIFS('2026'!$K:$K,'2026'!$N:$N,$E$3&amp;$C21&amp;$E$4,'2026'!$T:$T,P$6))</f>
        <v>0</v>
      </c>
      <c r="Q21" s="147">
        <f>IF((AND($E$3="MCS",$E$4="TODOS CRs")),
SUMIFS('2026'!$K:$K,'2026'!$R:$R,$E$3&amp;$C21,'2026'!$T:$T,Q$6),
SUMIFS('2026'!$K:$K,'2026'!$N:$N,$E$3&amp;$C21&amp;$E$4,'2026'!$T:$T,Q$6))</f>
        <v>0</v>
      </c>
    </row>
    <row r="22" spans="1:17" s="142" customFormat="1" ht="15" customHeight="1" x14ac:dyDescent="0.25">
      <c r="A22" s="135"/>
      <c r="B22" s="143" t="s">
        <v>781</v>
      </c>
      <c r="C22" s="143" t="s">
        <v>724</v>
      </c>
      <c r="D22" s="144" t="s">
        <v>753</v>
      </c>
      <c r="E22" s="145">
        <f t="shared" si="18"/>
        <v>-1906</v>
      </c>
      <c r="F22" s="151">
        <f>IF((AND($E$3="MCS",$E$4="TODOS CRs")),
SUMIFS('2026'!$K:$K,'2026'!$R:$R,$E$3&amp;$C22,'2026'!$T:$T,F$6),
SUMIFS('2026'!$K:$K,'2026'!$N:$N,$E$3&amp;$C22&amp;$E$4,'2026'!$T:$T,F$6))</f>
        <v>0</v>
      </c>
      <c r="G22" s="147">
        <f>IF((AND($E$3="MCS",$E$4="TODOS CRs")),
SUMIFS('2026'!$K:$K,'2026'!$R:$R,$E$3&amp;$C22,'2026'!$T:$T,G$6),
SUMIFS('2026'!$K:$K,'2026'!$N:$N,$E$3&amp;$C22&amp;$E$4,'2026'!$T:$T,G$6))</f>
        <v>-204.78</v>
      </c>
      <c r="H22" s="147">
        <f>IF((AND($E$3="MCS",$E$4="TODOS CRs")),
SUMIFS('2026'!$K:$K,'2026'!$R:$R,$E$3&amp;$C22,'2026'!$T:$T,H$6),
SUMIFS('2026'!$K:$K,'2026'!$N:$N,$E$3&amp;$C22&amp;$E$4,'2026'!$T:$T,H$6))</f>
        <v>-347.67</v>
      </c>
      <c r="I22" s="147">
        <f>IF((AND($E$3="MCS",$E$4="TODOS CRs")),
SUMIFS('2026'!$K:$K,'2026'!$R:$R,$E$3&amp;$C22,'2026'!$T:$T,I$6),
SUMIFS('2026'!$K:$K,'2026'!$N:$N,$E$3&amp;$C22&amp;$E$4,'2026'!$T:$T,I$6))</f>
        <v>-511.07</v>
      </c>
      <c r="J22" s="147">
        <f>IF((AND($E$3="MCS",$E$4="TODOS CRs")),
SUMIFS('2026'!$K:$K,'2026'!$R:$R,$E$3&amp;$C22,'2026'!$T:$T,J$6),
SUMIFS('2026'!$K:$K,'2026'!$N:$N,$E$3&amp;$C22&amp;$E$4,'2026'!$T:$T,J$6))</f>
        <v>-451.48</v>
      </c>
      <c r="K22" s="147">
        <f>IF((AND($E$3="MCS",$E$4="TODOS CRs")),
SUMIFS('2026'!$K:$K,'2026'!$R:$R,$E$3&amp;$C22,'2026'!$T:$T,K$6),
SUMIFS('2026'!$K:$K,'2026'!$N:$N,$E$3&amp;$C22&amp;$E$4,'2026'!$T:$T,K$6))</f>
        <v>-391</v>
      </c>
      <c r="L22" s="147">
        <f>IF((AND($E$3="MCS",$E$4="TODOS CRs")),
SUMIFS('2026'!$K:$K,'2026'!$R:$R,$E$3&amp;$C22,'2026'!$T:$T,L$6),
SUMIFS('2026'!$K:$K,'2026'!$N:$N,$E$3&amp;$C22&amp;$E$4,'2026'!$T:$T,L$6))</f>
        <v>0</v>
      </c>
      <c r="M22" s="147">
        <f>IF((AND($E$3="MCS",$E$4="TODOS CRs")),
SUMIFS('2026'!$K:$K,'2026'!$R:$R,$E$3&amp;$C22,'2026'!$T:$T,M$6),
SUMIFS('2026'!$K:$K,'2026'!$N:$N,$E$3&amp;$C22&amp;$E$4,'2026'!$T:$T,M$6))</f>
        <v>0</v>
      </c>
      <c r="N22" s="147">
        <f>IF((AND($E$3="MCS",$E$4="TODOS CRs")),
SUMIFS('2026'!$K:$K,'2026'!$R:$R,$E$3&amp;$C22,'2026'!$T:$T,N$6),
SUMIFS('2026'!$K:$K,'2026'!$N:$N,$E$3&amp;$C22&amp;$E$4,'2026'!$T:$T,N$6))</f>
        <v>0</v>
      </c>
      <c r="O22" s="147">
        <f>IF((AND($E$3="MCS",$E$4="TODOS CRs")),
SUMIFS('2026'!$K:$K,'2026'!$R:$R,$E$3&amp;$C22,'2026'!$T:$T,O$6),
SUMIFS('2026'!$K:$K,'2026'!$N:$N,$E$3&amp;$C22&amp;$E$4,'2026'!$T:$T,O$6))</f>
        <v>0</v>
      </c>
      <c r="P22" s="147">
        <f>IF((AND($E$3="MCS",$E$4="TODOS CRs")),
SUMIFS('2026'!$K:$K,'2026'!$R:$R,$E$3&amp;$C22,'2026'!$T:$T,P$6),
SUMIFS('2026'!$K:$K,'2026'!$N:$N,$E$3&amp;$C22&amp;$E$4,'2026'!$T:$T,P$6))</f>
        <v>0</v>
      </c>
      <c r="Q22" s="147">
        <f>IF((AND($E$3="MCS",$E$4="TODOS CRs")),
SUMIFS('2026'!$K:$K,'2026'!$R:$R,$E$3&amp;$C22,'2026'!$T:$T,Q$6),
SUMIFS('2026'!$K:$K,'2026'!$N:$N,$E$3&amp;$C22&amp;$E$4,'2026'!$T:$T,Q$6))</f>
        <v>0</v>
      </c>
    </row>
    <row r="23" spans="1:17" s="142" customFormat="1" ht="15" customHeight="1" x14ac:dyDescent="0.25">
      <c r="A23" s="135"/>
      <c r="B23" s="143" t="s">
        <v>781</v>
      </c>
      <c r="C23" s="143" t="s">
        <v>732</v>
      </c>
      <c r="D23" s="144" t="s">
        <v>752</v>
      </c>
      <c r="E23" s="145">
        <f t="shared" si="18"/>
        <v>0</v>
      </c>
      <c r="F23" s="151">
        <f>IF((AND($E$3="MCS",$E$4="TODOS CRs")),
SUMIFS('2026'!$K:$K,'2026'!$R:$R,$E$3&amp;$C23,'2026'!$T:$T,F$6),
SUMIFS('2026'!$K:$K,'2026'!$N:$N,$E$3&amp;$C23&amp;$E$4,'2026'!$T:$T,F$6))</f>
        <v>0</v>
      </c>
      <c r="G23" s="147">
        <f>IF((AND($E$3="MCS",$E$4="TODOS CRs")),
SUMIFS('2026'!$K:$K,'2026'!$R:$R,$E$3&amp;$C23,'2026'!$T:$T,G$6),
SUMIFS('2026'!$K:$K,'2026'!$N:$N,$E$3&amp;$C23&amp;$E$4,'2026'!$T:$T,G$6))</f>
        <v>0</v>
      </c>
      <c r="H23" s="147">
        <f>IF((AND($E$3="MCS",$E$4="TODOS CRs")),
SUMIFS('2026'!$K:$K,'2026'!$R:$R,$E$3&amp;$C23,'2026'!$T:$T,H$6),
SUMIFS('2026'!$K:$K,'2026'!$N:$N,$E$3&amp;$C23&amp;$E$4,'2026'!$T:$T,H$6))</f>
        <v>0</v>
      </c>
      <c r="I23" s="147">
        <f>IF((AND($E$3="MCS",$E$4="TODOS CRs")),
SUMIFS('2026'!$K:$K,'2026'!$R:$R,$E$3&amp;$C23,'2026'!$T:$T,I$6),
SUMIFS('2026'!$K:$K,'2026'!$N:$N,$E$3&amp;$C23&amp;$E$4,'2026'!$T:$T,I$6))</f>
        <v>0</v>
      </c>
      <c r="J23" s="147">
        <f>IF((AND($E$3="MCS",$E$4="TODOS CRs")),
SUMIFS('2026'!$K:$K,'2026'!$R:$R,$E$3&amp;$C23,'2026'!$T:$T,J$6),
SUMIFS('2026'!$K:$K,'2026'!$N:$N,$E$3&amp;$C23&amp;$E$4,'2026'!$T:$T,J$6))</f>
        <v>0</v>
      </c>
      <c r="K23" s="147">
        <f>IF((AND($E$3="MCS",$E$4="TODOS CRs")),
SUMIFS('2026'!$K:$K,'2026'!$R:$R,$E$3&amp;$C23,'2026'!$T:$T,K$6),
SUMIFS('2026'!$K:$K,'2026'!$N:$N,$E$3&amp;$C23&amp;$E$4,'2026'!$T:$T,K$6))</f>
        <v>0</v>
      </c>
      <c r="L23" s="147">
        <f>IF((AND($E$3="MCS",$E$4="TODOS CRs")),
SUMIFS('2026'!$K:$K,'2026'!$R:$R,$E$3&amp;$C23,'2026'!$T:$T,L$6),
SUMIFS('2026'!$K:$K,'2026'!$N:$N,$E$3&amp;$C23&amp;$E$4,'2026'!$T:$T,L$6))</f>
        <v>0</v>
      </c>
      <c r="M23" s="147">
        <f>IF((AND($E$3="MCS",$E$4="TODOS CRs")),
SUMIFS('2026'!$K:$K,'2026'!$R:$R,$E$3&amp;$C23,'2026'!$T:$T,M$6),
SUMIFS('2026'!$K:$K,'2026'!$N:$N,$E$3&amp;$C23&amp;$E$4,'2026'!$T:$T,M$6))</f>
        <v>0</v>
      </c>
      <c r="N23" s="147">
        <f>IF((AND($E$3="MCS",$E$4="TODOS CRs")),
SUMIFS('2026'!$K:$K,'2026'!$R:$R,$E$3&amp;$C23,'2026'!$T:$T,N$6),
SUMIFS('2026'!$K:$K,'2026'!$N:$N,$E$3&amp;$C23&amp;$E$4,'2026'!$T:$T,N$6))</f>
        <v>0</v>
      </c>
      <c r="O23" s="147">
        <f>IF((AND($E$3="MCS",$E$4="TODOS CRs")),
SUMIFS('2026'!$K:$K,'2026'!$R:$R,$E$3&amp;$C23,'2026'!$T:$T,O$6),
SUMIFS('2026'!$K:$K,'2026'!$N:$N,$E$3&amp;$C23&amp;$E$4,'2026'!$T:$T,O$6))</f>
        <v>0</v>
      </c>
      <c r="P23" s="147">
        <f>IF((AND($E$3="MCS",$E$4="TODOS CRs")),
SUMIFS('2026'!$K:$K,'2026'!$R:$R,$E$3&amp;$C23,'2026'!$T:$T,P$6),
SUMIFS('2026'!$K:$K,'2026'!$N:$N,$E$3&amp;$C23&amp;$E$4,'2026'!$T:$T,P$6))</f>
        <v>0</v>
      </c>
      <c r="Q23" s="147">
        <f>IF((AND($E$3="MCS",$E$4="TODOS CRs")),
SUMIFS('2026'!$K:$K,'2026'!$R:$R,$E$3&amp;$C23,'2026'!$T:$T,Q$6),
SUMIFS('2026'!$K:$K,'2026'!$N:$N,$E$3&amp;$C23&amp;$E$4,'2026'!$T:$T,Q$6))</f>
        <v>0</v>
      </c>
    </row>
    <row r="24" spans="1:17" s="142" customFormat="1" ht="15" customHeight="1" x14ac:dyDescent="0.25">
      <c r="A24" s="135"/>
      <c r="B24" s="136" t="s">
        <v>782</v>
      </c>
      <c r="C24" s="136" t="s">
        <v>762</v>
      </c>
      <c r="D24" s="137" t="s">
        <v>742</v>
      </c>
      <c r="E24" s="138">
        <f t="shared" si="18"/>
        <v>-5237.55</v>
      </c>
      <c r="F24" s="150">
        <f>IF((AND($E$3="MCS",$E$4="TODOS CRs")),
SUMIFS('2026'!$K:$K,'2026'!$R:$R,$E$3&amp;$C24,'2026'!$T:$T,F$6),
SUMIFS('2026'!$K:$K,'2026'!$N:$N,$E$3&amp;$C24&amp;$E$4,'2026'!$T:$T,F$6))</f>
        <v>-849.87</v>
      </c>
      <c r="G24" s="140">
        <f>IF((AND($E$3="MCS",$E$4="TODOS CRs")),
SUMIFS('2026'!$K:$K,'2026'!$R:$R,$E$3&amp;$C24,'2026'!$T:$T,G$6),
SUMIFS('2026'!$K:$K,'2026'!$N:$N,$E$3&amp;$C24&amp;$E$4,'2026'!$T:$T,G$6))</f>
        <v>-662.01</v>
      </c>
      <c r="H24" s="140">
        <f>IF((AND($E$3="MCS",$E$4="TODOS CRs")),
SUMIFS('2026'!$K:$K,'2026'!$R:$R,$E$3&amp;$C24,'2026'!$T:$T,H$6),
SUMIFS('2026'!$K:$K,'2026'!$N:$N,$E$3&amp;$C24&amp;$E$4,'2026'!$T:$T,H$6))</f>
        <v>-332.84000000000003</v>
      </c>
      <c r="I24" s="140">
        <f>IF((AND($E$3="MCS",$E$4="TODOS CRs")),
SUMIFS('2026'!$K:$K,'2026'!$R:$R,$E$3&amp;$C24,'2026'!$T:$T,I$6),
SUMIFS('2026'!$K:$K,'2026'!$N:$N,$E$3&amp;$C24&amp;$E$4,'2026'!$T:$T,I$6))</f>
        <v>-1448.7099999999998</v>
      </c>
      <c r="J24" s="140">
        <f>IF((AND($E$3="MCS",$E$4="TODOS CRs")),
SUMIFS('2026'!$K:$K,'2026'!$R:$R,$E$3&amp;$C24,'2026'!$T:$T,J$6),
SUMIFS('2026'!$K:$K,'2026'!$N:$N,$E$3&amp;$C24&amp;$E$4,'2026'!$T:$T,J$6))</f>
        <v>-1099.4499999999998</v>
      </c>
      <c r="K24" s="140">
        <f>IF((AND($E$3="MCS",$E$4="TODOS CRs")),
SUMIFS('2026'!$K:$K,'2026'!$R:$R,$E$3&amp;$C24,'2026'!$T:$T,K$6),
SUMIFS('2026'!$K:$K,'2026'!$N:$N,$E$3&amp;$C24&amp;$E$4,'2026'!$T:$T,K$6))</f>
        <v>-844.67</v>
      </c>
      <c r="L24" s="140">
        <f>IF((AND($E$3="MCS",$E$4="TODOS CRs")),
SUMIFS('2026'!$K:$K,'2026'!$R:$R,$E$3&amp;$C24,'2026'!$T:$T,L$6),
SUMIFS('2026'!$K:$K,'2026'!$N:$N,$E$3&amp;$C24&amp;$E$4,'2026'!$T:$T,L$6))</f>
        <v>0</v>
      </c>
      <c r="M24" s="140">
        <f>IF((AND($E$3="MCS",$E$4="TODOS CRs")),
SUMIFS('2026'!$K:$K,'2026'!$R:$R,$E$3&amp;$C24,'2026'!$T:$T,M$6),
SUMIFS('2026'!$K:$K,'2026'!$N:$N,$E$3&amp;$C24&amp;$E$4,'2026'!$T:$T,M$6))</f>
        <v>0</v>
      </c>
      <c r="N24" s="140">
        <f>IF((AND($E$3="MCS",$E$4="TODOS CRs")),
SUMIFS('2026'!$K:$K,'2026'!$R:$R,$E$3&amp;$C24,'2026'!$T:$T,N$6),
SUMIFS('2026'!$K:$K,'2026'!$N:$N,$E$3&amp;$C24&amp;$E$4,'2026'!$T:$T,N$6))</f>
        <v>0</v>
      </c>
      <c r="O24" s="140">
        <f>IF((AND($E$3="MCS",$E$4="TODOS CRs")),
SUMIFS('2026'!$K:$K,'2026'!$R:$R,$E$3&amp;$C24,'2026'!$T:$T,O$6),
SUMIFS('2026'!$K:$K,'2026'!$N:$N,$E$3&amp;$C24&amp;$E$4,'2026'!$T:$T,O$6))</f>
        <v>0</v>
      </c>
      <c r="P24" s="140">
        <f>IF((AND($E$3="MCS",$E$4="TODOS CRs")),
SUMIFS('2026'!$K:$K,'2026'!$R:$R,$E$3&amp;$C24,'2026'!$T:$T,P$6),
SUMIFS('2026'!$K:$K,'2026'!$N:$N,$E$3&amp;$C24&amp;$E$4,'2026'!$T:$T,P$6))</f>
        <v>0</v>
      </c>
      <c r="Q24" s="140">
        <f>IF((AND($E$3="MCS",$E$4="TODOS CRs")),
SUMIFS('2026'!$K:$K,'2026'!$R:$R,$E$3&amp;$C24,'2026'!$T:$T,Q$6),
SUMIFS('2026'!$K:$K,'2026'!$N:$N,$E$3&amp;$C24&amp;$E$4,'2026'!$T:$T,Q$6))</f>
        <v>0</v>
      </c>
    </row>
    <row r="25" spans="1:17" s="142" customFormat="1" ht="15" customHeight="1" x14ac:dyDescent="0.25">
      <c r="A25" s="135"/>
      <c r="B25" s="136" t="s">
        <v>782</v>
      </c>
      <c r="C25" s="136" t="s">
        <v>763</v>
      </c>
      <c r="D25" s="137" t="s">
        <v>743</v>
      </c>
      <c r="E25" s="138">
        <f t="shared" si="18"/>
        <v>-808</v>
      </c>
      <c r="F25" s="150">
        <f>IF((AND($E$3="MCS",$E$4="TODOS CRs")),
SUMIFS('2026'!$K:$K,'2026'!$R:$R,$E$3&amp;$C25,'2026'!$T:$T,F$6),
SUMIFS('2026'!$K:$K,'2026'!$N:$N,$E$3&amp;$C25&amp;$E$4,'2026'!$T:$T,F$6))</f>
        <v>-134</v>
      </c>
      <c r="G25" s="140">
        <f>IF((AND($E$3="MCS",$E$4="TODOS CRs")),
SUMIFS('2026'!$K:$K,'2026'!$R:$R,$E$3&amp;$C25,'2026'!$T:$T,G$6),
SUMIFS('2026'!$K:$K,'2026'!$N:$N,$E$3&amp;$C25&amp;$E$4,'2026'!$T:$T,G$6))</f>
        <v>-196.5</v>
      </c>
      <c r="H25" s="140">
        <f>IF((AND($E$3="MCS",$E$4="TODOS CRs")),
SUMIFS('2026'!$K:$K,'2026'!$R:$R,$E$3&amp;$C25,'2026'!$T:$T,H$6),
SUMIFS('2026'!$K:$K,'2026'!$N:$N,$E$3&amp;$C25&amp;$E$4,'2026'!$T:$T,H$6))</f>
        <v>0</v>
      </c>
      <c r="I25" s="140">
        <f>IF((AND($E$3="MCS",$E$4="TODOS CRs")),
SUMIFS('2026'!$K:$K,'2026'!$R:$R,$E$3&amp;$C25,'2026'!$T:$T,I$6),
SUMIFS('2026'!$K:$K,'2026'!$N:$N,$E$3&amp;$C25&amp;$E$4,'2026'!$T:$T,I$6))</f>
        <v>-174</v>
      </c>
      <c r="J25" s="140">
        <f>IF((AND($E$3="MCS",$E$4="TODOS CRs")),
SUMIFS('2026'!$K:$K,'2026'!$R:$R,$E$3&amp;$C25,'2026'!$T:$T,J$6),
SUMIFS('2026'!$K:$K,'2026'!$N:$N,$E$3&amp;$C25&amp;$E$4,'2026'!$T:$T,J$6))</f>
        <v>-176</v>
      </c>
      <c r="K25" s="140">
        <f>IF((AND($E$3="MCS",$E$4="TODOS CRs")),
SUMIFS('2026'!$K:$K,'2026'!$R:$R,$E$3&amp;$C25,'2026'!$T:$T,K$6),
SUMIFS('2026'!$K:$K,'2026'!$N:$N,$E$3&amp;$C25&amp;$E$4,'2026'!$T:$T,K$6))</f>
        <v>-127.5</v>
      </c>
      <c r="L25" s="140">
        <f>IF((AND($E$3="MCS",$E$4="TODOS CRs")),
SUMIFS('2026'!$K:$K,'2026'!$R:$R,$E$3&amp;$C25,'2026'!$T:$T,L$6),
SUMIFS('2026'!$K:$K,'2026'!$N:$N,$E$3&amp;$C25&amp;$E$4,'2026'!$T:$T,L$6))</f>
        <v>0</v>
      </c>
      <c r="M25" s="140">
        <f>IF((AND($E$3="MCS",$E$4="TODOS CRs")),
SUMIFS('2026'!$K:$K,'2026'!$R:$R,$E$3&amp;$C25,'2026'!$T:$T,M$6),
SUMIFS('2026'!$K:$K,'2026'!$N:$N,$E$3&amp;$C25&amp;$E$4,'2026'!$T:$T,M$6))</f>
        <v>0</v>
      </c>
      <c r="N25" s="140">
        <f>IF((AND($E$3="MCS",$E$4="TODOS CRs")),
SUMIFS('2026'!$K:$K,'2026'!$R:$R,$E$3&amp;$C25,'2026'!$T:$T,N$6),
SUMIFS('2026'!$K:$K,'2026'!$N:$N,$E$3&amp;$C25&amp;$E$4,'2026'!$T:$T,N$6))</f>
        <v>0</v>
      </c>
      <c r="O25" s="140">
        <f>IF((AND($E$3="MCS",$E$4="TODOS CRs")),
SUMIFS('2026'!$K:$K,'2026'!$R:$R,$E$3&amp;$C25,'2026'!$T:$T,O$6),
SUMIFS('2026'!$K:$K,'2026'!$N:$N,$E$3&amp;$C25&amp;$E$4,'2026'!$T:$T,O$6))</f>
        <v>0</v>
      </c>
      <c r="P25" s="140">
        <f>IF((AND($E$3="MCS",$E$4="TODOS CRs")),
SUMIFS('2026'!$K:$K,'2026'!$R:$R,$E$3&amp;$C25,'2026'!$T:$T,P$6),
SUMIFS('2026'!$K:$K,'2026'!$N:$N,$E$3&amp;$C25&amp;$E$4,'2026'!$T:$T,P$6))</f>
        <v>0</v>
      </c>
      <c r="Q25" s="140">
        <f>IF((AND($E$3="MCS",$E$4="TODOS CRs")),
SUMIFS('2026'!$K:$K,'2026'!$R:$R,$E$3&amp;$C25,'2026'!$T:$T,Q$6),
SUMIFS('2026'!$K:$K,'2026'!$N:$N,$E$3&amp;$C25&amp;$E$4,'2026'!$T:$T,Q$6))</f>
        <v>0</v>
      </c>
    </row>
    <row r="26" spans="1:17" s="142" customFormat="1" ht="15" customHeight="1" x14ac:dyDescent="0.25">
      <c r="A26" s="135"/>
      <c r="B26" s="143" t="s">
        <v>783</v>
      </c>
      <c r="C26" s="143" t="s">
        <v>11</v>
      </c>
      <c r="D26" s="144" t="s">
        <v>713</v>
      </c>
      <c r="E26" s="145">
        <f t="shared" si="18"/>
        <v>-400</v>
      </c>
      <c r="F26" s="151">
        <f>IF((AND($E$3="MCS",$E$4="TODOS CRs")),
SUMIFS('2026'!$K:$K,'2026'!$R:$R,$E$3&amp;$C26,'2026'!$T:$T,F$6),
SUMIFS('2026'!$K:$K,'2026'!$N:$N,$E$3&amp;$C26&amp;$E$4,'2026'!$T:$T,F$6))</f>
        <v>-200</v>
      </c>
      <c r="G26" s="147">
        <f>IF((AND($E$3="MCS",$E$4="TODOS CRs")),
SUMIFS('2026'!$K:$K,'2026'!$R:$R,$E$3&amp;$C26,'2026'!$T:$T,G$6),
SUMIFS('2026'!$K:$K,'2026'!$N:$N,$E$3&amp;$C26&amp;$E$4,'2026'!$T:$T,G$6))</f>
        <v>0</v>
      </c>
      <c r="H26" s="147">
        <f>IF((AND($E$3="MCS",$E$4="TODOS CRs")),
SUMIFS('2026'!$K:$K,'2026'!$R:$R,$E$3&amp;$C26,'2026'!$T:$T,H$6),
SUMIFS('2026'!$K:$K,'2026'!$N:$N,$E$3&amp;$C26&amp;$E$4,'2026'!$T:$T,H$6))</f>
        <v>-170</v>
      </c>
      <c r="I26" s="147">
        <f>IF((AND($E$3="MCS",$E$4="TODOS CRs")),
SUMIFS('2026'!$K:$K,'2026'!$R:$R,$E$3&amp;$C26,'2026'!$T:$T,I$6),
SUMIFS('2026'!$K:$K,'2026'!$N:$N,$E$3&amp;$C26&amp;$E$4,'2026'!$T:$T,I$6))</f>
        <v>-30</v>
      </c>
      <c r="J26" s="147">
        <f>IF((AND($E$3="MCS",$E$4="TODOS CRs")),
SUMIFS('2026'!$K:$K,'2026'!$R:$R,$E$3&amp;$C26,'2026'!$T:$T,J$6),
SUMIFS('2026'!$K:$K,'2026'!$N:$N,$E$3&amp;$C26&amp;$E$4,'2026'!$T:$T,J$6))</f>
        <v>0</v>
      </c>
      <c r="K26" s="147">
        <f>IF((AND($E$3="MCS",$E$4="TODOS CRs")),
SUMIFS('2026'!$K:$K,'2026'!$R:$R,$E$3&amp;$C26,'2026'!$T:$T,K$6),
SUMIFS('2026'!$K:$K,'2026'!$N:$N,$E$3&amp;$C26&amp;$E$4,'2026'!$T:$T,K$6))</f>
        <v>0</v>
      </c>
      <c r="L26" s="147">
        <f>IF((AND($E$3="MCS",$E$4="TODOS CRs")),
SUMIFS('2026'!$K:$K,'2026'!$R:$R,$E$3&amp;$C26,'2026'!$T:$T,L$6),
SUMIFS('2026'!$K:$K,'2026'!$N:$N,$E$3&amp;$C26&amp;$E$4,'2026'!$T:$T,L$6))</f>
        <v>0</v>
      </c>
      <c r="M26" s="147">
        <f>IF((AND($E$3="MCS",$E$4="TODOS CRs")),
SUMIFS('2026'!$K:$K,'2026'!$R:$R,$E$3&amp;$C26,'2026'!$T:$T,M$6),
SUMIFS('2026'!$K:$K,'2026'!$N:$N,$E$3&amp;$C26&amp;$E$4,'2026'!$T:$T,M$6))</f>
        <v>0</v>
      </c>
      <c r="N26" s="147">
        <f>IF((AND($E$3="MCS",$E$4="TODOS CRs")),
SUMIFS('2026'!$K:$K,'2026'!$R:$R,$E$3&amp;$C26,'2026'!$T:$T,N$6),
SUMIFS('2026'!$K:$K,'2026'!$N:$N,$E$3&amp;$C26&amp;$E$4,'2026'!$T:$T,N$6))</f>
        <v>0</v>
      </c>
      <c r="O26" s="147">
        <f>IF((AND($E$3="MCS",$E$4="TODOS CRs")),
SUMIFS('2026'!$K:$K,'2026'!$R:$R,$E$3&amp;$C26,'2026'!$T:$T,O$6),
SUMIFS('2026'!$K:$K,'2026'!$N:$N,$E$3&amp;$C26&amp;$E$4,'2026'!$T:$T,O$6))</f>
        <v>0</v>
      </c>
      <c r="P26" s="147">
        <f>IF((AND($E$3="MCS",$E$4="TODOS CRs")),
SUMIFS('2026'!$K:$K,'2026'!$R:$R,$E$3&amp;$C26,'2026'!$T:$T,P$6),
SUMIFS('2026'!$K:$K,'2026'!$N:$N,$E$3&amp;$C26&amp;$E$4,'2026'!$T:$T,P$6))</f>
        <v>0</v>
      </c>
      <c r="Q26" s="147">
        <f>IF((AND($E$3="MCS",$E$4="TODOS CRs")),
SUMIFS('2026'!$K:$K,'2026'!$R:$R,$E$3&amp;$C26,'2026'!$T:$T,Q$6),
SUMIFS('2026'!$K:$K,'2026'!$N:$N,$E$3&amp;$C26&amp;$E$4,'2026'!$T:$T,Q$6))</f>
        <v>0</v>
      </c>
    </row>
    <row r="27" spans="1:17" s="142" customFormat="1" ht="15" customHeight="1" x14ac:dyDescent="0.25">
      <c r="A27" s="135"/>
      <c r="B27" s="143" t="s">
        <v>783</v>
      </c>
      <c r="C27" s="143" t="s">
        <v>714</v>
      </c>
      <c r="D27" s="144" t="s">
        <v>751</v>
      </c>
      <c r="E27" s="145">
        <f t="shared" si="18"/>
        <v>-168</v>
      </c>
      <c r="F27" s="151">
        <f>IF((AND($E$3="MCS",$E$4="TODOS CRs")),
SUMIFS('2026'!$K:$K,'2026'!$R:$R,$E$3&amp;$C27,'2026'!$T:$T,F$6),
SUMIFS('2026'!$K:$K,'2026'!$N:$N,$E$3&amp;$C27&amp;$E$4,'2026'!$T:$T,F$6))</f>
        <v>-28</v>
      </c>
      <c r="G27" s="147">
        <f>IF((AND($E$3="MCS",$E$4="TODOS CRs")),
SUMIFS('2026'!$K:$K,'2026'!$R:$R,$E$3&amp;$C27,'2026'!$T:$T,G$6),
SUMIFS('2026'!$K:$K,'2026'!$N:$N,$E$3&amp;$C27&amp;$E$4,'2026'!$T:$T,G$6))</f>
        <v>-28</v>
      </c>
      <c r="H27" s="147">
        <f>IF((AND($E$3="MCS",$E$4="TODOS CRs")),
SUMIFS('2026'!$K:$K,'2026'!$R:$R,$E$3&amp;$C27,'2026'!$T:$T,H$6),
SUMIFS('2026'!$K:$K,'2026'!$N:$N,$E$3&amp;$C27&amp;$E$4,'2026'!$T:$T,H$6))</f>
        <v>-28</v>
      </c>
      <c r="I27" s="147">
        <f>IF((AND($E$3="MCS",$E$4="TODOS CRs")),
SUMIFS('2026'!$K:$K,'2026'!$R:$R,$E$3&amp;$C27,'2026'!$T:$T,I$6),
SUMIFS('2026'!$K:$K,'2026'!$N:$N,$E$3&amp;$C27&amp;$E$4,'2026'!$T:$T,I$6))</f>
        <v>-28</v>
      </c>
      <c r="J27" s="147">
        <f>IF((AND($E$3="MCS",$E$4="TODOS CRs")),
SUMIFS('2026'!$K:$K,'2026'!$R:$R,$E$3&amp;$C27,'2026'!$T:$T,J$6),
SUMIFS('2026'!$K:$K,'2026'!$N:$N,$E$3&amp;$C27&amp;$E$4,'2026'!$T:$T,J$6))</f>
        <v>-28</v>
      </c>
      <c r="K27" s="147">
        <f>IF((AND($E$3="MCS",$E$4="TODOS CRs")),
SUMIFS('2026'!$K:$K,'2026'!$R:$R,$E$3&amp;$C27,'2026'!$T:$T,K$6),
SUMIFS('2026'!$K:$K,'2026'!$N:$N,$E$3&amp;$C27&amp;$E$4,'2026'!$T:$T,K$6))</f>
        <v>-28</v>
      </c>
      <c r="L27" s="147">
        <f>IF((AND($E$3="MCS",$E$4="TODOS CRs")),
SUMIFS('2026'!$K:$K,'2026'!$R:$R,$E$3&amp;$C27,'2026'!$T:$T,L$6),
SUMIFS('2026'!$K:$K,'2026'!$N:$N,$E$3&amp;$C27&amp;$E$4,'2026'!$T:$T,L$6))</f>
        <v>0</v>
      </c>
      <c r="M27" s="147">
        <f>IF((AND($E$3="MCS",$E$4="TODOS CRs")),
SUMIFS('2026'!$K:$K,'2026'!$R:$R,$E$3&amp;$C27,'2026'!$T:$T,M$6),
SUMIFS('2026'!$K:$K,'2026'!$N:$N,$E$3&amp;$C27&amp;$E$4,'2026'!$T:$T,M$6))</f>
        <v>0</v>
      </c>
      <c r="N27" s="147">
        <f>IF((AND($E$3="MCS",$E$4="TODOS CRs")),
SUMIFS('2026'!$K:$K,'2026'!$R:$R,$E$3&amp;$C27,'2026'!$T:$T,N$6),
SUMIFS('2026'!$K:$K,'2026'!$N:$N,$E$3&amp;$C27&amp;$E$4,'2026'!$T:$T,N$6))</f>
        <v>0</v>
      </c>
      <c r="O27" s="147">
        <f>IF((AND($E$3="MCS",$E$4="TODOS CRs")),
SUMIFS('2026'!$K:$K,'2026'!$R:$R,$E$3&amp;$C27,'2026'!$T:$T,O$6),
SUMIFS('2026'!$K:$K,'2026'!$N:$N,$E$3&amp;$C27&amp;$E$4,'2026'!$T:$T,O$6))</f>
        <v>0</v>
      </c>
      <c r="P27" s="147">
        <f>IF((AND($E$3="MCS",$E$4="TODOS CRs")),
SUMIFS('2026'!$K:$K,'2026'!$R:$R,$E$3&amp;$C27,'2026'!$T:$T,P$6),
SUMIFS('2026'!$K:$K,'2026'!$N:$N,$E$3&amp;$C27&amp;$E$4,'2026'!$T:$T,P$6))</f>
        <v>0</v>
      </c>
      <c r="Q27" s="147">
        <f>IF((AND($E$3="MCS",$E$4="TODOS CRs")),
SUMIFS('2026'!$K:$K,'2026'!$R:$R,$E$3&amp;$C27,'2026'!$T:$T,Q$6),
SUMIFS('2026'!$K:$K,'2026'!$N:$N,$E$3&amp;$C27&amp;$E$4,'2026'!$T:$T,Q$6))</f>
        <v>0</v>
      </c>
    </row>
    <row r="28" spans="1:17" s="142" customFormat="1" ht="15" customHeight="1" x14ac:dyDescent="0.25">
      <c r="A28" s="135"/>
      <c r="B28" s="143" t="s">
        <v>783</v>
      </c>
      <c r="C28" s="143" t="s">
        <v>938</v>
      </c>
      <c r="D28" s="144" t="s">
        <v>751</v>
      </c>
      <c r="E28" s="145">
        <f t="shared" si="18"/>
        <v>-1782.3</v>
      </c>
      <c r="F28" s="151">
        <f>IF((AND($E$3="MCS",$E$4="TODOS CRs")),
SUMIFS('2026'!$K:$K,'2026'!$R:$R,$E$3&amp;$C28,'2026'!$T:$T,F$6),
SUMIFS('2026'!$K:$K,'2026'!$N:$N,$E$3&amp;$C28&amp;$E$4,'2026'!$T:$T,F$6))</f>
        <v>-297.05</v>
      </c>
      <c r="G28" s="147">
        <f>IF((AND($E$3="MCS",$E$4="TODOS CRs")),
SUMIFS('2026'!$K:$K,'2026'!$R:$R,$E$3&amp;$C28,'2026'!$T:$T,G$6),
SUMIFS('2026'!$K:$K,'2026'!$N:$N,$E$3&amp;$C28&amp;$E$4,'2026'!$T:$T,G$6))</f>
        <v>-297.05</v>
      </c>
      <c r="H28" s="147">
        <f>IF((AND($E$3="MCS",$E$4="TODOS CRs")),
SUMIFS('2026'!$K:$K,'2026'!$R:$R,$E$3&amp;$C28,'2026'!$T:$T,H$6),
SUMIFS('2026'!$K:$K,'2026'!$N:$N,$E$3&amp;$C28&amp;$E$4,'2026'!$T:$T,H$6))</f>
        <v>-297.05</v>
      </c>
      <c r="I28" s="147">
        <f>IF((AND($E$3="MCS",$E$4="TODOS CRs")),
SUMIFS('2026'!$K:$K,'2026'!$R:$R,$E$3&amp;$C28,'2026'!$T:$T,I$6),
SUMIFS('2026'!$K:$K,'2026'!$N:$N,$E$3&amp;$C28&amp;$E$4,'2026'!$T:$T,I$6))</f>
        <v>-297.05</v>
      </c>
      <c r="J28" s="147">
        <f>IF((AND($E$3="MCS",$E$4="TODOS CRs")),
SUMIFS('2026'!$K:$K,'2026'!$R:$R,$E$3&amp;$C28,'2026'!$T:$T,J$6),
SUMIFS('2026'!$K:$K,'2026'!$N:$N,$E$3&amp;$C28&amp;$E$4,'2026'!$T:$T,J$6))</f>
        <v>-297.05</v>
      </c>
      <c r="K28" s="147">
        <f>IF((AND($E$3="MCS",$E$4="TODOS CRs")),
SUMIFS('2026'!$K:$K,'2026'!$R:$R,$E$3&amp;$C28,'2026'!$T:$T,K$6),
SUMIFS('2026'!$K:$K,'2026'!$N:$N,$E$3&amp;$C28&amp;$E$4,'2026'!$T:$T,K$6))</f>
        <v>-297.05</v>
      </c>
      <c r="L28" s="147">
        <f>IF((AND($E$3="MCS",$E$4="TODOS CRs")),
SUMIFS('2026'!$K:$K,'2026'!$R:$R,$E$3&amp;$C28,'2026'!$T:$T,L$6),
SUMIFS('2026'!$K:$K,'2026'!$N:$N,$E$3&amp;$C28&amp;$E$4,'2026'!$T:$T,L$6))</f>
        <v>0</v>
      </c>
      <c r="M28" s="147">
        <f>IF((AND($E$3="MCS",$E$4="TODOS CRs")),
SUMIFS('2026'!$K:$K,'2026'!$R:$R,$E$3&amp;$C28,'2026'!$T:$T,M$6),
SUMIFS('2026'!$K:$K,'2026'!$N:$N,$E$3&amp;$C28&amp;$E$4,'2026'!$T:$T,M$6))</f>
        <v>0</v>
      </c>
      <c r="N28" s="147">
        <f>IF((AND($E$3="MCS",$E$4="TODOS CRs")),
SUMIFS('2026'!$K:$K,'2026'!$R:$R,$E$3&amp;$C28,'2026'!$T:$T,N$6),
SUMIFS('2026'!$K:$K,'2026'!$N:$N,$E$3&amp;$C28&amp;$E$4,'2026'!$T:$T,N$6))</f>
        <v>0</v>
      </c>
      <c r="O28" s="147">
        <f>IF((AND($E$3="MCS",$E$4="TODOS CRs")),
SUMIFS('2026'!$K:$K,'2026'!$R:$R,$E$3&amp;$C28,'2026'!$T:$T,O$6),
SUMIFS('2026'!$K:$K,'2026'!$N:$N,$E$3&amp;$C28&amp;$E$4,'2026'!$T:$T,O$6))</f>
        <v>0</v>
      </c>
      <c r="P28" s="147">
        <f>IF((AND($E$3="MCS",$E$4="TODOS CRs")),
SUMIFS('2026'!$K:$K,'2026'!$R:$R,$E$3&amp;$C28,'2026'!$T:$T,P$6),
SUMIFS('2026'!$K:$K,'2026'!$N:$N,$E$3&amp;$C28&amp;$E$4,'2026'!$T:$T,P$6))</f>
        <v>0</v>
      </c>
      <c r="Q28" s="147">
        <f>IF((AND($E$3="MCS",$E$4="TODOS CRs")),
SUMIFS('2026'!$K:$K,'2026'!$R:$R,$E$3&amp;$C28,'2026'!$T:$T,Q$6),
SUMIFS('2026'!$K:$K,'2026'!$N:$N,$E$3&amp;$C28&amp;$E$4,'2026'!$T:$T,Q$6))</f>
        <v>0</v>
      </c>
    </row>
    <row r="29" spans="1:17" s="142" customFormat="1" x14ac:dyDescent="0.25">
      <c r="A29" s="135"/>
      <c r="B29" s="136" t="s">
        <v>784</v>
      </c>
      <c r="C29" s="136" t="s">
        <v>10</v>
      </c>
      <c r="D29" s="137" t="s">
        <v>35</v>
      </c>
      <c r="E29" s="138">
        <f t="shared" si="18"/>
        <v>-296</v>
      </c>
      <c r="F29" s="152">
        <f>IF((AND($E$3="MCS",$E$4="TODOS CRs")),
SUMIFS('2026'!$K:$K,'2026'!$R:$R,$E$3&amp;$C29,'2026'!$T:$T,F$6),
SUMIFS('2026'!$K:$K,'2026'!$N:$N,$E$3&amp;$C29&amp;$E$4,'2026'!$T:$T,F$6))</f>
        <v>0</v>
      </c>
      <c r="G29" s="148">
        <f>IF((AND($E$3="MCS",$E$4="TODOS CRs")),
SUMIFS('2026'!$K:$K,'2026'!$R:$R,$E$3&amp;$C29,'2026'!$T:$T,G$6),
SUMIFS('2026'!$K:$K,'2026'!$N:$N,$E$3&amp;$C29&amp;$E$4,'2026'!$T:$T,G$6))</f>
        <v>0</v>
      </c>
      <c r="H29" s="148">
        <f>IF((AND($E$3="MCS",$E$4="TODOS CRs")),
SUMIFS('2026'!$K:$K,'2026'!$R:$R,$E$3&amp;$C29,'2026'!$T:$T,H$6),
SUMIFS('2026'!$K:$K,'2026'!$N:$N,$E$3&amp;$C29&amp;$E$4,'2026'!$T:$T,H$6))</f>
        <v>0</v>
      </c>
      <c r="I29" s="148">
        <f>IF((AND($E$3="MCS",$E$4="TODOS CRs")),
SUMIFS('2026'!$K:$K,'2026'!$R:$R,$E$3&amp;$C29,'2026'!$T:$T,I$6),
SUMIFS('2026'!$K:$K,'2026'!$N:$N,$E$3&amp;$C29&amp;$E$4,'2026'!$T:$T,I$6))</f>
        <v>-296</v>
      </c>
      <c r="J29" s="148">
        <f>IF((AND($E$3="MCS",$E$4="TODOS CRs")),
SUMIFS('2026'!$K:$K,'2026'!$R:$R,$E$3&amp;$C29,'2026'!$T:$T,J$6),
SUMIFS('2026'!$K:$K,'2026'!$N:$N,$E$3&amp;$C29&amp;$E$4,'2026'!$T:$T,J$6))</f>
        <v>0</v>
      </c>
      <c r="K29" s="148">
        <f>IF((AND($E$3="MCS",$E$4="TODOS CRs")),
SUMIFS('2026'!$K:$K,'2026'!$R:$R,$E$3&amp;$C29,'2026'!$T:$T,K$6),
SUMIFS('2026'!$K:$K,'2026'!$N:$N,$E$3&amp;$C29&amp;$E$4,'2026'!$T:$T,K$6))</f>
        <v>0</v>
      </c>
      <c r="L29" s="148">
        <f>IF((AND($E$3="MCS",$E$4="TODOS CRs")),
SUMIFS('2026'!$K:$K,'2026'!$R:$R,$E$3&amp;$C29,'2026'!$T:$T,L$6),
SUMIFS('2026'!$K:$K,'2026'!$N:$N,$E$3&amp;$C29&amp;$E$4,'2026'!$T:$T,L$6))</f>
        <v>0</v>
      </c>
      <c r="M29" s="148">
        <f>IF((AND($E$3="MCS",$E$4="TODOS CRs")),
SUMIFS('2026'!$K:$K,'2026'!$R:$R,$E$3&amp;$C29,'2026'!$T:$T,M$6),
SUMIFS('2026'!$K:$K,'2026'!$N:$N,$E$3&amp;$C29&amp;$E$4,'2026'!$T:$T,M$6))</f>
        <v>0</v>
      </c>
      <c r="N29" s="148">
        <f>IF((AND($E$3="MCS",$E$4="TODOS CRs")),
SUMIFS('2026'!$K:$K,'2026'!$R:$R,$E$3&amp;$C29,'2026'!$T:$T,N$6),
SUMIFS('2026'!$K:$K,'2026'!$N:$N,$E$3&amp;$C29&amp;$E$4,'2026'!$T:$T,N$6))</f>
        <v>0</v>
      </c>
      <c r="O29" s="148">
        <f>IF((AND($E$3="MCS",$E$4="TODOS CRs")),
SUMIFS('2026'!$K:$K,'2026'!$R:$R,$E$3&amp;$C29,'2026'!$T:$T,O$6),
SUMIFS('2026'!$K:$K,'2026'!$N:$N,$E$3&amp;$C29&amp;$E$4,'2026'!$T:$T,O$6))</f>
        <v>0</v>
      </c>
      <c r="P29" s="148">
        <f>IF((AND($E$3="MCS",$E$4="TODOS CRs")),
SUMIFS('2026'!$K:$K,'2026'!$R:$R,$E$3&amp;$C29,'2026'!$T:$T,P$6),
SUMIFS('2026'!$K:$K,'2026'!$N:$N,$E$3&amp;$C29&amp;$E$4,'2026'!$T:$T,P$6))</f>
        <v>0</v>
      </c>
      <c r="Q29" s="148">
        <f>IF((AND($E$3="MCS",$E$4="TODOS CRs")),
SUMIFS('2026'!$K:$K,'2026'!$R:$R,$E$3&amp;$C29,'2026'!$T:$T,Q$6),
SUMIFS('2026'!$K:$K,'2026'!$N:$N,$E$3&amp;$C29&amp;$E$4,'2026'!$T:$T,Q$6))</f>
        <v>0</v>
      </c>
    </row>
    <row r="30" spans="1:17" s="142" customFormat="1" x14ac:dyDescent="0.25">
      <c r="A30" s="135"/>
      <c r="B30" s="158" t="s">
        <v>785</v>
      </c>
      <c r="C30" s="158" t="s">
        <v>764</v>
      </c>
      <c r="D30" s="159" t="s">
        <v>748</v>
      </c>
      <c r="E30" s="160">
        <f t="shared" si="18"/>
        <v>-2053.59</v>
      </c>
      <c r="F30" s="163">
        <f>IF((AND($E$3="MCS",$E$4="TODOS CRs")),
SUMIFS('2026'!$K:$K,'2026'!$R:$R,$E$3&amp;$C30,'2026'!$T:$T,F$6),
SUMIFS('2026'!$K:$K,'2026'!$N:$N,$E$3&amp;$C30&amp;$E$4,'2026'!$T:$T,F$6))</f>
        <v>-83</v>
      </c>
      <c r="G30" s="162">
        <f>IF((AND($E$3="MCS",$E$4="TODOS CRs")),
SUMIFS('2026'!$K:$K,'2026'!$R:$R,$E$3&amp;$C30,'2026'!$T:$T,G$6),
SUMIFS('2026'!$K:$K,'2026'!$N:$N,$E$3&amp;$C30&amp;$E$4,'2026'!$T:$T,G$6))</f>
        <v>-122.69</v>
      </c>
      <c r="H30" s="162">
        <f>IF((AND($E$3="MCS",$E$4="TODOS CRs")),
SUMIFS('2026'!$K:$K,'2026'!$R:$R,$E$3&amp;$C30,'2026'!$T:$T,H$6),
SUMIFS('2026'!$K:$K,'2026'!$N:$N,$E$3&amp;$C30&amp;$E$4,'2026'!$T:$T,H$6))</f>
        <v>-192.18</v>
      </c>
      <c r="I30" s="162">
        <f>IF((AND($E$3="MCS",$E$4="TODOS CRs")),
SUMIFS('2026'!$K:$K,'2026'!$R:$R,$E$3&amp;$C30,'2026'!$T:$T,I$6),
SUMIFS('2026'!$K:$K,'2026'!$N:$N,$E$3&amp;$C30&amp;$E$4,'2026'!$T:$T,I$6))</f>
        <v>-939.13</v>
      </c>
      <c r="J30" s="162">
        <f>IF((AND($E$3="MCS",$E$4="TODOS CRs")),
SUMIFS('2026'!$K:$K,'2026'!$R:$R,$E$3&amp;$C30,'2026'!$T:$T,J$6),
SUMIFS('2026'!$K:$K,'2026'!$N:$N,$E$3&amp;$C30&amp;$E$4,'2026'!$T:$T,J$6))</f>
        <v>-96</v>
      </c>
      <c r="K30" s="162">
        <f>IF((AND($E$3="MCS",$E$4="TODOS CRs")),
SUMIFS('2026'!$K:$K,'2026'!$R:$R,$E$3&amp;$C30,'2026'!$T:$T,K$6),
SUMIFS('2026'!$K:$K,'2026'!$N:$N,$E$3&amp;$C30&amp;$E$4,'2026'!$T:$T,K$6))</f>
        <v>-620.59</v>
      </c>
      <c r="L30" s="162">
        <f>IF((AND($E$3="MCS",$E$4="TODOS CRs")),
SUMIFS('2026'!$K:$K,'2026'!$R:$R,$E$3&amp;$C30,'2026'!$T:$T,L$6),
SUMIFS('2026'!$K:$K,'2026'!$N:$N,$E$3&amp;$C30&amp;$E$4,'2026'!$T:$T,L$6))</f>
        <v>0</v>
      </c>
      <c r="M30" s="162">
        <f>IF((AND($E$3="MCS",$E$4="TODOS CRs")),
SUMIFS('2026'!$K:$K,'2026'!$R:$R,$E$3&amp;$C30,'2026'!$T:$T,M$6),
SUMIFS('2026'!$K:$K,'2026'!$N:$N,$E$3&amp;$C30&amp;$E$4,'2026'!$T:$T,M$6))</f>
        <v>0</v>
      </c>
      <c r="N30" s="162">
        <f>IF((AND($E$3="MCS",$E$4="TODOS CRs")),
SUMIFS('2026'!$K:$K,'2026'!$R:$R,$E$3&amp;$C30,'2026'!$T:$T,N$6),
SUMIFS('2026'!$K:$K,'2026'!$N:$N,$E$3&amp;$C30&amp;$E$4,'2026'!$T:$T,N$6))</f>
        <v>0</v>
      </c>
      <c r="O30" s="162">
        <f>IF((AND($E$3="MCS",$E$4="TODOS CRs")),
SUMIFS('2026'!$K:$K,'2026'!$R:$R,$E$3&amp;$C30,'2026'!$T:$T,O$6),
SUMIFS('2026'!$K:$K,'2026'!$N:$N,$E$3&amp;$C30&amp;$E$4,'2026'!$T:$T,O$6))</f>
        <v>0</v>
      </c>
      <c r="P30" s="162">
        <f>IF((AND($E$3="MCS",$E$4="TODOS CRs")),
SUMIFS('2026'!$K:$K,'2026'!$R:$R,$E$3&amp;$C30,'2026'!$T:$T,P$6),
SUMIFS('2026'!$K:$K,'2026'!$N:$N,$E$3&amp;$C30&amp;$E$4,'2026'!$T:$T,P$6))</f>
        <v>0</v>
      </c>
      <c r="Q30" s="162">
        <f>IF((AND($E$3="MCS",$E$4="TODOS CRs")),
SUMIFS('2026'!$K:$K,'2026'!$R:$R,$E$3&amp;$C30,'2026'!$T:$T,Q$6),
SUMIFS('2026'!$K:$K,'2026'!$N:$N,$E$3&amp;$C30&amp;$E$4,'2026'!$T:$T,Q$6))</f>
        <v>0</v>
      </c>
    </row>
    <row r="31" spans="1:17" s="142" customFormat="1" x14ac:dyDescent="0.25">
      <c r="A31" s="135"/>
      <c r="B31" s="164" t="s">
        <v>786</v>
      </c>
      <c r="C31" s="164" t="s">
        <v>718</v>
      </c>
      <c r="D31" s="165" t="s">
        <v>717</v>
      </c>
      <c r="E31" s="166">
        <f t="shared" si="18"/>
        <v>-3520</v>
      </c>
      <c r="F31" s="169">
        <f>IF((AND($E$3="MCS",$E$4="TODOS CRs")),
SUMIFS('2026'!$K:$K,'2026'!$R:$R,$E$3&amp;$C31,'2026'!$T:$T,F$6),
SUMIFS('2026'!$K:$K,'2026'!$N:$N,$E$3&amp;$C31&amp;$E$4,'2026'!$T:$T,F$6))</f>
        <v>-700</v>
      </c>
      <c r="G31" s="168">
        <f>IF((AND($E$3="MCS",$E$4="TODOS CRs")),
SUMIFS('2026'!$K:$K,'2026'!$R:$R,$E$3&amp;$C31,'2026'!$T:$T,G$6),
SUMIFS('2026'!$K:$K,'2026'!$N:$N,$E$3&amp;$C31&amp;$E$4,'2026'!$T:$T,G$6))</f>
        <v>-720</v>
      </c>
      <c r="H31" s="168">
        <f>IF((AND($E$3="MCS",$E$4="TODOS CRs")),
SUMIFS('2026'!$K:$K,'2026'!$R:$R,$E$3&amp;$C31,'2026'!$T:$T,H$6),
SUMIFS('2026'!$K:$K,'2026'!$N:$N,$E$3&amp;$C31&amp;$E$4,'2026'!$T:$T,H$6))</f>
        <v>-700</v>
      </c>
      <c r="I31" s="168">
        <f>IF((AND($E$3="MCS",$E$4="TODOS CRs")),
SUMIFS('2026'!$K:$K,'2026'!$R:$R,$E$3&amp;$C31,'2026'!$T:$T,I$6),
SUMIFS('2026'!$K:$K,'2026'!$N:$N,$E$3&amp;$C31&amp;$E$4,'2026'!$T:$T,I$6))</f>
        <v>-700</v>
      </c>
      <c r="J31" s="168">
        <f>IF((AND($E$3="MCS",$E$4="TODOS CRs")),
SUMIFS('2026'!$K:$K,'2026'!$R:$R,$E$3&amp;$C31,'2026'!$T:$T,J$6),
SUMIFS('2026'!$K:$K,'2026'!$N:$N,$E$3&amp;$C31&amp;$E$4,'2026'!$T:$T,J$6))</f>
        <v>-700</v>
      </c>
      <c r="K31" s="168">
        <f>IF((AND($E$3="MCS",$E$4="TODOS CRs")),
SUMIFS('2026'!$K:$K,'2026'!$R:$R,$E$3&amp;$C31,'2026'!$T:$T,K$6),
SUMIFS('2026'!$K:$K,'2026'!$N:$N,$E$3&amp;$C31&amp;$E$4,'2026'!$T:$T,K$6))</f>
        <v>0</v>
      </c>
      <c r="L31" s="168">
        <f>IF((AND($E$3="MCS",$E$4="TODOS CRs")),
SUMIFS('2026'!$K:$K,'2026'!$R:$R,$E$3&amp;$C31,'2026'!$T:$T,L$6),
SUMIFS('2026'!$K:$K,'2026'!$N:$N,$E$3&amp;$C31&amp;$E$4,'2026'!$T:$T,L$6))</f>
        <v>0</v>
      </c>
      <c r="M31" s="168">
        <f>IF((AND($E$3="MCS",$E$4="TODOS CRs")),
SUMIFS('2026'!$K:$K,'2026'!$R:$R,$E$3&amp;$C31,'2026'!$T:$T,M$6),
SUMIFS('2026'!$K:$K,'2026'!$N:$N,$E$3&amp;$C31&amp;$E$4,'2026'!$T:$T,M$6))</f>
        <v>0</v>
      </c>
      <c r="N31" s="168">
        <f>IF((AND($E$3="MCS",$E$4="TODOS CRs")),
SUMIFS('2026'!$K:$K,'2026'!$R:$R,$E$3&amp;$C31,'2026'!$T:$T,N$6),
SUMIFS('2026'!$K:$K,'2026'!$N:$N,$E$3&amp;$C31&amp;$E$4,'2026'!$T:$T,N$6))</f>
        <v>0</v>
      </c>
      <c r="O31" s="168">
        <f>IF((AND($E$3="MCS",$E$4="TODOS CRs")),
SUMIFS('2026'!$K:$K,'2026'!$R:$R,$E$3&amp;$C31,'2026'!$T:$T,O$6),
SUMIFS('2026'!$K:$K,'2026'!$N:$N,$E$3&amp;$C31&amp;$E$4,'2026'!$T:$T,O$6))</f>
        <v>0</v>
      </c>
      <c r="P31" s="168">
        <f>IF((AND($E$3="MCS",$E$4="TODOS CRs")),
SUMIFS('2026'!$K:$K,'2026'!$R:$R,$E$3&amp;$C31,'2026'!$T:$T,P$6),
SUMIFS('2026'!$K:$K,'2026'!$N:$N,$E$3&amp;$C31&amp;$E$4,'2026'!$T:$T,P$6))</f>
        <v>0</v>
      </c>
      <c r="Q31" s="168">
        <f>IF((AND($E$3="MCS",$E$4="TODOS CRs")),
SUMIFS('2026'!$K:$K,'2026'!$R:$R,$E$3&amp;$C31,'2026'!$T:$T,Q$6),
SUMIFS('2026'!$K:$K,'2026'!$N:$N,$E$3&amp;$C31&amp;$E$4,'2026'!$T:$T,Q$6))</f>
        <v>0</v>
      </c>
    </row>
    <row r="32" spans="1:17" s="142" customFormat="1" x14ac:dyDescent="0.25">
      <c r="A32" s="135"/>
      <c r="B32" s="136" t="s">
        <v>786</v>
      </c>
      <c r="C32" s="136" t="s">
        <v>719</v>
      </c>
      <c r="D32" s="137" t="s">
        <v>715</v>
      </c>
      <c r="E32" s="138">
        <f t="shared" si="18"/>
        <v>-3897.02</v>
      </c>
      <c r="F32" s="152">
        <f>IF((AND($E$3="MCS",$E$4="TODOS CRs")),
SUMIFS('2026'!$K:$K,'2026'!$R:$R,$E$3&amp;$C32,'2026'!$T:$T,F$6),
SUMIFS('2026'!$K:$K,'2026'!$N:$N,$E$3&amp;$C32&amp;$E$4,'2026'!$T:$T,F$6))</f>
        <v>-816.87</v>
      </c>
      <c r="G32" s="148">
        <f>IF((AND($E$3="MCS",$E$4="TODOS CRs")),
SUMIFS('2026'!$K:$K,'2026'!$R:$R,$E$3&amp;$C32,'2026'!$T:$T,G$6),
SUMIFS('2026'!$K:$K,'2026'!$N:$N,$E$3&amp;$C32&amp;$E$4,'2026'!$T:$T,G$6))</f>
        <v>-833.3</v>
      </c>
      <c r="H32" s="148">
        <f>IF((AND($E$3="MCS",$E$4="TODOS CRs")),
SUMIFS('2026'!$K:$K,'2026'!$R:$R,$E$3&amp;$C32,'2026'!$T:$T,H$6),
SUMIFS('2026'!$K:$K,'2026'!$N:$N,$E$3&amp;$C32&amp;$E$4,'2026'!$T:$T,H$6))</f>
        <v>-819.4</v>
      </c>
      <c r="I32" s="148">
        <f>IF((AND($E$3="MCS",$E$4="TODOS CRs")),
SUMIFS('2026'!$K:$K,'2026'!$R:$R,$E$3&amp;$C32,'2026'!$T:$T,I$6),
SUMIFS('2026'!$K:$K,'2026'!$N:$N,$E$3&amp;$C32&amp;$E$4,'2026'!$T:$T,I$6))</f>
        <v>-936.56</v>
      </c>
      <c r="J32" s="148">
        <f>IF((AND($E$3="MCS",$E$4="TODOS CRs")),
SUMIFS('2026'!$K:$K,'2026'!$R:$R,$E$3&amp;$C32,'2026'!$T:$T,J$6),
SUMIFS('2026'!$K:$K,'2026'!$N:$N,$E$3&amp;$C32&amp;$E$4,'2026'!$T:$T,J$6))</f>
        <v>0</v>
      </c>
      <c r="K32" s="148">
        <f>IF((AND($E$3="MCS",$E$4="TODOS CRs")),
SUMIFS('2026'!$K:$K,'2026'!$R:$R,$E$3&amp;$C32,'2026'!$T:$T,K$6),
SUMIFS('2026'!$K:$K,'2026'!$N:$N,$E$3&amp;$C32&amp;$E$4,'2026'!$T:$T,K$6))</f>
        <v>-490.89</v>
      </c>
      <c r="L32" s="148">
        <f>IF((AND($E$3="MCS",$E$4="TODOS CRs")),
SUMIFS('2026'!$K:$K,'2026'!$R:$R,$E$3&amp;$C32,'2026'!$T:$T,L$6),
SUMIFS('2026'!$K:$K,'2026'!$N:$N,$E$3&amp;$C32&amp;$E$4,'2026'!$T:$T,L$6))</f>
        <v>0</v>
      </c>
      <c r="M32" s="148">
        <f>IF((AND($E$3="MCS",$E$4="TODOS CRs")),
SUMIFS('2026'!$K:$K,'2026'!$R:$R,$E$3&amp;$C32,'2026'!$T:$T,M$6),
SUMIFS('2026'!$K:$K,'2026'!$N:$N,$E$3&amp;$C32&amp;$E$4,'2026'!$T:$T,M$6))</f>
        <v>0</v>
      </c>
      <c r="N32" s="148">
        <f>IF((AND($E$3="MCS",$E$4="TODOS CRs")),
SUMIFS('2026'!$K:$K,'2026'!$R:$R,$E$3&amp;$C32,'2026'!$T:$T,N$6),
SUMIFS('2026'!$K:$K,'2026'!$N:$N,$E$3&amp;$C32&amp;$E$4,'2026'!$T:$T,N$6))</f>
        <v>0</v>
      </c>
      <c r="O32" s="148">
        <f>IF((AND($E$3="MCS",$E$4="TODOS CRs")),
SUMIFS('2026'!$K:$K,'2026'!$R:$R,$E$3&amp;$C32,'2026'!$T:$T,O$6),
SUMIFS('2026'!$K:$K,'2026'!$N:$N,$E$3&amp;$C32&amp;$E$4,'2026'!$T:$T,O$6))</f>
        <v>0</v>
      </c>
      <c r="P32" s="148">
        <f>IF((AND($E$3="MCS",$E$4="TODOS CRs")),
SUMIFS('2026'!$K:$K,'2026'!$R:$R,$E$3&amp;$C32,'2026'!$T:$T,P$6),
SUMIFS('2026'!$K:$K,'2026'!$N:$N,$E$3&amp;$C32&amp;$E$4,'2026'!$T:$T,P$6))</f>
        <v>0</v>
      </c>
      <c r="Q32" s="148">
        <f>IF((AND($E$3="MCS",$E$4="TODOS CRs")),
SUMIFS('2026'!$K:$K,'2026'!$R:$R,$E$3&amp;$C32,'2026'!$T:$T,Q$6),
SUMIFS('2026'!$K:$K,'2026'!$N:$N,$E$3&amp;$C32&amp;$E$4,'2026'!$T:$T,Q$6))</f>
        <v>0</v>
      </c>
    </row>
    <row r="33" spans="1:17" s="142" customFormat="1" x14ac:dyDescent="0.25">
      <c r="A33" s="135"/>
      <c r="B33" s="136" t="s">
        <v>786</v>
      </c>
      <c r="C33" s="136" t="s">
        <v>720</v>
      </c>
      <c r="D33" s="137" t="s">
        <v>746</v>
      </c>
      <c r="E33" s="138">
        <f t="shared" si="18"/>
        <v>-3251.21</v>
      </c>
      <c r="F33" s="152">
        <f>IF((AND($E$3="MCS",$E$4="TODOS CRs")),
SUMIFS('2026'!$K:$K,'2026'!$R:$R,$E$3&amp;$C33,'2026'!$T:$T,F$6),
SUMIFS('2026'!$K:$K,'2026'!$N:$N,$E$3&amp;$C33&amp;$E$4,'2026'!$T:$T,F$6))</f>
        <v>-506.56</v>
      </c>
      <c r="G33" s="148">
        <f>IF((AND($E$3="MCS",$E$4="TODOS CRs")),
SUMIFS('2026'!$K:$K,'2026'!$R:$R,$E$3&amp;$C33,'2026'!$T:$T,G$6),
SUMIFS('2026'!$K:$K,'2026'!$N:$N,$E$3&amp;$C33&amp;$E$4,'2026'!$T:$T,G$6))</f>
        <v>-505.98</v>
      </c>
      <c r="H33" s="148">
        <f>IF((AND($E$3="MCS",$E$4="TODOS CRs")),
SUMIFS('2026'!$K:$K,'2026'!$R:$R,$E$3&amp;$C33,'2026'!$T:$T,H$6),
SUMIFS('2026'!$K:$K,'2026'!$N:$N,$E$3&amp;$C33&amp;$E$4,'2026'!$T:$T,H$6))</f>
        <v>-507.72</v>
      </c>
      <c r="I33" s="148">
        <f>IF((AND($E$3="MCS",$E$4="TODOS CRs")),
SUMIFS('2026'!$K:$K,'2026'!$R:$R,$E$3&amp;$C33,'2026'!$T:$T,I$6),
SUMIFS('2026'!$K:$K,'2026'!$N:$N,$E$3&amp;$C33&amp;$E$4,'2026'!$T:$T,I$6))</f>
        <v>-535.39</v>
      </c>
      <c r="J33" s="148">
        <f>IF((AND($E$3="MCS",$E$4="TODOS CRs")),
SUMIFS('2026'!$K:$K,'2026'!$R:$R,$E$3&amp;$C33,'2026'!$T:$T,J$6),
SUMIFS('2026'!$K:$K,'2026'!$N:$N,$E$3&amp;$C33&amp;$E$4,'2026'!$T:$T,J$6))</f>
        <v>-581.22</v>
      </c>
      <c r="K33" s="148">
        <f>IF((AND($E$3="MCS",$E$4="TODOS CRs")),
SUMIFS('2026'!$K:$K,'2026'!$R:$R,$E$3&amp;$C33,'2026'!$T:$T,K$6),
SUMIFS('2026'!$K:$K,'2026'!$N:$N,$E$3&amp;$C33&amp;$E$4,'2026'!$T:$T,K$6))</f>
        <v>-614.34</v>
      </c>
      <c r="L33" s="148">
        <f>IF((AND($E$3="MCS",$E$4="TODOS CRs")),
SUMIFS('2026'!$K:$K,'2026'!$R:$R,$E$3&amp;$C33,'2026'!$T:$T,L$6),
SUMIFS('2026'!$K:$K,'2026'!$N:$N,$E$3&amp;$C33&amp;$E$4,'2026'!$T:$T,L$6))</f>
        <v>0</v>
      </c>
      <c r="M33" s="148">
        <f>IF((AND($E$3="MCS",$E$4="TODOS CRs")),
SUMIFS('2026'!$K:$K,'2026'!$R:$R,$E$3&amp;$C33,'2026'!$T:$T,M$6),
SUMIFS('2026'!$K:$K,'2026'!$N:$N,$E$3&amp;$C33&amp;$E$4,'2026'!$T:$T,M$6))</f>
        <v>0</v>
      </c>
      <c r="N33" s="148">
        <f>IF((AND($E$3="MCS",$E$4="TODOS CRs")),
SUMIFS('2026'!$K:$K,'2026'!$R:$R,$E$3&amp;$C33,'2026'!$T:$T,N$6),
SUMIFS('2026'!$K:$K,'2026'!$N:$N,$E$3&amp;$C33&amp;$E$4,'2026'!$T:$T,N$6))</f>
        <v>0</v>
      </c>
      <c r="O33" s="148">
        <f>IF((AND($E$3="MCS",$E$4="TODOS CRs")),
SUMIFS('2026'!$K:$K,'2026'!$R:$R,$E$3&amp;$C33,'2026'!$T:$T,O$6),
SUMIFS('2026'!$K:$K,'2026'!$N:$N,$E$3&amp;$C33&amp;$E$4,'2026'!$T:$T,O$6))</f>
        <v>0</v>
      </c>
      <c r="P33" s="148">
        <f>IF((AND($E$3="MCS",$E$4="TODOS CRs")),
SUMIFS('2026'!$K:$K,'2026'!$R:$R,$E$3&amp;$C33,'2026'!$T:$T,P$6),
SUMIFS('2026'!$K:$K,'2026'!$N:$N,$E$3&amp;$C33&amp;$E$4,'2026'!$T:$T,P$6))</f>
        <v>0</v>
      </c>
      <c r="Q33" s="148">
        <f>IF((AND($E$3="MCS",$E$4="TODOS CRs")),
SUMIFS('2026'!$K:$K,'2026'!$R:$R,$E$3&amp;$C33,'2026'!$T:$T,Q$6),
SUMIFS('2026'!$K:$K,'2026'!$N:$N,$E$3&amp;$C33&amp;$E$4,'2026'!$T:$T,Q$6))</f>
        <v>0</v>
      </c>
    </row>
    <row r="34" spans="1:17" s="142" customFormat="1" x14ac:dyDescent="0.25">
      <c r="A34" s="135"/>
      <c r="B34" s="136" t="s">
        <v>786</v>
      </c>
      <c r="C34" s="136" t="s">
        <v>725</v>
      </c>
      <c r="D34" s="137" t="s">
        <v>749</v>
      </c>
      <c r="E34" s="138">
        <f t="shared" si="18"/>
        <v>0</v>
      </c>
      <c r="F34" s="152">
        <f>IF((AND($E$3="MCS",$E$4="TODOS CRs")),
SUMIFS('2026'!$K:$K,'2026'!$R:$R,$E$3&amp;$C34,'2026'!$T:$T,F$6),
SUMIFS('2026'!$K:$K,'2026'!$N:$N,$E$3&amp;$C34&amp;$E$4,'2026'!$T:$T,F$6))</f>
        <v>0</v>
      </c>
      <c r="G34" s="148">
        <f>IF((AND($E$3="MCS",$E$4="TODOS CRs")),
SUMIFS('2026'!$K:$K,'2026'!$R:$R,$E$3&amp;$C34,'2026'!$T:$T,G$6),
SUMIFS('2026'!$K:$K,'2026'!$N:$N,$E$3&amp;$C34&amp;$E$4,'2026'!$T:$T,G$6))</f>
        <v>0</v>
      </c>
      <c r="H34" s="148">
        <f>IF((AND($E$3="MCS",$E$4="TODOS CRs")),
SUMIFS('2026'!$K:$K,'2026'!$R:$R,$E$3&amp;$C34,'2026'!$T:$T,H$6),
SUMIFS('2026'!$K:$K,'2026'!$N:$N,$E$3&amp;$C34&amp;$E$4,'2026'!$T:$T,H$6))</f>
        <v>0</v>
      </c>
      <c r="I34" s="148">
        <f>IF((AND($E$3="MCS",$E$4="TODOS CRs")),
SUMIFS('2026'!$K:$K,'2026'!$R:$R,$E$3&amp;$C34,'2026'!$T:$T,I$6),
SUMIFS('2026'!$K:$K,'2026'!$N:$N,$E$3&amp;$C34&amp;$E$4,'2026'!$T:$T,I$6))</f>
        <v>0</v>
      </c>
      <c r="J34" s="148">
        <f>IF((AND($E$3="MCS",$E$4="TODOS CRs")),
SUMIFS('2026'!$K:$K,'2026'!$R:$R,$E$3&amp;$C34,'2026'!$T:$T,J$6),
SUMIFS('2026'!$K:$K,'2026'!$N:$N,$E$3&amp;$C34&amp;$E$4,'2026'!$T:$T,J$6))</f>
        <v>0</v>
      </c>
      <c r="K34" s="148">
        <f>IF((AND($E$3="MCS",$E$4="TODOS CRs")),
SUMIFS('2026'!$K:$K,'2026'!$R:$R,$E$3&amp;$C34,'2026'!$T:$T,K$6),
SUMIFS('2026'!$K:$K,'2026'!$N:$N,$E$3&amp;$C34&amp;$E$4,'2026'!$T:$T,K$6))</f>
        <v>0</v>
      </c>
      <c r="L34" s="148">
        <f>IF((AND($E$3="MCS",$E$4="TODOS CRs")),
SUMIFS('2026'!$K:$K,'2026'!$R:$R,$E$3&amp;$C34,'2026'!$T:$T,L$6),
SUMIFS('2026'!$K:$K,'2026'!$N:$N,$E$3&amp;$C34&amp;$E$4,'2026'!$T:$T,L$6))</f>
        <v>0</v>
      </c>
      <c r="M34" s="148">
        <f>IF((AND($E$3="MCS",$E$4="TODOS CRs")),
SUMIFS('2026'!$K:$K,'2026'!$R:$R,$E$3&amp;$C34,'2026'!$T:$T,M$6),
SUMIFS('2026'!$K:$K,'2026'!$N:$N,$E$3&amp;$C34&amp;$E$4,'2026'!$T:$T,M$6))</f>
        <v>0</v>
      </c>
      <c r="N34" s="148">
        <f>IF((AND($E$3="MCS",$E$4="TODOS CRs")),
SUMIFS('2026'!$K:$K,'2026'!$R:$R,$E$3&amp;$C34,'2026'!$T:$T,N$6),
SUMIFS('2026'!$K:$K,'2026'!$N:$N,$E$3&amp;$C34&amp;$E$4,'2026'!$T:$T,N$6))</f>
        <v>0</v>
      </c>
      <c r="O34" s="148">
        <f>IF((AND($E$3="MCS",$E$4="TODOS CRs")),
SUMIFS('2026'!$K:$K,'2026'!$R:$R,$E$3&amp;$C34,'2026'!$T:$T,O$6),
SUMIFS('2026'!$K:$K,'2026'!$N:$N,$E$3&amp;$C34&amp;$E$4,'2026'!$T:$T,O$6))</f>
        <v>0</v>
      </c>
      <c r="P34" s="148">
        <f>IF((AND($E$3="MCS",$E$4="TODOS CRs")),
SUMIFS('2026'!$K:$K,'2026'!$R:$R,$E$3&amp;$C34,'2026'!$T:$T,P$6),
SUMIFS('2026'!$K:$K,'2026'!$N:$N,$E$3&amp;$C34&amp;$E$4,'2026'!$T:$T,P$6))</f>
        <v>0</v>
      </c>
      <c r="Q34" s="148">
        <f>IF((AND($E$3="MCS",$E$4="TODOS CRs")),
SUMIFS('2026'!$K:$K,'2026'!$R:$R,$E$3&amp;$C34,'2026'!$T:$T,Q$6),
SUMIFS('2026'!$K:$K,'2026'!$N:$N,$E$3&amp;$C34&amp;$E$4,'2026'!$T:$T,Q$6))</f>
        <v>0</v>
      </c>
    </row>
    <row r="35" spans="1:17" s="142" customFormat="1" x14ac:dyDescent="0.25">
      <c r="A35" s="135"/>
      <c r="B35" s="136" t="s">
        <v>786</v>
      </c>
      <c r="C35" s="136" t="s">
        <v>726</v>
      </c>
      <c r="D35" s="137" t="s">
        <v>716</v>
      </c>
      <c r="E35" s="138">
        <f t="shared" si="18"/>
        <v>-284.98</v>
      </c>
      <c r="F35" s="152">
        <f>IF((AND($E$3="MCS",$E$4="TODOS CRs")),
SUMIFS('2026'!$K:$K,'2026'!$R:$R,$E$3&amp;$C35,'2026'!$T:$T,F$6),
SUMIFS('2026'!$K:$K,'2026'!$N:$N,$E$3&amp;$C35&amp;$E$4,'2026'!$T:$T,F$6))</f>
        <v>0</v>
      </c>
      <c r="G35" s="148">
        <f>IF((AND($E$3="MCS",$E$4="TODOS CRs")),
SUMIFS('2026'!$K:$K,'2026'!$R:$R,$E$3&amp;$C35,'2026'!$T:$T,G$6),
SUMIFS('2026'!$K:$K,'2026'!$N:$N,$E$3&amp;$C35&amp;$E$4,'2026'!$T:$T,G$6))</f>
        <v>0</v>
      </c>
      <c r="H35" s="148">
        <f>IF((AND($E$3="MCS",$E$4="TODOS CRs")),
SUMIFS('2026'!$K:$K,'2026'!$R:$R,$E$3&amp;$C35,'2026'!$T:$T,H$6),
SUMIFS('2026'!$K:$K,'2026'!$N:$N,$E$3&amp;$C35&amp;$E$4,'2026'!$T:$T,H$6))</f>
        <v>-284.98</v>
      </c>
      <c r="I35" s="148">
        <f>IF((AND($E$3="MCS",$E$4="TODOS CRs")),
SUMIFS('2026'!$K:$K,'2026'!$R:$R,$E$3&amp;$C35,'2026'!$T:$T,I$6),
SUMIFS('2026'!$K:$K,'2026'!$N:$N,$E$3&amp;$C35&amp;$E$4,'2026'!$T:$T,I$6))</f>
        <v>0</v>
      </c>
      <c r="J35" s="148">
        <f>IF((AND($E$3="MCS",$E$4="TODOS CRs")),
SUMIFS('2026'!$K:$K,'2026'!$R:$R,$E$3&amp;$C35,'2026'!$T:$T,J$6),
SUMIFS('2026'!$K:$K,'2026'!$N:$N,$E$3&amp;$C35&amp;$E$4,'2026'!$T:$T,J$6))</f>
        <v>0</v>
      </c>
      <c r="K35" s="148">
        <f>IF((AND($E$3="MCS",$E$4="TODOS CRs")),
SUMIFS('2026'!$K:$K,'2026'!$R:$R,$E$3&amp;$C35,'2026'!$T:$T,K$6),
SUMIFS('2026'!$K:$K,'2026'!$N:$N,$E$3&amp;$C35&amp;$E$4,'2026'!$T:$T,K$6))</f>
        <v>0</v>
      </c>
      <c r="L35" s="148">
        <f>IF((AND($E$3="MCS",$E$4="TODOS CRs")),
SUMIFS('2026'!$K:$K,'2026'!$R:$R,$E$3&amp;$C35,'2026'!$T:$T,L$6),
SUMIFS('2026'!$K:$K,'2026'!$N:$N,$E$3&amp;$C35&amp;$E$4,'2026'!$T:$T,L$6))</f>
        <v>0</v>
      </c>
      <c r="M35" s="148">
        <f>IF((AND($E$3="MCS",$E$4="TODOS CRs")),
SUMIFS('2026'!$K:$K,'2026'!$R:$R,$E$3&amp;$C35,'2026'!$T:$T,M$6),
SUMIFS('2026'!$K:$K,'2026'!$N:$N,$E$3&amp;$C35&amp;$E$4,'2026'!$T:$T,M$6))</f>
        <v>0</v>
      </c>
      <c r="N35" s="148">
        <f>IF((AND($E$3="MCS",$E$4="TODOS CRs")),
SUMIFS('2026'!$K:$K,'2026'!$R:$R,$E$3&amp;$C35,'2026'!$T:$T,N$6),
SUMIFS('2026'!$K:$K,'2026'!$N:$N,$E$3&amp;$C35&amp;$E$4,'2026'!$T:$T,N$6))</f>
        <v>0</v>
      </c>
      <c r="O35" s="148">
        <f>IF((AND($E$3="MCS",$E$4="TODOS CRs")),
SUMIFS('2026'!$K:$K,'2026'!$R:$R,$E$3&amp;$C35,'2026'!$T:$T,O$6),
SUMIFS('2026'!$K:$K,'2026'!$N:$N,$E$3&amp;$C35&amp;$E$4,'2026'!$T:$T,O$6))</f>
        <v>0</v>
      </c>
      <c r="P35" s="148">
        <f>IF((AND($E$3="MCS",$E$4="TODOS CRs")),
SUMIFS('2026'!$K:$K,'2026'!$R:$R,$E$3&amp;$C35,'2026'!$T:$T,P$6),
SUMIFS('2026'!$K:$K,'2026'!$N:$N,$E$3&amp;$C35&amp;$E$4,'2026'!$T:$T,P$6))</f>
        <v>0</v>
      </c>
      <c r="Q35" s="148">
        <f>IF((AND($E$3="MCS",$E$4="TODOS CRs")),
SUMIFS('2026'!$K:$K,'2026'!$R:$R,$E$3&amp;$C35,'2026'!$T:$T,Q$6),
SUMIFS('2026'!$K:$K,'2026'!$N:$N,$E$3&amp;$C35&amp;$E$4,'2026'!$T:$T,Q$6))</f>
        <v>0</v>
      </c>
    </row>
    <row r="36" spans="1:17" s="142" customFormat="1" x14ac:dyDescent="0.25">
      <c r="A36" s="135"/>
      <c r="B36" s="136" t="s">
        <v>786</v>
      </c>
      <c r="C36" s="136" t="s">
        <v>727</v>
      </c>
      <c r="D36" s="137" t="s">
        <v>37</v>
      </c>
      <c r="E36" s="138">
        <f t="shared" si="18"/>
        <v>-780.83999999999992</v>
      </c>
      <c r="F36" s="152">
        <f>IF((AND($E$3="MCS",$E$4="TODOS CRs")),
SUMIFS('2026'!$K:$K,'2026'!$R:$R,$E$3&amp;$C36,'2026'!$T:$T,F$6),
SUMIFS('2026'!$K:$K,'2026'!$N:$N,$E$3&amp;$C36&amp;$E$4,'2026'!$T:$T,F$6))</f>
        <v>-80.48</v>
      </c>
      <c r="G36" s="148">
        <f>IF((AND($E$3="MCS",$E$4="TODOS CRs")),
SUMIFS('2026'!$K:$K,'2026'!$R:$R,$E$3&amp;$C36,'2026'!$T:$T,G$6),
SUMIFS('2026'!$K:$K,'2026'!$N:$N,$E$3&amp;$C36&amp;$E$4,'2026'!$T:$T,G$6))</f>
        <v>-62.87</v>
      </c>
      <c r="H36" s="148">
        <f>IF((AND($E$3="MCS",$E$4="TODOS CRs")),
SUMIFS('2026'!$K:$K,'2026'!$R:$R,$E$3&amp;$C36,'2026'!$T:$T,H$6),
SUMIFS('2026'!$K:$K,'2026'!$N:$N,$E$3&amp;$C36&amp;$E$4,'2026'!$T:$T,H$6))</f>
        <v>-55.99</v>
      </c>
      <c r="I36" s="148">
        <f>IF((AND($E$3="MCS",$E$4="TODOS CRs")),
SUMIFS('2026'!$K:$K,'2026'!$R:$R,$E$3&amp;$C36,'2026'!$T:$T,I$6),
SUMIFS('2026'!$K:$K,'2026'!$N:$N,$E$3&amp;$C36&amp;$E$4,'2026'!$T:$T,I$6))</f>
        <v>-91.960000000000008</v>
      </c>
      <c r="J36" s="148">
        <f>IF((AND($E$3="MCS",$E$4="TODOS CRs")),
SUMIFS('2026'!$K:$K,'2026'!$R:$R,$E$3&amp;$C36,'2026'!$T:$T,J$6),
SUMIFS('2026'!$K:$K,'2026'!$N:$N,$E$3&amp;$C36&amp;$E$4,'2026'!$T:$T,J$6))</f>
        <v>-318.77</v>
      </c>
      <c r="K36" s="148">
        <f>IF((AND($E$3="MCS",$E$4="TODOS CRs")),
SUMIFS('2026'!$K:$K,'2026'!$R:$R,$E$3&amp;$C36,'2026'!$T:$T,K$6),
SUMIFS('2026'!$K:$K,'2026'!$N:$N,$E$3&amp;$C36&amp;$E$4,'2026'!$T:$T,K$6))</f>
        <v>-170.77</v>
      </c>
      <c r="L36" s="148">
        <f>IF((AND($E$3="MCS",$E$4="TODOS CRs")),
SUMIFS('2026'!$K:$K,'2026'!$R:$R,$E$3&amp;$C36,'2026'!$T:$T,L$6),
SUMIFS('2026'!$K:$K,'2026'!$N:$N,$E$3&amp;$C36&amp;$E$4,'2026'!$T:$T,L$6))</f>
        <v>0</v>
      </c>
      <c r="M36" s="148">
        <f>IF((AND($E$3="MCS",$E$4="TODOS CRs")),
SUMIFS('2026'!$K:$K,'2026'!$R:$R,$E$3&amp;$C36,'2026'!$T:$T,M$6),
SUMIFS('2026'!$K:$K,'2026'!$N:$N,$E$3&amp;$C36&amp;$E$4,'2026'!$T:$T,M$6))</f>
        <v>0</v>
      </c>
      <c r="N36" s="148">
        <f>IF((AND($E$3="MCS",$E$4="TODOS CRs")),
SUMIFS('2026'!$K:$K,'2026'!$R:$R,$E$3&amp;$C36,'2026'!$T:$T,N$6),
SUMIFS('2026'!$K:$K,'2026'!$N:$N,$E$3&amp;$C36&amp;$E$4,'2026'!$T:$T,N$6))</f>
        <v>0</v>
      </c>
      <c r="O36" s="148">
        <f>IF((AND($E$3="MCS",$E$4="TODOS CRs")),
SUMIFS('2026'!$K:$K,'2026'!$R:$R,$E$3&amp;$C36,'2026'!$T:$T,O$6),
SUMIFS('2026'!$K:$K,'2026'!$N:$N,$E$3&amp;$C36&amp;$E$4,'2026'!$T:$T,O$6))</f>
        <v>0</v>
      </c>
      <c r="P36" s="148">
        <f>IF((AND($E$3="MCS",$E$4="TODOS CRs")),
SUMIFS('2026'!$K:$K,'2026'!$R:$R,$E$3&amp;$C36,'2026'!$T:$T,P$6),
SUMIFS('2026'!$K:$K,'2026'!$N:$N,$E$3&amp;$C36&amp;$E$4,'2026'!$T:$T,P$6))</f>
        <v>0</v>
      </c>
      <c r="Q36" s="148">
        <f>IF((AND($E$3="MCS",$E$4="TODOS CRs")),
SUMIFS('2026'!$K:$K,'2026'!$R:$R,$E$3&amp;$C36,'2026'!$T:$T,Q$6),
SUMIFS('2026'!$K:$K,'2026'!$N:$N,$E$3&amp;$C36&amp;$E$4,'2026'!$T:$T,Q$6))</f>
        <v>0</v>
      </c>
    </row>
    <row r="37" spans="1:17" s="142" customFormat="1" x14ac:dyDescent="0.25">
      <c r="A37" s="135"/>
      <c r="B37" s="136" t="s">
        <v>786</v>
      </c>
      <c r="C37" s="136" t="s">
        <v>728</v>
      </c>
      <c r="D37" s="137" t="s">
        <v>737</v>
      </c>
      <c r="E37" s="138">
        <f t="shared" si="18"/>
        <v>0</v>
      </c>
      <c r="F37" s="152">
        <f>IF((AND($E$3="MCS",$E$4="TODOS CRs")),
SUMIFS('2026'!$K:$K,'2026'!$R:$R,$E$3&amp;$C37,'2026'!$T:$T,F$6),
SUMIFS('2026'!$K:$K,'2026'!$N:$N,$E$3&amp;$C37&amp;$E$4,'2026'!$T:$T,F$6))</f>
        <v>0</v>
      </c>
      <c r="G37" s="148">
        <f>IF((AND($E$3="MCS",$E$4="TODOS CRs")),
SUMIFS('2026'!$K:$K,'2026'!$R:$R,$E$3&amp;$C37,'2026'!$T:$T,G$6),
SUMIFS('2026'!$K:$K,'2026'!$N:$N,$E$3&amp;$C37&amp;$E$4,'2026'!$T:$T,G$6))</f>
        <v>0</v>
      </c>
      <c r="H37" s="148">
        <f>IF((AND($E$3="MCS",$E$4="TODOS CRs")),
SUMIFS('2026'!$K:$K,'2026'!$R:$R,$E$3&amp;$C37,'2026'!$T:$T,H$6),
SUMIFS('2026'!$K:$K,'2026'!$N:$N,$E$3&amp;$C37&amp;$E$4,'2026'!$T:$T,H$6))</f>
        <v>0</v>
      </c>
      <c r="I37" s="148">
        <f>IF((AND($E$3="MCS",$E$4="TODOS CRs")),
SUMIFS('2026'!$K:$K,'2026'!$R:$R,$E$3&amp;$C37,'2026'!$T:$T,I$6),
SUMIFS('2026'!$K:$K,'2026'!$N:$N,$E$3&amp;$C37&amp;$E$4,'2026'!$T:$T,I$6))</f>
        <v>0</v>
      </c>
      <c r="J37" s="148">
        <f>IF((AND($E$3="MCS",$E$4="TODOS CRs")),
SUMIFS('2026'!$K:$K,'2026'!$R:$R,$E$3&amp;$C37,'2026'!$T:$T,J$6),
SUMIFS('2026'!$K:$K,'2026'!$N:$N,$E$3&amp;$C37&amp;$E$4,'2026'!$T:$T,J$6))</f>
        <v>0</v>
      </c>
      <c r="K37" s="148">
        <f>IF((AND($E$3="MCS",$E$4="TODOS CRs")),
SUMIFS('2026'!$K:$K,'2026'!$R:$R,$E$3&amp;$C37,'2026'!$T:$T,K$6),
SUMIFS('2026'!$K:$K,'2026'!$N:$N,$E$3&amp;$C37&amp;$E$4,'2026'!$T:$T,K$6))</f>
        <v>0</v>
      </c>
      <c r="L37" s="148">
        <f>IF((AND($E$3="MCS",$E$4="TODOS CRs")),
SUMIFS('2026'!$K:$K,'2026'!$R:$R,$E$3&amp;$C37,'2026'!$T:$T,L$6),
SUMIFS('2026'!$K:$K,'2026'!$N:$N,$E$3&amp;$C37&amp;$E$4,'2026'!$T:$T,L$6))</f>
        <v>0</v>
      </c>
      <c r="M37" s="148">
        <f>IF((AND($E$3="MCS",$E$4="TODOS CRs")),
SUMIFS('2026'!$K:$K,'2026'!$R:$R,$E$3&amp;$C37,'2026'!$T:$T,M$6),
SUMIFS('2026'!$K:$K,'2026'!$N:$N,$E$3&amp;$C37&amp;$E$4,'2026'!$T:$T,M$6))</f>
        <v>0</v>
      </c>
      <c r="N37" s="148">
        <f>IF((AND($E$3="MCS",$E$4="TODOS CRs")),
SUMIFS('2026'!$K:$K,'2026'!$R:$R,$E$3&amp;$C37,'2026'!$T:$T,N$6),
SUMIFS('2026'!$K:$K,'2026'!$N:$N,$E$3&amp;$C37&amp;$E$4,'2026'!$T:$T,N$6))</f>
        <v>0</v>
      </c>
      <c r="O37" s="148">
        <f>IF((AND($E$3="MCS",$E$4="TODOS CRs")),
SUMIFS('2026'!$K:$K,'2026'!$R:$R,$E$3&amp;$C37,'2026'!$T:$T,O$6),
SUMIFS('2026'!$K:$K,'2026'!$N:$N,$E$3&amp;$C37&amp;$E$4,'2026'!$T:$T,O$6))</f>
        <v>0</v>
      </c>
      <c r="P37" s="148">
        <f>IF((AND($E$3="MCS",$E$4="TODOS CRs")),
SUMIFS('2026'!$K:$K,'2026'!$R:$R,$E$3&amp;$C37,'2026'!$T:$T,P$6),
SUMIFS('2026'!$K:$K,'2026'!$N:$N,$E$3&amp;$C37&amp;$E$4,'2026'!$T:$T,P$6))</f>
        <v>0</v>
      </c>
      <c r="Q37" s="148">
        <f>IF((AND($E$3="MCS",$E$4="TODOS CRs")),
SUMIFS('2026'!$K:$K,'2026'!$R:$R,$E$3&amp;$C37,'2026'!$T:$T,Q$6),
SUMIFS('2026'!$K:$K,'2026'!$N:$N,$E$3&amp;$C37&amp;$E$4,'2026'!$T:$T,Q$6))</f>
        <v>0</v>
      </c>
    </row>
    <row r="38" spans="1:17" s="142" customFormat="1" x14ac:dyDescent="0.25">
      <c r="A38" s="135"/>
      <c r="B38" s="136" t="s">
        <v>786</v>
      </c>
      <c r="C38" s="136" t="s">
        <v>729</v>
      </c>
      <c r="D38" s="137" t="s">
        <v>36</v>
      </c>
      <c r="E38" s="138">
        <f t="shared" si="18"/>
        <v>0</v>
      </c>
      <c r="F38" s="152">
        <f>IF((AND($E$3="MCS",$E$4="TODOS CRs")),
SUMIFS('2026'!$K:$K,'2026'!$R:$R,$E$3&amp;$C38,'2026'!$T:$T,F$6),
SUMIFS('2026'!$K:$K,'2026'!$N:$N,$E$3&amp;$C38&amp;$E$4,'2026'!$T:$T,F$6))</f>
        <v>0</v>
      </c>
      <c r="G38" s="148">
        <f>IF((AND($E$3="MCS",$E$4="TODOS CRs")),
SUMIFS('2026'!$K:$K,'2026'!$R:$R,$E$3&amp;$C38,'2026'!$T:$T,G$6),
SUMIFS('2026'!$K:$K,'2026'!$N:$N,$E$3&amp;$C38&amp;$E$4,'2026'!$T:$T,G$6))</f>
        <v>0</v>
      </c>
      <c r="H38" s="148">
        <f>IF((AND($E$3="MCS",$E$4="TODOS CRs")),
SUMIFS('2026'!$K:$K,'2026'!$R:$R,$E$3&amp;$C38,'2026'!$T:$T,H$6),
SUMIFS('2026'!$K:$K,'2026'!$N:$N,$E$3&amp;$C38&amp;$E$4,'2026'!$T:$T,H$6))</f>
        <v>0</v>
      </c>
      <c r="I38" s="148">
        <f>IF((AND($E$3="MCS",$E$4="TODOS CRs")),
SUMIFS('2026'!$K:$K,'2026'!$R:$R,$E$3&amp;$C38,'2026'!$T:$T,I$6),
SUMIFS('2026'!$K:$K,'2026'!$N:$N,$E$3&amp;$C38&amp;$E$4,'2026'!$T:$T,I$6))</f>
        <v>0</v>
      </c>
      <c r="J38" s="148">
        <f>IF((AND($E$3="MCS",$E$4="TODOS CRs")),
SUMIFS('2026'!$K:$K,'2026'!$R:$R,$E$3&amp;$C38,'2026'!$T:$T,J$6),
SUMIFS('2026'!$K:$K,'2026'!$N:$N,$E$3&amp;$C38&amp;$E$4,'2026'!$T:$T,J$6))</f>
        <v>0</v>
      </c>
      <c r="K38" s="148">
        <f>IF((AND($E$3="MCS",$E$4="TODOS CRs")),
SUMIFS('2026'!$K:$K,'2026'!$R:$R,$E$3&amp;$C38,'2026'!$T:$T,K$6),
SUMIFS('2026'!$K:$K,'2026'!$N:$N,$E$3&amp;$C38&amp;$E$4,'2026'!$T:$T,K$6))</f>
        <v>0</v>
      </c>
      <c r="L38" s="148">
        <f>IF((AND($E$3="MCS",$E$4="TODOS CRs")),
SUMIFS('2026'!$K:$K,'2026'!$R:$R,$E$3&amp;$C38,'2026'!$T:$T,L$6),
SUMIFS('2026'!$K:$K,'2026'!$N:$N,$E$3&amp;$C38&amp;$E$4,'2026'!$T:$T,L$6))</f>
        <v>0</v>
      </c>
      <c r="M38" s="148">
        <f>IF((AND($E$3="MCS",$E$4="TODOS CRs")),
SUMIFS('2026'!$K:$K,'2026'!$R:$R,$E$3&amp;$C38,'2026'!$T:$T,M$6),
SUMIFS('2026'!$K:$K,'2026'!$N:$N,$E$3&amp;$C38&amp;$E$4,'2026'!$T:$T,M$6))</f>
        <v>0</v>
      </c>
      <c r="N38" s="148">
        <f>IF((AND($E$3="MCS",$E$4="TODOS CRs")),
SUMIFS('2026'!$K:$K,'2026'!$R:$R,$E$3&amp;$C38,'2026'!$T:$T,N$6),
SUMIFS('2026'!$K:$K,'2026'!$N:$N,$E$3&amp;$C38&amp;$E$4,'2026'!$T:$T,N$6))</f>
        <v>0</v>
      </c>
      <c r="O38" s="148">
        <f>IF((AND($E$3="MCS",$E$4="TODOS CRs")),
SUMIFS('2026'!$K:$K,'2026'!$R:$R,$E$3&amp;$C38,'2026'!$T:$T,O$6),
SUMIFS('2026'!$K:$K,'2026'!$N:$N,$E$3&amp;$C38&amp;$E$4,'2026'!$T:$T,O$6))</f>
        <v>0</v>
      </c>
      <c r="P38" s="148">
        <f>IF((AND($E$3="MCS",$E$4="TODOS CRs")),
SUMIFS('2026'!$K:$K,'2026'!$R:$R,$E$3&amp;$C38,'2026'!$T:$T,P$6),
SUMIFS('2026'!$K:$K,'2026'!$N:$N,$E$3&amp;$C38&amp;$E$4,'2026'!$T:$T,P$6))</f>
        <v>0</v>
      </c>
      <c r="Q38" s="148">
        <f>IF((AND($E$3="MCS",$E$4="TODOS CRs")),
SUMIFS('2026'!$K:$K,'2026'!$R:$R,$E$3&amp;$C38,'2026'!$T:$T,Q$6),
SUMIFS('2026'!$K:$K,'2026'!$N:$N,$E$3&amp;$C38&amp;$E$4,'2026'!$T:$T,Q$6))</f>
        <v>0</v>
      </c>
    </row>
    <row r="39" spans="1:17" s="142" customFormat="1" x14ac:dyDescent="0.25">
      <c r="A39" s="135"/>
      <c r="B39" s="136" t="s">
        <v>786</v>
      </c>
      <c r="C39" s="136" t="s">
        <v>738</v>
      </c>
      <c r="D39" s="137" t="s">
        <v>735</v>
      </c>
      <c r="E39" s="138">
        <f t="shared" si="18"/>
        <v>0</v>
      </c>
      <c r="F39" s="152">
        <f>IF((AND($E$3="MCS",$E$4="TODOS CRs")),
SUMIFS('2026'!$K:$K,'2026'!$R:$R,$E$3&amp;$C39,'2026'!$T:$T,F$6),
SUMIFS('2026'!$K:$K,'2026'!$N:$N,$E$3&amp;$C39&amp;$E$4,'2026'!$T:$T,F$6))</f>
        <v>0</v>
      </c>
      <c r="G39" s="148">
        <f>IF((AND($E$3="MCS",$E$4="TODOS CRs")),
SUMIFS('2026'!$K:$K,'2026'!$R:$R,$E$3&amp;$C39,'2026'!$T:$T,G$6),
SUMIFS('2026'!$K:$K,'2026'!$N:$N,$E$3&amp;$C39&amp;$E$4,'2026'!$T:$T,G$6))</f>
        <v>0</v>
      </c>
      <c r="H39" s="148">
        <f>IF((AND($E$3="MCS",$E$4="TODOS CRs")),
SUMIFS('2026'!$K:$K,'2026'!$R:$R,$E$3&amp;$C39,'2026'!$T:$T,H$6),
SUMIFS('2026'!$K:$K,'2026'!$N:$N,$E$3&amp;$C39&amp;$E$4,'2026'!$T:$T,H$6))</f>
        <v>0</v>
      </c>
      <c r="I39" s="148">
        <f>IF((AND($E$3="MCS",$E$4="TODOS CRs")),
SUMIFS('2026'!$K:$K,'2026'!$R:$R,$E$3&amp;$C39,'2026'!$T:$T,I$6),
SUMIFS('2026'!$K:$K,'2026'!$N:$N,$E$3&amp;$C39&amp;$E$4,'2026'!$T:$T,I$6))</f>
        <v>0</v>
      </c>
      <c r="J39" s="148">
        <f>IF((AND($E$3="MCS",$E$4="TODOS CRs")),
SUMIFS('2026'!$K:$K,'2026'!$R:$R,$E$3&amp;$C39,'2026'!$T:$T,J$6),
SUMIFS('2026'!$K:$K,'2026'!$N:$N,$E$3&amp;$C39&amp;$E$4,'2026'!$T:$T,J$6))</f>
        <v>0</v>
      </c>
      <c r="K39" s="148">
        <f>IF((AND($E$3="MCS",$E$4="TODOS CRs")),
SUMIFS('2026'!$K:$K,'2026'!$R:$R,$E$3&amp;$C39,'2026'!$T:$T,K$6),
SUMIFS('2026'!$K:$K,'2026'!$N:$N,$E$3&amp;$C39&amp;$E$4,'2026'!$T:$T,K$6))</f>
        <v>0</v>
      </c>
      <c r="L39" s="148">
        <f>IF((AND($E$3="MCS",$E$4="TODOS CRs")),
SUMIFS('2026'!$K:$K,'2026'!$R:$R,$E$3&amp;$C39,'2026'!$T:$T,L$6),
SUMIFS('2026'!$K:$K,'2026'!$N:$N,$E$3&amp;$C39&amp;$E$4,'2026'!$T:$T,L$6))</f>
        <v>0</v>
      </c>
      <c r="M39" s="148">
        <f>IF((AND($E$3="MCS",$E$4="TODOS CRs")),
SUMIFS('2026'!$K:$K,'2026'!$R:$R,$E$3&amp;$C39,'2026'!$T:$T,M$6),
SUMIFS('2026'!$K:$K,'2026'!$N:$N,$E$3&amp;$C39&amp;$E$4,'2026'!$T:$T,M$6))</f>
        <v>0</v>
      </c>
      <c r="N39" s="148">
        <f>IF((AND($E$3="MCS",$E$4="TODOS CRs")),
SUMIFS('2026'!$K:$K,'2026'!$R:$R,$E$3&amp;$C39,'2026'!$T:$T,N$6),
SUMIFS('2026'!$K:$K,'2026'!$N:$N,$E$3&amp;$C39&amp;$E$4,'2026'!$T:$T,N$6))</f>
        <v>0</v>
      </c>
      <c r="O39" s="148">
        <f>IF((AND($E$3="MCS",$E$4="TODOS CRs")),
SUMIFS('2026'!$K:$K,'2026'!$R:$R,$E$3&amp;$C39,'2026'!$T:$T,O$6),
SUMIFS('2026'!$K:$K,'2026'!$N:$N,$E$3&amp;$C39&amp;$E$4,'2026'!$T:$T,O$6))</f>
        <v>0</v>
      </c>
      <c r="P39" s="148">
        <f>IF((AND($E$3="MCS",$E$4="TODOS CRs")),
SUMIFS('2026'!$K:$K,'2026'!$R:$R,$E$3&amp;$C39,'2026'!$T:$T,P$6),
SUMIFS('2026'!$K:$K,'2026'!$N:$N,$E$3&amp;$C39&amp;$E$4,'2026'!$T:$T,P$6))</f>
        <v>0</v>
      </c>
      <c r="Q39" s="148">
        <f>IF((AND($E$3="MCS",$E$4="TODOS CRs")),
SUMIFS('2026'!$K:$K,'2026'!$R:$R,$E$3&amp;$C39,'2026'!$T:$T,Q$6),
SUMIFS('2026'!$K:$K,'2026'!$N:$N,$E$3&amp;$C39&amp;$E$4,'2026'!$T:$T,Q$6))</f>
        <v>0</v>
      </c>
    </row>
    <row r="40" spans="1:17" s="120" customFormat="1" ht="18.75" x14ac:dyDescent="0.3">
      <c r="A40" s="117"/>
      <c r="B40" s="134" t="s">
        <v>31</v>
      </c>
      <c r="C40" s="134" t="s">
        <v>31</v>
      </c>
      <c r="D40" s="118" t="s">
        <v>6</v>
      </c>
      <c r="E40" s="119">
        <f t="shared" ref="E40" si="19">SUBTOTAL(9,E17:E39)</f>
        <v>-33348.579999999994</v>
      </c>
      <c r="F40" s="153">
        <f t="shared" ref="F40" si="20">SUBTOTAL(9,F17:F39)</f>
        <v>-5100.28</v>
      </c>
      <c r="G40" s="125">
        <f t="shared" ref="G40" si="21">SUBTOTAL(9,G17:G39)</f>
        <v>-5411.31</v>
      </c>
      <c r="H40" s="125">
        <f t="shared" ref="H40" si="22">SUBTOTAL(9,H17:H39)</f>
        <v>-4888.92</v>
      </c>
      <c r="I40" s="125">
        <f t="shared" ref="I40" si="23">SUBTOTAL(9,I17:I39)</f>
        <v>-7250.92</v>
      </c>
      <c r="J40" s="125">
        <f t="shared" ref="J40" si="24">SUBTOTAL(9,J17:J39)</f>
        <v>-5999.93</v>
      </c>
      <c r="K40" s="125">
        <f t="shared" ref="K40" si="25">SUBTOTAL(9,K17:K39)</f>
        <v>-4697.22</v>
      </c>
      <c r="L40" s="125">
        <f t="shared" ref="L40" si="26">SUBTOTAL(9,L17:L39)</f>
        <v>0</v>
      </c>
      <c r="M40" s="125">
        <f t="shared" ref="M40" si="27">SUBTOTAL(9,M17:M39)</f>
        <v>0</v>
      </c>
      <c r="N40" s="125">
        <f t="shared" ref="N40" si="28">SUBTOTAL(9,N17:N39)</f>
        <v>0</v>
      </c>
      <c r="O40" s="125">
        <f t="shared" ref="O40" si="29">SUBTOTAL(9,O17:O39)</f>
        <v>0</v>
      </c>
      <c r="P40" s="125">
        <f t="shared" ref="P40" si="30">SUBTOTAL(9,P17:P39)</f>
        <v>0</v>
      </c>
      <c r="Q40" s="125">
        <f t="shared" ref="Q40" si="31">SUBTOTAL(9,Q17:Q39)</f>
        <v>0</v>
      </c>
    </row>
    <row r="41" spans="1:17" x14ac:dyDescent="0.25">
      <c r="A41" s="4"/>
      <c r="B41" s="4"/>
      <c r="C41" s="4"/>
    </row>
    <row r="42" spans="1:17" x14ac:dyDescent="0.25">
      <c r="A42" s="4"/>
      <c r="B42" s="4"/>
      <c r="C42" s="4"/>
      <c r="D42" s="218" t="s">
        <v>2</v>
      </c>
      <c r="E42" s="99" t="s">
        <v>5</v>
      </c>
      <c r="F42" s="261">
        <f t="shared" ref="F42:Q42" si="32">F6</f>
        <v>46023</v>
      </c>
      <c r="G42" s="260">
        <f t="shared" si="32"/>
        <v>46054</v>
      </c>
      <c r="H42" s="260">
        <f t="shared" si="32"/>
        <v>46082</v>
      </c>
      <c r="I42" s="260">
        <f t="shared" si="32"/>
        <v>46113</v>
      </c>
      <c r="J42" s="260">
        <f t="shared" si="32"/>
        <v>46143</v>
      </c>
      <c r="K42" s="260">
        <f t="shared" si="32"/>
        <v>46174</v>
      </c>
      <c r="L42" s="260">
        <f t="shared" si="32"/>
        <v>46204</v>
      </c>
      <c r="M42" s="260">
        <f t="shared" si="32"/>
        <v>46235</v>
      </c>
      <c r="N42" s="260">
        <f t="shared" si="32"/>
        <v>46266</v>
      </c>
      <c r="O42" s="260">
        <f t="shared" si="32"/>
        <v>46296</v>
      </c>
      <c r="P42" s="260">
        <f t="shared" si="32"/>
        <v>46327</v>
      </c>
      <c r="Q42" s="260">
        <f t="shared" si="32"/>
        <v>46357</v>
      </c>
    </row>
    <row r="43" spans="1:17" x14ac:dyDescent="0.25">
      <c r="A43" s="4"/>
      <c r="B43" s="4"/>
      <c r="C43" s="4"/>
      <c r="D43" s="104" t="s">
        <v>766</v>
      </c>
      <c r="E43" s="105">
        <v>0</v>
      </c>
      <c r="F43" s="220">
        <v>352.96</v>
      </c>
      <c r="G43" s="106">
        <f t="shared" ref="G43:Q43" si="33">IF(AND(G44=0,G45=0),0,F46)</f>
        <v>152.68000000000029</v>
      </c>
      <c r="H43" s="106">
        <f t="shared" si="33"/>
        <v>258.98999999999978</v>
      </c>
      <c r="I43" s="106">
        <f t="shared" si="33"/>
        <v>466.06999999999971</v>
      </c>
      <c r="J43" s="106">
        <f t="shared" si="33"/>
        <v>240.14999999999964</v>
      </c>
      <c r="K43" s="106">
        <f t="shared" si="33"/>
        <v>900.20999999999913</v>
      </c>
      <c r="L43" s="106">
        <f t="shared" si="33"/>
        <v>0</v>
      </c>
      <c r="M43" s="106">
        <f t="shared" si="33"/>
        <v>0</v>
      </c>
      <c r="N43" s="106">
        <f t="shared" si="33"/>
        <v>0</v>
      </c>
      <c r="O43" s="106">
        <f t="shared" si="33"/>
        <v>0</v>
      </c>
      <c r="P43" s="106">
        <f t="shared" si="33"/>
        <v>0</v>
      </c>
      <c r="Q43" s="106">
        <f t="shared" si="33"/>
        <v>0</v>
      </c>
    </row>
    <row r="44" spans="1:17" x14ac:dyDescent="0.25">
      <c r="A44" s="4"/>
      <c r="B44" s="4"/>
      <c r="C44" s="4"/>
      <c r="D44" s="131" t="s">
        <v>3</v>
      </c>
      <c r="E44" s="132">
        <f>SUM(F44:Q44)</f>
        <v>33591.75</v>
      </c>
      <c r="F44" s="219">
        <f t="shared" ref="F44:Q44" si="34">F14</f>
        <v>4900</v>
      </c>
      <c r="G44" s="133">
        <f t="shared" si="34"/>
        <v>5517.62</v>
      </c>
      <c r="H44" s="133">
        <f t="shared" si="34"/>
        <v>5096</v>
      </c>
      <c r="I44" s="133">
        <f t="shared" si="34"/>
        <v>7025</v>
      </c>
      <c r="J44" s="133">
        <f t="shared" si="34"/>
        <v>6659.99</v>
      </c>
      <c r="K44" s="133">
        <f t="shared" si="34"/>
        <v>4393.1400000000003</v>
      </c>
      <c r="L44" s="133">
        <f t="shared" si="34"/>
        <v>0</v>
      </c>
      <c r="M44" s="133">
        <f t="shared" si="34"/>
        <v>0</v>
      </c>
      <c r="N44" s="133">
        <f t="shared" si="34"/>
        <v>0</v>
      </c>
      <c r="O44" s="133">
        <f t="shared" si="34"/>
        <v>0</v>
      </c>
      <c r="P44" s="133">
        <f t="shared" si="34"/>
        <v>0</v>
      </c>
      <c r="Q44" s="133">
        <f t="shared" si="34"/>
        <v>0</v>
      </c>
    </row>
    <row r="45" spans="1:17" x14ac:dyDescent="0.25">
      <c r="A45" s="4"/>
      <c r="B45" s="4"/>
      <c r="C45" s="4"/>
      <c r="D45" s="107" t="s">
        <v>4</v>
      </c>
      <c r="E45" s="108">
        <f>SUM(F45:Q45)</f>
        <v>-33348.58</v>
      </c>
      <c r="F45" s="154">
        <f t="shared" ref="F45:Q45" si="35">F40</f>
        <v>-5100.28</v>
      </c>
      <c r="G45" s="109">
        <f t="shared" si="35"/>
        <v>-5411.31</v>
      </c>
      <c r="H45" s="109">
        <f t="shared" si="35"/>
        <v>-4888.92</v>
      </c>
      <c r="I45" s="109">
        <f t="shared" si="35"/>
        <v>-7250.92</v>
      </c>
      <c r="J45" s="109">
        <f t="shared" si="35"/>
        <v>-5999.93</v>
      </c>
      <c r="K45" s="109">
        <f t="shared" si="35"/>
        <v>-4697.22</v>
      </c>
      <c r="L45" s="109">
        <f t="shared" si="35"/>
        <v>0</v>
      </c>
      <c r="M45" s="109">
        <f t="shared" si="35"/>
        <v>0</v>
      </c>
      <c r="N45" s="109">
        <f t="shared" si="35"/>
        <v>0</v>
      </c>
      <c r="O45" s="109">
        <f t="shared" si="35"/>
        <v>0</v>
      </c>
      <c r="P45" s="109">
        <f t="shared" si="35"/>
        <v>0</v>
      </c>
      <c r="Q45" s="109">
        <f t="shared" si="35"/>
        <v>0</v>
      </c>
    </row>
    <row r="46" spans="1:17" x14ac:dyDescent="0.25">
      <c r="A46" s="4"/>
      <c r="B46" s="4"/>
      <c r="C46" s="4"/>
      <c r="D46" s="110" t="s">
        <v>765</v>
      </c>
      <c r="E46" s="111">
        <f>E44+E45</f>
        <v>243.16999999999825</v>
      </c>
      <c r="F46" s="157">
        <f t="shared" ref="F46:Q46" si="36">F43+F44+F45</f>
        <v>152.68000000000029</v>
      </c>
      <c r="G46" s="113">
        <f t="shared" si="36"/>
        <v>258.98999999999978</v>
      </c>
      <c r="H46" s="113">
        <f t="shared" si="36"/>
        <v>466.06999999999971</v>
      </c>
      <c r="I46" s="113">
        <f t="shared" si="36"/>
        <v>240.14999999999964</v>
      </c>
      <c r="J46" s="113">
        <f t="shared" si="36"/>
        <v>900.20999999999913</v>
      </c>
      <c r="K46" s="113">
        <f t="shared" si="36"/>
        <v>596.1299999999992</v>
      </c>
      <c r="L46" s="113">
        <f t="shared" si="36"/>
        <v>0</v>
      </c>
      <c r="M46" s="113">
        <f t="shared" si="36"/>
        <v>0</v>
      </c>
      <c r="N46" s="113">
        <f t="shared" si="36"/>
        <v>0</v>
      </c>
      <c r="O46" s="113">
        <f t="shared" si="36"/>
        <v>0</v>
      </c>
      <c r="P46" s="113">
        <f t="shared" si="36"/>
        <v>0</v>
      </c>
      <c r="Q46" s="113">
        <f t="shared" si="36"/>
        <v>0</v>
      </c>
    </row>
    <row r="47" spans="1:17" x14ac:dyDescent="0.25">
      <c r="A47" s="4"/>
      <c r="B47" s="4"/>
      <c r="C47" s="4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s="114" customFormat="1" ht="18.75" x14ac:dyDescent="0.3">
      <c r="D48" s="115"/>
      <c r="E48" s="115" t="s">
        <v>767</v>
      </c>
      <c r="F48" s="156">
        <f>IFERROR(ABS(SUM(F31:F39))/F10,0)</f>
        <v>0.42936938775510203</v>
      </c>
      <c r="G48" s="155">
        <f t="shared" ref="G48:Q48" si="37">IFERROR(ABS(SUM(G31:G39))/G10,0)</f>
        <v>0.38584545454545449</v>
      </c>
      <c r="H48" s="116">
        <f t="shared" si="37"/>
        <v>0.46985912698412702</v>
      </c>
      <c r="I48" s="116">
        <f t="shared" si="37"/>
        <v>0.32341571428571425</v>
      </c>
      <c r="J48" s="116">
        <f t="shared" si="37"/>
        <v>0.25396666666666667</v>
      </c>
      <c r="K48" s="116">
        <f t="shared" si="37"/>
        <v>0.31900000000000001</v>
      </c>
      <c r="L48" s="116">
        <f t="shared" si="37"/>
        <v>0</v>
      </c>
      <c r="M48" s="116">
        <f t="shared" si="37"/>
        <v>0</v>
      </c>
      <c r="N48" s="116">
        <f t="shared" si="37"/>
        <v>0</v>
      </c>
      <c r="O48" s="116">
        <f t="shared" si="37"/>
        <v>0</v>
      </c>
      <c r="P48" s="116">
        <f t="shared" si="37"/>
        <v>0</v>
      </c>
      <c r="Q48" s="116">
        <f t="shared" si="37"/>
        <v>0</v>
      </c>
    </row>
  </sheetData>
  <autoFilter ref="A16:R39" xr:uid="{00000000-0001-0000-0100-000000000000}"/>
  <sortState xmlns:xlrd2="http://schemas.microsoft.com/office/spreadsheetml/2017/richdata2" ref="T5:V12">
    <sortCondition descending="1" ref="V5:V12"/>
  </sortState>
  <mergeCells count="1">
    <mergeCell ref="E4:H4"/>
  </mergeCells>
  <conditionalFormatting sqref="E46:Q47"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F48:Q48">
    <cfRule type="cellIs" dxfId="5" priority="5" operator="greaterThan">
      <formula>0.4</formula>
    </cfRule>
  </conditionalFormatting>
  <dataValidations disablePrompts="1" count="1">
    <dataValidation type="list" allowBlank="1" showInputMessage="1" showErrorMessage="1" sqref="E4" xr:uid="{2A2A3E58-3456-40C2-85C9-7798732F32F4}">
      <formula1>Lista_CRs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9459E02-E2F6-4DCE-B807-33E4BA646F6A}">
          <x14:formula1>
            <xm:f>Cad_Natureza!$E$4:$E$6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3DB8-D2A2-474D-8D68-031267897CD2}">
  <sheetPr codeName="Planilha10">
    <tabColor theme="1"/>
  </sheetPr>
  <dimension ref="A1:W48"/>
  <sheetViews>
    <sheetView showGridLines="0" zoomScale="80" zoomScaleNormal="80" workbookViewId="0">
      <pane ySplit="16" topLeftCell="A23" activePane="bottomLeft" state="frozen"/>
      <selection pane="bottomLeft" activeCell="J44" sqref="J44"/>
    </sheetView>
  </sheetViews>
  <sheetFormatPr defaultColWidth="9.140625" defaultRowHeight="15" x14ac:dyDescent="0.25"/>
  <cols>
    <col min="1" max="1" width="2.7109375" style="1" customWidth="1"/>
    <col min="2" max="2" width="9.85546875" style="1" bestFit="1" customWidth="1"/>
    <col min="3" max="3" width="11.42578125" style="1" customWidth="1"/>
    <col min="4" max="4" width="41.42578125" style="1" customWidth="1"/>
    <col min="5" max="5" width="19.85546875" style="2" customWidth="1"/>
    <col min="6" max="16" width="12.28515625" style="1" customWidth="1"/>
    <col min="17" max="17" width="11.5703125" style="1" customWidth="1"/>
    <col min="18" max="18" width="9.140625" style="1"/>
    <col min="19" max="19" width="6.5703125" style="1" customWidth="1"/>
    <col min="20" max="20" width="12.85546875" style="1" customWidth="1"/>
    <col min="21" max="21" width="14.7109375" style="1" customWidth="1"/>
    <col min="22" max="22" width="11" style="1" customWidth="1"/>
    <col min="23" max="23" width="12" style="1" bestFit="1" customWidth="1"/>
    <col min="24" max="16384" width="9.140625" style="1"/>
  </cols>
  <sheetData>
    <row r="1" spans="1:23" ht="12.75" customHeight="1" x14ac:dyDescent="0.25">
      <c r="A1"/>
      <c r="D1" s="29"/>
      <c r="E1" s="28"/>
    </row>
    <row r="2" spans="1:23" ht="18.75" x14ac:dyDescent="0.3">
      <c r="A2" s="6" t="s">
        <v>25</v>
      </c>
      <c r="B2" s="9" t="s">
        <v>26</v>
      </c>
      <c r="C2" s="9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23" ht="16.5" customHeight="1" x14ac:dyDescent="0.3">
      <c r="A3" s="6" t="s">
        <v>25</v>
      </c>
      <c r="B3" s="6"/>
      <c r="C3" s="6"/>
      <c r="D3" s="10" t="s">
        <v>800</v>
      </c>
      <c r="E3" s="30" t="s">
        <v>25</v>
      </c>
      <c r="F3"/>
      <c r="G3"/>
      <c r="H3"/>
      <c r="I3"/>
      <c r="J3"/>
      <c r="K3"/>
      <c r="L3"/>
      <c r="M3"/>
      <c r="N3"/>
      <c r="O3"/>
      <c r="P3"/>
      <c r="Q3"/>
      <c r="T3" s="47" t="s">
        <v>801</v>
      </c>
    </row>
    <row r="4" spans="1:23" ht="16.5" customHeight="1" x14ac:dyDescent="0.3">
      <c r="A4" s="6" t="s">
        <v>25</v>
      </c>
      <c r="B4" s="6"/>
      <c r="C4" s="6"/>
      <c r="D4" s="10" t="s">
        <v>23</v>
      </c>
      <c r="E4" s="263" t="s">
        <v>28</v>
      </c>
      <c r="F4"/>
      <c r="G4"/>
      <c r="H4"/>
      <c r="I4" s="26"/>
      <c r="J4"/>
      <c r="K4"/>
      <c r="L4"/>
      <c r="M4"/>
      <c r="N4"/>
      <c r="O4"/>
      <c r="P4"/>
      <c r="Q4"/>
      <c r="T4" s="221" t="s">
        <v>788</v>
      </c>
      <c r="U4" s="221" t="s">
        <v>777</v>
      </c>
      <c r="V4" s="221" t="s">
        <v>802</v>
      </c>
    </row>
    <row r="5" spans="1:23" x14ac:dyDescent="0.25">
      <c r="A5" s="6" t="s">
        <v>21</v>
      </c>
      <c r="B5" s="6"/>
      <c r="C5" s="6"/>
      <c r="D5"/>
      <c r="E5"/>
      <c r="F5" s="12"/>
      <c r="G5"/>
      <c r="H5"/>
      <c r="I5"/>
      <c r="J5"/>
      <c r="K5"/>
      <c r="L5"/>
      <c r="M5"/>
      <c r="N5"/>
      <c r="O5"/>
      <c r="P5"/>
      <c r="Q5"/>
      <c r="T5" s="222" t="s">
        <v>779</v>
      </c>
      <c r="U5" s="223">
        <f>SUMIFS($E$6:$E$40,$B$6:$B$40,T5)</f>
        <v>0</v>
      </c>
      <c r="V5" s="229">
        <f>IFERROR(ABS(U5/$U$5),0)</f>
        <v>0</v>
      </c>
    </row>
    <row r="6" spans="1:23" ht="15" customHeight="1" x14ac:dyDescent="0.25">
      <c r="A6" s="6" t="s">
        <v>22</v>
      </c>
      <c r="B6" s="102" t="s">
        <v>787</v>
      </c>
      <c r="C6" s="102" t="s">
        <v>32</v>
      </c>
      <c r="D6" s="103" t="s">
        <v>0</v>
      </c>
      <c r="E6" s="99" t="s">
        <v>5</v>
      </c>
      <c r="F6" s="258">
        <v>46023</v>
      </c>
      <c r="G6" s="217">
        <v>46054</v>
      </c>
      <c r="H6" s="217">
        <v>46082</v>
      </c>
      <c r="I6" s="217">
        <v>46113</v>
      </c>
      <c r="J6" s="217">
        <v>46143</v>
      </c>
      <c r="K6" s="217">
        <v>46174</v>
      </c>
      <c r="L6" s="217">
        <v>46204</v>
      </c>
      <c r="M6" s="217">
        <v>46235</v>
      </c>
      <c r="N6" s="217">
        <v>46266</v>
      </c>
      <c r="O6" s="217">
        <v>46296</v>
      </c>
      <c r="P6" s="217">
        <v>46327</v>
      </c>
      <c r="Q6" s="217">
        <v>46357</v>
      </c>
      <c r="T6" s="224" t="s">
        <v>786</v>
      </c>
      <c r="U6" s="225">
        <f t="shared" ref="U6:U13" si="0">SUMIFS($E$6:$E$40,$B$6:$B$40,T6)</f>
        <v>0</v>
      </c>
      <c r="V6" s="226">
        <f t="shared" ref="V6:V13" si="1">IFERROR(ABS(U6/$U$5),0)</f>
        <v>0</v>
      </c>
    </row>
    <row r="7" spans="1:23" s="56" customFormat="1" ht="15" customHeight="1" x14ac:dyDescent="0.25">
      <c r="B7" s="173" t="s">
        <v>779</v>
      </c>
      <c r="C7" s="173" t="s">
        <v>12</v>
      </c>
      <c r="D7" s="174" t="s">
        <v>745</v>
      </c>
      <c r="E7" s="175">
        <f t="shared" ref="E7:E13" si="2">SUM(F7:Q7)</f>
        <v>0</v>
      </c>
      <c r="F7" s="244">
        <f>IF((AND($E$3="MCS",$E$4="TODOS CRs")),
SUMIFS('2026'!$K:$K,'2026'!$R:$R,$E$3&amp;$C7,'2026'!$U:$U,F$6),
SUMIFS('2026'!$K:$K,'2026'!$N:$N,$E$3&amp;$C7&amp;$E$4,'2026'!$U:$U,F$6))</f>
        <v>0</v>
      </c>
      <c r="G7" s="176">
        <f>IF((AND($E$3="MCS",$E$4="TODOS CRs")),
SUMIFS('2026'!$K:$K,'2026'!$R:$R,$E$3&amp;$C7,'2026'!$U:$U,G$6),
SUMIFS('2026'!$K:$K,'2026'!$N:$N,$E$3&amp;$C7&amp;$E$4,'2026'!$U:$U,G$6))</f>
        <v>0</v>
      </c>
      <c r="H7" s="176">
        <f>IF((AND($E$3="MCS",$E$4="TODOS CRs")),
SUMIFS('2026'!$K:$K,'2026'!$R:$R,$E$3&amp;$C7,'2026'!$U:$U,H$6),
SUMIFS('2026'!$K:$K,'2026'!$N:$N,$E$3&amp;$C7&amp;$E$4,'2026'!$U:$U,H$6))</f>
        <v>0</v>
      </c>
      <c r="I7" s="176">
        <f>IF((AND($E$3="MCS",$E$4="TODOS CRs")),
SUMIFS('2026'!$K:$K,'2026'!$R:$R,$E$3&amp;$C7,'2026'!$U:$U,I$6),
SUMIFS('2026'!$K:$K,'2026'!$N:$N,$E$3&amp;$C7&amp;$E$4,'2026'!$U:$U,I$6))</f>
        <v>0</v>
      </c>
      <c r="J7" s="176">
        <f>IF((AND($E$3="MCS",$E$4="TODOS CRs")),
SUMIFS('2026'!$K:$K,'2026'!$R:$R,$E$3&amp;$C7,'2026'!$U:$U,J$6),
SUMIFS('2026'!$K:$K,'2026'!$N:$N,$E$3&amp;$C7&amp;$E$4,'2026'!$U:$U,J$6))</f>
        <v>0</v>
      </c>
      <c r="K7" s="176">
        <f>IF((AND($E$3="MCS",$E$4="TODOS CRs")),
SUMIFS('2026'!$K:$K,'2026'!$R:$R,$E$3&amp;$C7,'2026'!$U:$U,K$6),
SUMIFS('2026'!$K:$K,'2026'!$N:$N,$E$3&amp;$C7&amp;$E$4,'2026'!$U:$U,K$6))</f>
        <v>0</v>
      </c>
      <c r="L7" s="176">
        <f>IF((AND($E$3="MCS",$E$4="TODOS CRs")),
SUMIFS('2026'!$K:$K,'2026'!$R:$R,$E$3&amp;$C7,'2026'!$U:$U,L$6),
SUMIFS('2026'!$K:$K,'2026'!$N:$N,$E$3&amp;$C7&amp;$E$4,'2026'!$U:$U,L$6))</f>
        <v>0</v>
      </c>
      <c r="M7" s="176">
        <f>IF((AND($E$3="MCS",$E$4="TODOS CRs")),
SUMIFS('2026'!$K:$K,'2026'!$R:$R,$E$3&amp;$C7,'2026'!$U:$U,M$6),
SUMIFS('2026'!$K:$K,'2026'!$N:$N,$E$3&amp;$C7&amp;$E$4,'2026'!$U:$U,M$6))</f>
        <v>0</v>
      </c>
      <c r="N7" s="176">
        <f>IF((AND($E$3="MCS",$E$4="TODOS CRs")),
SUMIFS('2026'!$K:$K,'2026'!$R:$R,$E$3&amp;$C7,'2026'!$U:$U,N$6),
SUMIFS('2026'!$K:$K,'2026'!$N:$N,$E$3&amp;$C7&amp;$E$4,'2026'!$U:$U,N$6))</f>
        <v>0</v>
      </c>
      <c r="O7" s="176">
        <f>IF((AND($E$3="MCS",$E$4="TODOS CRs")),
SUMIFS('2026'!$K:$K,'2026'!$R:$R,$E$3&amp;$C7,'2026'!$U:$U,O$6),
SUMIFS('2026'!$K:$K,'2026'!$N:$N,$E$3&amp;$C7&amp;$E$4,'2026'!$U:$U,O$6))</f>
        <v>0</v>
      </c>
      <c r="P7" s="176">
        <f>IF((AND($E$3="MCS",$E$4="TODOS CRs")),
SUMIFS('2026'!$K:$K,'2026'!$R:$R,$E$3&amp;$C7,'2026'!$U:$U,P$6),
SUMIFS('2026'!$K:$K,'2026'!$N:$N,$E$3&amp;$C7&amp;$E$4,'2026'!$U:$U,P$6))</f>
        <v>0</v>
      </c>
      <c r="Q7" s="176">
        <f>IF((AND($E$3="MCS",$E$4="TODOS CRs")),
SUMIFS('2026'!$K:$K,'2026'!$R:$R,$E$3&amp;$C7,'2026'!$U:$U,Q$6),
SUMIFS('2026'!$K:$K,'2026'!$N:$N,$E$3&amp;$C7&amp;$E$4,'2026'!$U:$U,Q$6))</f>
        <v>0</v>
      </c>
      <c r="T7" s="199" t="s">
        <v>781</v>
      </c>
      <c r="U7" s="203">
        <f t="shared" si="0"/>
        <v>0</v>
      </c>
      <c r="V7" s="201">
        <f t="shared" si="1"/>
        <v>0</v>
      </c>
      <c r="W7" s="1"/>
    </row>
    <row r="8" spans="1:23" ht="15" customHeight="1" x14ac:dyDescent="0.25">
      <c r="B8" s="129" t="s">
        <v>779</v>
      </c>
      <c r="C8" s="129" t="s">
        <v>13</v>
      </c>
      <c r="D8" s="128" t="s">
        <v>775</v>
      </c>
      <c r="E8" s="100">
        <f t="shared" si="2"/>
        <v>0</v>
      </c>
      <c r="F8" s="245">
        <f>IF((AND($E$3="MCS",$E$4="TODOS CRs")),
SUMIFS('2026'!$K:$K,'2026'!$R:$R,$E$3&amp;$C8,'2026'!$U:$U,F$6),
SUMIFS('2026'!$K:$K,'2026'!$N:$N,$E$3&amp;$C8&amp;$E$4,'2026'!$U:$U,F$6))</f>
        <v>0</v>
      </c>
      <c r="G8" s="130">
        <f>IF((AND($E$3="MCS",$E$4="TODOS CRs")),
SUMIFS('2026'!$K:$K,'2026'!$R:$R,$E$3&amp;$C8,'2026'!$U:$U,G$6),
SUMIFS('2026'!$K:$K,'2026'!$N:$N,$E$3&amp;$C8&amp;$E$4,'2026'!$U:$U,G$6))</f>
        <v>0</v>
      </c>
      <c r="H8" s="130">
        <f>IF((AND($E$3="MCS",$E$4="TODOS CRs")),
SUMIFS('2026'!$K:$K,'2026'!$R:$R,$E$3&amp;$C8,'2026'!$U:$U,H$6),
SUMIFS('2026'!$K:$K,'2026'!$N:$N,$E$3&amp;$C8&amp;$E$4,'2026'!$U:$U,H$6))</f>
        <v>0</v>
      </c>
      <c r="I8" s="130">
        <f>IF((AND($E$3="MCS",$E$4="TODOS CRs")),
SUMIFS('2026'!$K:$K,'2026'!$R:$R,$E$3&amp;$C8,'2026'!$U:$U,I$6),
SUMIFS('2026'!$K:$K,'2026'!$N:$N,$E$3&amp;$C8&amp;$E$4,'2026'!$U:$U,I$6))</f>
        <v>0</v>
      </c>
      <c r="J8" s="130">
        <f>IF((AND($E$3="MCS",$E$4="TODOS CRs")),
SUMIFS('2026'!$K:$K,'2026'!$R:$R,$E$3&amp;$C8,'2026'!$U:$U,J$6),
SUMIFS('2026'!$K:$K,'2026'!$N:$N,$E$3&amp;$C8&amp;$E$4,'2026'!$U:$U,J$6))</f>
        <v>0</v>
      </c>
      <c r="K8" s="130">
        <f>IF((AND($E$3="MCS",$E$4="TODOS CRs")),
SUMIFS('2026'!$K:$K,'2026'!$R:$R,$E$3&amp;$C8,'2026'!$U:$U,K$6),
SUMIFS('2026'!$K:$K,'2026'!$N:$N,$E$3&amp;$C8&amp;$E$4,'2026'!$U:$U,K$6))</f>
        <v>0</v>
      </c>
      <c r="L8" s="130">
        <f>IF((AND($E$3="MCS",$E$4="TODOS CRs")),
SUMIFS('2026'!$K:$K,'2026'!$R:$R,$E$3&amp;$C8,'2026'!$U:$U,L$6),
SUMIFS('2026'!$K:$K,'2026'!$N:$N,$E$3&amp;$C8&amp;$E$4,'2026'!$U:$U,L$6))</f>
        <v>0</v>
      </c>
      <c r="M8" s="130">
        <f>IF((AND($E$3="MCS",$E$4="TODOS CRs")),
SUMIFS('2026'!$K:$K,'2026'!$R:$R,$E$3&amp;$C8,'2026'!$U:$U,M$6),
SUMIFS('2026'!$K:$K,'2026'!$N:$N,$E$3&amp;$C8&amp;$E$4,'2026'!$U:$U,M$6))</f>
        <v>0</v>
      </c>
      <c r="N8" s="130">
        <f>IF((AND($E$3="MCS",$E$4="TODOS CRs")),
SUMIFS('2026'!$K:$K,'2026'!$R:$R,$E$3&amp;$C8,'2026'!$U:$U,N$6),
SUMIFS('2026'!$K:$K,'2026'!$N:$N,$E$3&amp;$C8&amp;$E$4,'2026'!$U:$U,N$6))</f>
        <v>0</v>
      </c>
      <c r="O8" s="130">
        <f>IF((AND($E$3="MCS",$E$4="TODOS CRs")),
SUMIFS('2026'!$K:$K,'2026'!$R:$R,$E$3&amp;$C8,'2026'!$U:$U,O$6),
SUMIFS('2026'!$K:$K,'2026'!$N:$N,$E$3&amp;$C8&amp;$E$4,'2026'!$U:$U,O$6))</f>
        <v>0</v>
      </c>
      <c r="P8" s="130">
        <f>IF((AND($E$3="MCS",$E$4="TODOS CRs")),
SUMIFS('2026'!$K:$K,'2026'!$R:$R,$E$3&amp;$C8,'2026'!$U:$U,P$6),
SUMIFS('2026'!$K:$K,'2026'!$N:$N,$E$3&amp;$C8&amp;$E$4,'2026'!$U:$U,P$6))</f>
        <v>0</v>
      </c>
      <c r="Q8" s="130">
        <f>IF((AND($E$3="MCS",$E$4="TODOS CRs")),
SUMIFS('2026'!$K:$K,'2026'!$R:$R,$E$3&amp;$C8,'2026'!$U:$U,Q$6),
SUMIFS('2026'!$K:$K,'2026'!$N:$N,$E$3&amp;$C8&amp;$E$4,'2026'!$U:$U,Q$6))</f>
        <v>0</v>
      </c>
      <c r="T8" s="199" t="s">
        <v>780</v>
      </c>
      <c r="U8" s="203">
        <f t="shared" si="0"/>
        <v>0</v>
      </c>
      <c r="V8" s="201">
        <f t="shared" si="1"/>
        <v>0</v>
      </c>
    </row>
    <row r="9" spans="1:23" ht="15" customHeight="1" x14ac:dyDescent="0.25">
      <c r="B9" s="129" t="s">
        <v>779</v>
      </c>
      <c r="C9" s="129" t="s">
        <v>14</v>
      </c>
      <c r="D9" s="128" t="s">
        <v>776</v>
      </c>
      <c r="E9" s="100">
        <f t="shared" si="2"/>
        <v>0</v>
      </c>
      <c r="F9" s="245">
        <f>IF((AND($E$3="MCS",$E$4="TODOS CRs")),
SUMIFS('2026'!$K:$K,'2026'!$R:$R,$E$3&amp;$C9,'2026'!$U:$U,F$6),
SUMIFS('2026'!$K:$K,'2026'!$N:$N,$E$3&amp;$C9&amp;$E$4,'2026'!$U:$U,F$6))</f>
        <v>0</v>
      </c>
      <c r="G9" s="130">
        <f>IF((AND($E$3="MCS",$E$4="TODOS CRs")),
SUMIFS('2026'!$K:$K,'2026'!$R:$R,$E$3&amp;$C9,'2026'!$U:$U,G$6),
SUMIFS('2026'!$K:$K,'2026'!$N:$N,$E$3&amp;$C9&amp;$E$4,'2026'!$U:$U,G$6))</f>
        <v>0</v>
      </c>
      <c r="H9" s="130">
        <f>IF((AND($E$3="MCS",$E$4="TODOS CRs")),
SUMIFS('2026'!$K:$K,'2026'!$R:$R,$E$3&amp;$C9,'2026'!$U:$U,H$6),
SUMIFS('2026'!$K:$K,'2026'!$N:$N,$E$3&amp;$C9&amp;$E$4,'2026'!$U:$U,H$6))</f>
        <v>0</v>
      </c>
      <c r="I9" s="130">
        <f>IF((AND($E$3="MCS",$E$4="TODOS CRs")),
SUMIFS('2026'!$K:$K,'2026'!$R:$R,$E$3&amp;$C9,'2026'!$U:$U,I$6),
SUMIFS('2026'!$K:$K,'2026'!$N:$N,$E$3&amp;$C9&amp;$E$4,'2026'!$U:$U,I$6))</f>
        <v>0</v>
      </c>
      <c r="J9" s="130">
        <f>IF((AND($E$3="MCS",$E$4="TODOS CRs")),
SUMIFS('2026'!$K:$K,'2026'!$R:$R,$E$3&amp;$C9,'2026'!$U:$U,J$6),
SUMIFS('2026'!$K:$K,'2026'!$N:$N,$E$3&amp;$C9&amp;$E$4,'2026'!$U:$U,J$6))</f>
        <v>0</v>
      </c>
      <c r="K9" s="130">
        <f>IF((AND($E$3="MCS",$E$4="TODOS CRs")),
SUMIFS('2026'!$K:$K,'2026'!$R:$R,$E$3&amp;$C9,'2026'!$U:$U,K$6),
SUMIFS('2026'!$K:$K,'2026'!$N:$N,$E$3&amp;$C9&amp;$E$4,'2026'!$U:$U,K$6))</f>
        <v>0</v>
      </c>
      <c r="L9" s="130">
        <f>IF((AND($E$3="MCS",$E$4="TODOS CRs")),
SUMIFS('2026'!$K:$K,'2026'!$R:$R,$E$3&amp;$C9,'2026'!$U:$U,L$6),
SUMIFS('2026'!$K:$K,'2026'!$N:$N,$E$3&amp;$C9&amp;$E$4,'2026'!$U:$U,L$6))</f>
        <v>0</v>
      </c>
      <c r="M9" s="130">
        <f>IF((AND($E$3="MCS",$E$4="TODOS CRs")),
SUMIFS('2026'!$K:$K,'2026'!$R:$R,$E$3&amp;$C9,'2026'!$U:$U,M$6),
SUMIFS('2026'!$K:$K,'2026'!$N:$N,$E$3&amp;$C9&amp;$E$4,'2026'!$U:$U,M$6))</f>
        <v>0</v>
      </c>
      <c r="N9" s="130">
        <f>IF((AND($E$3="MCS",$E$4="TODOS CRs")),
SUMIFS('2026'!$K:$K,'2026'!$R:$R,$E$3&amp;$C9,'2026'!$U:$U,N$6),
SUMIFS('2026'!$K:$K,'2026'!$N:$N,$E$3&amp;$C9&amp;$E$4,'2026'!$U:$U,N$6))</f>
        <v>0</v>
      </c>
      <c r="O9" s="130">
        <f>IF((AND($E$3="MCS",$E$4="TODOS CRs")),
SUMIFS('2026'!$K:$K,'2026'!$R:$R,$E$3&amp;$C9,'2026'!$U:$U,O$6),
SUMIFS('2026'!$K:$K,'2026'!$N:$N,$E$3&amp;$C9&amp;$E$4,'2026'!$U:$U,O$6))</f>
        <v>0</v>
      </c>
      <c r="P9" s="130">
        <f>IF((AND($E$3="MCS",$E$4="TODOS CRs")),
SUMIFS('2026'!$K:$K,'2026'!$R:$R,$E$3&amp;$C9,'2026'!$U:$U,P$6),
SUMIFS('2026'!$K:$K,'2026'!$N:$N,$E$3&amp;$C9&amp;$E$4,'2026'!$U:$U,P$6))</f>
        <v>0</v>
      </c>
      <c r="Q9" s="130">
        <f>IF((AND($E$3="MCS",$E$4="TODOS CRs")),
SUMIFS('2026'!$K:$K,'2026'!$R:$R,$E$3&amp;$C9,'2026'!$U:$U,Q$6),
SUMIFS('2026'!$K:$K,'2026'!$N:$N,$E$3&amp;$C9&amp;$E$4,'2026'!$U:$U,Q$6))</f>
        <v>0</v>
      </c>
      <c r="T9" s="237" t="s">
        <v>783</v>
      </c>
      <c r="U9" s="238">
        <f t="shared" si="0"/>
        <v>0</v>
      </c>
      <c r="V9" s="239">
        <f t="shared" si="1"/>
        <v>0</v>
      </c>
    </row>
    <row r="10" spans="1:23" ht="15" customHeight="1" x14ac:dyDescent="0.25">
      <c r="B10" s="129" t="s">
        <v>779</v>
      </c>
      <c r="C10" s="129" t="s">
        <v>15</v>
      </c>
      <c r="D10" s="128" t="s">
        <v>734</v>
      </c>
      <c r="E10" s="100">
        <f t="shared" si="2"/>
        <v>0</v>
      </c>
      <c r="F10" s="245">
        <f>IF((AND($E$3="MCS",$E$4="TODOS CRs")),
SUMIFS('2026'!$K:$K,'2026'!$R:$R,$E$3&amp;$C10,'2026'!$U:$U,F$6),
SUMIFS('2026'!$K:$K,'2026'!$N:$N,$E$3&amp;$C10&amp;$E$4,'2026'!$U:$U,F$6))</f>
        <v>0</v>
      </c>
      <c r="G10" s="130">
        <f>IF((AND($E$3="MCS",$E$4="TODOS CRs")),
SUMIFS('2026'!$K:$K,'2026'!$R:$R,$E$3&amp;$C10,'2026'!$U:$U,G$6),
SUMIFS('2026'!$K:$K,'2026'!$N:$N,$E$3&amp;$C10&amp;$E$4,'2026'!$U:$U,G$6))</f>
        <v>0</v>
      </c>
      <c r="H10" s="130">
        <f>IF((AND($E$3="MCS",$E$4="TODOS CRs")),
SUMIFS('2026'!$K:$K,'2026'!$R:$R,$E$3&amp;$C10,'2026'!$U:$U,H$6),
SUMIFS('2026'!$K:$K,'2026'!$N:$N,$E$3&amp;$C10&amp;$E$4,'2026'!$U:$U,H$6))</f>
        <v>0</v>
      </c>
      <c r="I10" s="130">
        <f>IF((AND($E$3="MCS",$E$4="TODOS CRs")),
SUMIFS('2026'!$K:$K,'2026'!$R:$R,$E$3&amp;$C10,'2026'!$U:$U,I$6),
SUMIFS('2026'!$K:$K,'2026'!$N:$N,$E$3&amp;$C10&amp;$E$4,'2026'!$U:$U,I$6))</f>
        <v>0</v>
      </c>
      <c r="J10" s="130">
        <f>IF((AND($E$3="MCS",$E$4="TODOS CRs")),
SUMIFS('2026'!$K:$K,'2026'!$R:$R,$E$3&amp;$C10,'2026'!$U:$U,J$6),
SUMIFS('2026'!$K:$K,'2026'!$N:$N,$E$3&amp;$C10&amp;$E$4,'2026'!$U:$U,J$6))</f>
        <v>0</v>
      </c>
      <c r="K10" s="130">
        <f>IF((AND($E$3="MCS",$E$4="TODOS CRs")),
SUMIFS('2026'!$K:$K,'2026'!$R:$R,$E$3&amp;$C10,'2026'!$U:$U,K$6),
SUMIFS('2026'!$K:$K,'2026'!$N:$N,$E$3&amp;$C10&amp;$E$4,'2026'!$U:$U,K$6))</f>
        <v>0</v>
      </c>
      <c r="L10" s="130">
        <f>IF((AND($E$3="MCS",$E$4="TODOS CRs")),
SUMIFS('2026'!$K:$K,'2026'!$R:$R,$E$3&amp;$C10,'2026'!$U:$U,L$6),
SUMIFS('2026'!$K:$K,'2026'!$N:$N,$E$3&amp;$C10&amp;$E$4,'2026'!$U:$U,L$6))</f>
        <v>0</v>
      </c>
      <c r="M10" s="130">
        <f>IF((AND($E$3="MCS",$E$4="TODOS CRs")),
SUMIFS('2026'!$K:$K,'2026'!$R:$R,$E$3&amp;$C10,'2026'!$U:$U,M$6),
SUMIFS('2026'!$K:$K,'2026'!$N:$N,$E$3&amp;$C10&amp;$E$4,'2026'!$U:$U,M$6))</f>
        <v>0</v>
      </c>
      <c r="N10" s="130">
        <f>IF((AND($E$3="MCS",$E$4="TODOS CRs")),
SUMIFS('2026'!$K:$K,'2026'!$R:$R,$E$3&amp;$C10,'2026'!$U:$U,N$6),
SUMIFS('2026'!$K:$K,'2026'!$N:$N,$E$3&amp;$C10&amp;$E$4,'2026'!$U:$U,N$6))</f>
        <v>0</v>
      </c>
      <c r="O10" s="130">
        <f>IF((AND($E$3="MCS",$E$4="TODOS CRs")),
SUMIFS('2026'!$K:$K,'2026'!$R:$R,$E$3&amp;$C10,'2026'!$U:$U,O$6),
SUMIFS('2026'!$K:$K,'2026'!$N:$N,$E$3&amp;$C10&amp;$E$4,'2026'!$U:$U,O$6))</f>
        <v>0</v>
      </c>
      <c r="P10" s="130">
        <f>IF((AND($E$3="MCS",$E$4="TODOS CRs")),
SUMIFS('2026'!$K:$K,'2026'!$R:$R,$E$3&amp;$C10,'2026'!$U:$U,P$6),
SUMIFS('2026'!$K:$K,'2026'!$N:$N,$E$3&amp;$C10&amp;$E$4,'2026'!$U:$U,P$6))</f>
        <v>0</v>
      </c>
      <c r="Q10" s="130">
        <f>IF((AND($E$3="MCS",$E$4="TODOS CRs")),
SUMIFS('2026'!$K:$K,'2026'!$R:$R,$E$3&amp;$C10,'2026'!$U:$U,Q$6),
SUMIFS('2026'!$K:$K,'2026'!$N:$N,$E$3&amp;$C10&amp;$E$4,'2026'!$U:$U,Q$6))</f>
        <v>0</v>
      </c>
      <c r="T10" s="230" t="s">
        <v>782</v>
      </c>
      <c r="U10" s="231">
        <f t="shared" si="0"/>
        <v>0</v>
      </c>
      <c r="V10" s="232">
        <f t="shared" si="1"/>
        <v>0</v>
      </c>
    </row>
    <row r="11" spans="1:23" ht="15" customHeight="1" x14ac:dyDescent="0.25">
      <c r="B11" s="129" t="s">
        <v>779</v>
      </c>
      <c r="C11" s="129" t="s">
        <v>730</v>
      </c>
      <c r="D11" s="128" t="s">
        <v>740</v>
      </c>
      <c r="E11" s="100">
        <f t="shared" si="2"/>
        <v>0</v>
      </c>
      <c r="F11" s="245">
        <f>IF((AND($E$3="MCS",$E$4="TODOS CRs")),
SUMIFS('2026'!$K:$K,'2026'!$R:$R,$E$3&amp;$C11,'2026'!$U:$U,F$6),
SUMIFS('2026'!$K:$K,'2026'!$N:$N,$E$3&amp;$C11&amp;$E$4,'2026'!$U:$U,F$6))</f>
        <v>0</v>
      </c>
      <c r="G11" s="130">
        <f>IF((AND($E$3="MCS",$E$4="TODOS CRs")),
SUMIFS('2026'!$K:$K,'2026'!$R:$R,$E$3&amp;$C11,'2026'!$U:$U,G$6),
SUMIFS('2026'!$K:$K,'2026'!$N:$N,$E$3&amp;$C11&amp;$E$4,'2026'!$U:$U,G$6))</f>
        <v>0</v>
      </c>
      <c r="H11" s="130">
        <f>IF((AND($E$3="MCS",$E$4="TODOS CRs")),
SUMIFS('2026'!$K:$K,'2026'!$R:$R,$E$3&amp;$C11,'2026'!$U:$U,H$6),
SUMIFS('2026'!$K:$K,'2026'!$N:$N,$E$3&amp;$C11&amp;$E$4,'2026'!$U:$U,H$6))</f>
        <v>0</v>
      </c>
      <c r="I11" s="130">
        <f>IF((AND($E$3="MCS",$E$4="TODOS CRs")),
SUMIFS('2026'!$K:$K,'2026'!$R:$R,$E$3&amp;$C11,'2026'!$U:$U,I$6),
SUMIFS('2026'!$K:$K,'2026'!$N:$N,$E$3&amp;$C11&amp;$E$4,'2026'!$U:$U,I$6))</f>
        <v>0</v>
      </c>
      <c r="J11" s="130">
        <f>IF((AND($E$3="MCS",$E$4="TODOS CRs")),
SUMIFS('2026'!$K:$K,'2026'!$R:$R,$E$3&amp;$C11,'2026'!$U:$U,J$6),
SUMIFS('2026'!$K:$K,'2026'!$N:$N,$E$3&amp;$C11&amp;$E$4,'2026'!$U:$U,J$6))</f>
        <v>0</v>
      </c>
      <c r="K11" s="130">
        <f>IF((AND($E$3="MCS",$E$4="TODOS CRs")),
SUMIFS('2026'!$K:$K,'2026'!$R:$R,$E$3&amp;$C11,'2026'!$U:$U,K$6),
SUMIFS('2026'!$K:$K,'2026'!$N:$N,$E$3&amp;$C11&amp;$E$4,'2026'!$U:$U,K$6))</f>
        <v>0</v>
      </c>
      <c r="L11" s="130">
        <f>IF((AND($E$3="MCS",$E$4="TODOS CRs")),
SUMIFS('2026'!$K:$K,'2026'!$R:$R,$E$3&amp;$C11,'2026'!$U:$U,L$6),
SUMIFS('2026'!$K:$K,'2026'!$N:$N,$E$3&amp;$C11&amp;$E$4,'2026'!$U:$U,L$6))</f>
        <v>0</v>
      </c>
      <c r="M11" s="130">
        <f>IF((AND($E$3="MCS",$E$4="TODOS CRs")),
SUMIFS('2026'!$K:$K,'2026'!$R:$R,$E$3&amp;$C11,'2026'!$U:$U,M$6),
SUMIFS('2026'!$K:$K,'2026'!$N:$N,$E$3&amp;$C11&amp;$E$4,'2026'!$U:$U,M$6))</f>
        <v>0</v>
      </c>
      <c r="N11" s="130">
        <f>IF((AND($E$3="MCS",$E$4="TODOS CRs")),
SUMIFS('2026'!$K:$K,'2026'!$R:$R,$E$3&amp;$C11,'2026'!$U:$U,N$6),
SUMIFS('2026'!$K:$K,'2026'!$N:$N,$E$3&amp;$C11&amp;$E$4,'2026'!$U:$U,N$6))</f>
        <v>0</v>
      </c>
      <c r="O11" s="130">
        <f>IF((AND($E$3="MCS",$E$4="TODOS CRs")),
SUMIFS('2026'!$K:$K,'2026'!$R:$R,$E$3&amp;$C11,'2026'!$U:$U,O$6),
SUMIFS('2026'!$K:$K,'2026'!$N:$N,$E$3&amp;$C11&amp;$E$4,'2026'!$U:$U,O$6))</f>
        <v>0</v>
      </c>
      <c r="P11" s="130">
        <f>IF((AND($E$3="MCS",$E$4="TODOS CRs")),
SUMIFS('2026'!$K:$K,'2026'!$R:$R,$E$3&amp;$C11,'2026'!$U:$U,P$6),
SUMIFS('2026'!$K:$K,'2026'!$N:$N,$E$3&amp;$C11&amp;$E$4,'2026'!$U:$U,P$6))</f>
        <v>0</v>
      </c>
      <c r="Q11" s="130">
        <f>IF((AND($E$3="MCS",$E$4="TODOS CRs")),
SUMIFS('2026'!$K:$K,'2026'!$R:$R,$E$3&amp;$C11,'2026'!$U:$U,Q$6),
SUMIFS('2026'!$K:$K,'2026'!$N:$N,$E$3&amp;$C11&amp;$E$4,'2026'!$U:$U,Q$6))</f>
        <v>0</v>
      </c>
      <c r="T11" s="230" t="s">
        <v>785</v>
      </c>
      <c r="U11" s="231">
        <f t="shared" si="0"/>
        <v>0</v>
      </c>
      <c r="V11" s="232">
        <f t="shared" si="1"/>
        <v>0</v>
      </c>
    </row>
    <row r="12" spans="1:23" ht="15" customHeight="1" x14ac:dyDescent="0.25">
      <c r="B12" s="129" t="s">
        <v>779</v>
      </c>
      <c r="C12" s="129" t="s">
        <v>798</v>
      </c>
      <c r="D12" s="128" t="s">
        <v>755</v>
      </c>
      <c r="E12" s="100">
        <f t="shared" si="2"/>
        <v>0</v>
      </c>
      <c r="F12" s="245">
        <f>IF((AND($E$3="MCS",$E$4="TODOS CRs")),
SUMIFS('2026'!$K:$K,'2026'!$R:$R,$E$3&amp;$C12,'2026'!$U:$U,F$6),
SUMIFS('2026'!$K:$K,'2026'!$N:$N,$E$3&amp;$C12&amp;$E$4,'2026'!$U:$U,F$6))</f>
        <v>0</v>
      </c>
      <c r="G12" s="130">
        <f>IF((AND($E$3="MCS",$E$4="TODOS CRs")),
SUMIFS('2026'!$K:$K,'2026'!$R:$R,$E$3&amp;$C12,'2026'!$U:$U,G$6),
SUMIFS('2026'!$K:$K,'2026'!$N:$N,$E$3&amp;$C12&amp;$E$4,'2026'!$U:$U,G$6))</f>
        <v>0</v>
      </c>
      <c r="H12" s="130">
        <f>IF((AND($E$3="MCS",$E$4="TODOS CRs")),
SUMIFS('2026'!$K:$K,'2026'!$R:$R,$E$3&amp;$C12,'2026'!$U:$U,H$6),
SUMIFS('2026'!$K:$K,'2026'!$N:$N,$E$3&amp;$C12&amp;$E$4,'2026'!$U:$U,H$6))</f>
        <v>0</v>
      </c>
      <c r="I12" s="130">
        <f>IF((AND($E$3="MCS",$E$4="TODOS CRs")),
SUMIFS('2026'!$K:$K,'2026'!$R:$R,$E$3&amp;$C12,'2026'!$U:$U,I$6),
SUMIFS('2026'!$K:$K,'2026'!$N:$N,$E$3&amp;$C12&amp;$E$4,'2026'!$U:$U,I$6))</f>
        <v>0</v>
      </c>
      <c r="J12" s="130">
        <f>IF((AND($E$3="MCS",$E$4="TODOS CRs")),
SUMIFS('2026'!$K:$K,'2026'!$R:$R,$E$3&amp;$C12,'2026'!$U:$U,J$6),
SUMIFS('2026'!$K:$K,'2026'!$N:$N,$E$3&amp;$C12&amp;$E$4,'2026'!$U:$U,J$6))</f>
        <v>0</v>
      </c>
      <c r="K12" s="130">
        <f>IF((AND($E$3="MCS",$E$4="TODOS CRs")),
SUMIFS('2026'!$K:$K,'2026'!$R:$R,$E$3&amp;$C12,'2026'!$U:$U,K$6),
SUMIFS('2026'!$K:$K,'2026'!$N:$N,$E$3&amp;$C12&amp;$E$4,'2026'!$U:$U,K$6))</f>
        <v>0</v>
      </c>
      <c r="L12" s="130">
        <f>IF((AND($E$3="MCS",$E$4="TODOS CRs")),
SUMIFS('2026'!$K:$K,'2026'!$R:$R,$E$3&amp;$C12,'2026'!$U:$U,L$6),
SUMIFS('2026'!$K:$K,'2026'!$N:$N,$E$3&amp;$C12&amp;$E$4,'2026'!$U:$U,L$6))</f>
        <v>0</v>
      </c>
      <c r="M12" s="130">
        <f>IF((AND($E$3="MCS",$E$4="TODOS CRs")),
SUMIFS('2026'!$K:$K,'2026'!$R:$R,$E$3&amp;$C12,'2026'!$U:$U,M$6),
SUMIFS('2026'!$K:$K,'2026'!$N:$N,$E$3&amp;$C12&amp;$E$4,'2026'!$U:$U,M$6))</f>
        <v>0</v>
      </c>
      <c r="N12" s="130">
        <f>IF((AND($E$3="MCS",$E$4="TODOS CRs")),
SUMIFS('2026'!$K:$K,'2026'!$R:$R,$E$3&amp;$C12,'2026'!$U:$U,N$6),
SUMIFS('2026'!$K:$K,'2026'!$N:$N,$E$3&amp;$C12&amp;$E$4,'2026'!$U:$U,N$6))</f>
        <v>0</v>
      </c>
      <c r="O12" s="130">
        <f>IF((AND($E$3="MCS",$E$4="TODOS CRs")),
SUMIFS('2026'!$K:$K,'2026'!$R:$R,$E$3&amp;$C12,'2026'!$U:$U,O$6),
SUMIFS('2026'!$K:$K,'2026'!$N:$N,$E$3&amp;$C12&amp;$E$4,'2026'!$U:$U,O$6))</f>
        <v>0</v>
      </c>
      <c r="P12" s="130">
        <f>IF((AND($E$3="MCS",$E$4="TODOS CRs")),
SUMIFS('2026'!$K:$K,'2026'!$R:$R,$E$3&amp;$C12,'2026'!$U:$U,P$6),
SUMIFS('2026'!$K:$K,'2026'!$N:$N,$E$3&amp;$C12&amp;$E$4,'2026'!$U:$U,P$6))</f>
        <v>0</v>
      </c>
      <c r="Q12" s="130">
        <f>IF((AND($E$3="MCS",$E$4="TODOS CRs")),
SUMIFS('2026'!$K:$K,'2026'!$R:$R,$E$3&amp;$C12,'2026'!$U:$U,Q$6),
SUMIFS('2026'!$K:$K,'2026'!$N:$N,$E$3&amp;$C12&amp;$E$4,'2026'!$U:$U,Q$6))</f>
        <v>0</v>
      </c>
      <c r="T12" s="230" t="s">
        <v>784</v>
      </c>
      <c r="U12" s="231">
        <f t="shared" si="0"/>
        <v>0</v>
      </c>
      <c r="V12" s="232">
        <f t="shared" si="1"/>
        <v>0</v>
      </c>
    </row>
    <row r="13" spans="1:23" s="186" customFormat="1" ht="15" customHeight="1" x14ac:dyDescent="0.25">
      <c r="B13" s="170" t="s">
        <v>779</v>
      </c>
      <c r="C13" s="170" t="s">
        <v>756</v>
      </c>
      <c r="D13" s="171" t="s">
        <v>774</v>
      </c>
      <c r="E13" s="172">
        <f t="shared" si="2"/>
        <v>0</v>
      </c>
      <c r="F13" s="246">
        <f>IF((AND($E$3="MCS",$E$4="TODOS CRs")),
SUMIFS('2026'!$K:$K,'2026'!$R:$R,$E$3&amp;$C13,'2026'!$U:$U,F$6),
SUMIFS('2026'!$K:$K,'2026'!$N:$N,$E$3&amp;$C13&amp;$E$4,'2026'!$U:$U,F$6))</f>
        <v>0</v>
      </c>
      <c r="G13" s="187">
        <f>IF((AND($E$3="MCS",$E$4="TODOS CRs")),
SUMIFS('2026'!$K:$K,'2026'!$R:$R,$E$3&amp;$C13,'2026'!$U:$U,G$6),
SUMIFS('2026'!$K:$K,'2026'!$N:$N,$E$3&amp;$C13&amp;$E$4,'2026'!$U:$U,G$6))</f>
        <v>0</v>
      </c>
      <c r="H13" s="187">
        <f>IF((AND($E$3="MCS",$E$4="TODOS CRs")),
SUMIFS('2026'!$K:$K,'2026'!$R:$R,$E$3&amp;$C13,'2026'!$U:$U,H$6),
SUMIFS('2026'!$K:$K,'2026'!$N:$N,$E$3&amp;$C13&amp;$E$4,'2026'!$U:$U,H$6))</f>
        <v>0</v>
      </c>
      <c r="I13" s="187">
        <f>IF((AND($E$3="MCS",$E$4="TODOS CRs")),
SUMIFS('2026'!$K:$K,'2026'!$R:$R,$E$3&amp;$C13,'2026'!$U:$U,I$6),
SUMIFS('2026'!$K:$K,'2026'!$N:$N,$E$3&amp;$C13&amp;$E$4,'2026'!$U:$U,I$6))</f>
        <v>0</v>
      </c>
      <c r="J13" s="187">
        <f>IF((AND($E$3="MCS",$E$4="TODOS CRs")),
SUMIFS('2026'!$K:$K,'2026'!$R:$R,$E$3&amp;$C13,'2026'!$U:$U,J$6),
SUMIFS('2026'!$K:$K,'2026'!$N:$N,$E$3&amp;$C13&amp;$E$4,'2026'!$U:$U,J$6))</f>
        <v>0</v>
      </c>
      <c r="K13" s="187">
        <f>IF((AND($E$3="MCS",$E$4="TODOS CRs")),
SUMIFS('2026'!$K:$K,'2026'!$R:$R,$E$3&amp;$C13,'2026'!$U:$U,K$6),
SUMIFS('2026'!$K:$K,'2026'!$N:$N,$E$3&amp;$C13&amp;$E$4,'2026'!$U:$U,K$6))</f>
        <v>0</v>
      </c>
      <c r="L13" s="187">
        <f>IF((AND($E$3="MCS",$E$4="TODOS CRs")),
SUMIFS('2026'!$K:$K,'2026'!$R:$R,$E$3&amp;$C13,'2026'!$U:$U,L$6),
SUMIFS('2026'!$K:$K,'2026'!$N:$N,$E$3&amp;$C13&amp;$E$4,'2026'!$U:$U,L$6))</f>
        <v>0</v>
      </c>
      <c r="M13" s="187">
        <f>IF((AND($E$3="MCS",$E$4="TODOS CRs")),
SUMIFS('2026'!$K:$K,'2026'!$R:$R,$E$3&amp;$C13,'2026'!$U:$U,M$6),
SUMIFS('2026'!$K:$K,'2026'!$N:$N,$E$3&amp;$C13&amp;$E$4,'2026'!$U:$U,M$6))</f>
        <v>0</v>
      </c>
      <c r="N13" s="187">
        <f>IF((AND($E$3="MCS",$E$4="TODOS CRs")),
SUMIFS('2026'!$K:$K,'2026'!$R:$R,$E$3&amp;$C13,'2026'!$U:$U,N$6),
SUMIFS('2026'!$K:$K,'2026'!$N:$N,$E$3&amp;$C13&amp;$E$4,'2026'!$U:$U,N$6))</f>
        <v>0</v>
      </c>
      <c r="O13" s="187">
        <f>IF((AND($E$3="MCS",$E$4="TODOS CRs")),
SUMIFS('2026'!$K:$K,'2026'!$R:$R,$E$3&amp;$C13,'2026'!$U:$U,O$6),
SUMIFS('2026'!$K:$K,'2026'!$N:$N,$E$3&amp;$C13&amp;$E$4,'2026'!$U:$U,O$6))</f>
        <v>0</v>
      </c>
      <c r="P13" s="187">
        <f>IF((AND($E$3="MCS",$E$4="TODOS CRs")),
SUMIFS('2026'!$K:$K,'2026'!$R:$R,$E$3&amp;$C13,'2026'!$U:$U,P$6),
SUMIFS('2026'!$K:$K,'2026'!$N:$N,$E$3&amp;$C13&amp;$E$4,'2026'!$U:$U,P$6))</f>
        <v>0</v>
      </c>
      <c r="Q13" s="187">
        <f>IF((AND($E$3="MCS",$E$4="TODOS CRs")),
SUMIFS('2026'!$K:$K,'2026'!$R:$R,$E$3&amp;$C13,'2026'!$U:$U,Q$6),
SUMIFS('2026'!$K:$K,'2026'!$N:$N,$E$3&amp;$C13&amp;$E$4,'2026'!$U:$U,Q$6))</f>
        <v>0</v>
      </c>
      <c r="T13" s="233" t="s">
        <v>777</v>
      </c>
      <c r="U13" s="234">
        <f t="shared" si="0"/>
        <v>0</v>
      </c>
      <c r="V13" s="235">
        <f t="shared" si="1"/>
        <v>0</v>
      </c>
      <c r="W13" s="1"/>
    </row>
    <row r="14" spans="1:23" s="121" customFormat="1" ht="18.75" x14ac:dyDescent="0.3">
      <c r="D14" s="122" t="s">
        <v>7</v>
      </c>
      <c r="E14" s="123">
        <f t="shared" ref="E14:F14" si="3">SUBTOTAL(9,E7:E13)</f>
        <v>0</v>
      </c>
      <c r="F14" s="247">
        <f t="shared" si="3"/>
        <v>0</v>
      </c>
      <c r="G14" s="127">
        <f t="shared" ref="G14" si="4">SUBTOTAL(9,G7:G13)</f>
        <v>0</v>
      </c>
      <c r="H14" s="127">
        <f t="shared" ref="H14" si="5">SUBTOTAL(9,H7:H13)</f>
        <v>0</v>
      </c>
      <c r="I14" s="127">
        <f t="shared" ref="I14" si="6">SUBTOTAL(9,I7:I13)</f>
        <v>0</v>
      </c>
      <c r="J14" s="127">
        <f t="shared" ref="J14" si="7">SUBTOTAL(9,J7:J13)</f>
        <v>0</v>
      </c>
      <c r="K14" s="127">
        <f t="shared" ref="K14" si="8">SUBTOTAL(9,K7:K13)</f>
        <v>0</v>
      </c>
      <c r="L14" s="127">
        <f t="shared" ref="L14" si="9">SUBTOTAL(9,L7:L13)</f>
        <v>0</v>
      </c>
      <c r="M14" s="127">
        <f t="shared" ref="M14" si="10">SUBTOTAL(9,M7:M13)</f>
        <v>0</v>
      </c>
      <c r="N14" s="127">
        <f t="shared" ref="N14" si="11">SUBTOTAL(9,N7:N13)</f>
        <v>0</v>
      </c>
      <c r="O14" s="127">
        <f t="shared" ref="O14" si="12">SUBTOTAL(9,O7:O13)</f>
        <v>0</v>
      </c>
      <c r="P14" s="127">
        <f t="shared" ref="P14" si="13">SUBTOTAL(9,P7:P13)</f>
        <v>0</v>
      </c>
      <c r="Q14" s="127">
        <f t="shared" ref="Q14" si="14">SUBTOTAL(9,Q7:Q13)</f>
        <v>0</v>
      </c>
      <c r="T14" s="227" t="s">
        <v>803</v>
      </c>
      <c r="U14" s="228">
        <f>U5+U13</f>
        <v>0</v>
      </c>
      <c r="V14" s="236" t="e">
        <f t="shared" ref="V14" si="15">ABS(U14/$U$5)</f>
        <v>#DIV/0!</v>
      </c>
      <c r="W14" s="1"/>
    </row>
    <row r="15" spans="1:23" ht="11.25" customHeight="1" x14ac:dyDescent="0.25">
      <c r="A15" s="5"/>
      <c r="B15" s="5"/>
      <c r="C15" s="5"/>
    </row>
    <row r="16" spans="1:23" ht="15" customHeight="1" x14ac:dyDescent="0.25">
      <c r="A16" s="4"/>
      <c r="B16" s="101" t="s">
        <v>787</v>
      </c>
      <c r="C16" s="101" t="s">
        <v>32</v>
      </c>
      <c r="D16" s="98" t="s">
        <v>1</v>
      </c>
      <c r="E16" s="99" t="s">
        <v>5</v>
      </c>
      <c r="F16" s="214">
        <f t="shared" ref="F16" si="16">F6</f>
        <v>46023</v>
      </c>
      <c r="G16" s="215">
        <f t="shared" ref="G16:Q16" si="17">G6</f>
        <v>46054</v>
      </c>
      <c r="H16" s="215">
        <f t="shared" si="17"/>
        <v>46082</v>
      </c>
      <c r="I16" s="215">
        <f t="shared" si="17"/>
        <v>46113</v>
      </c>
      <c r="J16" s="215">
        <f t="shared" si="17"/>
        <v>46143</v>
      </c>
      <c r="K16" s="215">
        <f t="shared" si="17"/>
        <v>46174</v>
      </c>
      <c r="L16" s="215">
        <f t="shared" si="17"/>
        <v>46204</v>
      </c>
      <c r="M16" s="215">
        <f t="shared" si="17"/>
        <v>46235</v>
      </c>
      <c r="N16" s="215">
        <f t="shared" si="17"/>
        <v>46266</v>
      </c>
      <c r="O16" s="215">
        <f t="shared" si="17"/>
        <v>46296</v>
      </c>
      <c r="P16" s="215">
        <f t="shared" si="17"/>
        <v>46327</v>
      </c>
      <c r="Q16" s="215">
        <f t="shared" si="17"/>
        <v>46357</v>
      </c>
    </row>
    <row r="17" spans="1:17" s="141" customFormat="1" ht="15" customHeight="1" x14ac:dyDescent="0.25">
      <c r="A17" s="135"/>
      <c r="B17" s="136" t="s">
        <v>780</v>
      </c>
      <c r="C17" s="136" t="s">
        <v>8</v>
      </c>
      <c r="D17" s="137" t="s">
        <v>744</v>
      </c>
      <c r="E17" s="138">
        <f t="shared" ref="E17:E39" si="18">SUM(F17:Q17)</f>
        <v>0</v>
      </c>
      <c r="F17" s="139">
        <f>IF((AND($E$3="MCS",$E$4="TODOS CRs")),
SUMIFS('2026'!$K:$K,'2026'!$R:$R,$E$3&amp;$C17,'2026'!$U:$U,F$6),
SUMIFS('2026'!$K:$K,'2026'!$N:$N,$E$3&amp;$C17&amp;$E$4,'2026'!$U:$U,F$6))</f>
        <v>0</v>
      </c>
      <c r="G17" s="140">
        <f>IF((AND($E$3="MCS",$E$4="TODOS CRs")),
SUMIFS('2026'!$K:$K,'2026'!$R:$R,$E$3&amp;$C17,'2026'!$U:$U,G$6),
SUMIFS('2026'!$K:$K,'2026'!$N:$N,$E$3&amp;$C17&amp;$E$4,'2026'!$U:$U,G$6))</f>
        <v>0</v>
      </c>
      <c r="H17" s="140">
        <f>IF((AND($E$3="MCS",$E$4="TODOS CRs")),
SUMIFS('2026'!$K:$K,'2026'!$R:$R,$E$3&amp;$C17,'2026'!$U:$U,H$6),
SUMIFS('2026'!$K:$K,'2026'!$N:$N,$E$3&amp;$C17&amp;$E$4,'2026'!$U:$U,H$6))</f>
        <v>0</v>
      </c>
      <c r="I17" s="140">
        <f>IF((AND($E$3="MCS",$E$4="TODOS CRs")),
SUMIFS('2026'!$K:$K,'2026'!$R:$R,$E$3&amp;$C17,'2026'!$U:$U,I$6),
SUMIFS('2026'!$K:$K,'2026'!$N:$N,$E$3&amp;$C17&amp;$E$4,'2026'!$U:$U,I$6))</f>
        <v>0</v>
      </c>
      <c r="J17" s="140">
        <f>IF((AND($E$3="MCS",$E$4="TODOS CRs")),
SUMIFS('2026'!$K:$K,'2026'!$R:$R,$E$3&amp;$C17,'2026'!$U:$U,J$6),
SUMIFS('2026'!$K:$K,'2026'!$N:$N,$E$3&amp;$C17&amp;$E$4,'2026'!$U:$U,J$6))</f>
        <v>0</v>
      </c>
      <c r="K17" s="140">
        <f>IF((AND($E$3="MCS",$E$4="TODOS CRs")),
SUMIFS('2026'!$K:$K,'2026'!$R:$R,$E$3&amp;$C17,'2026'!$U:$U,K$6),
SUMIFS('2026'!$K:$K,'2026'!$N:$N,$E$3&amp;$C17&amp;$E$4,'2026'!$U:$U,K$6))</f>
        <v>0</v>
      </c>
      <c r="L17" s="140">
        <f>IF((AND($E$3="MCS",$E$4="TODOS CRs")),
SUMIFS('2026'!$K:$K,'2026'!$R:$R,$E$3&amp;$C17,'2026'!$U:$U,L$6),
SUMIFS('2026'!$K:$K,'2026'!$N:$N,$E$3&amp;$C17&amp;$E$4,'2026'!$U:$U,L$6))</f>
        <v>0</v>
      </c>
      <c r="M17" s="140">
        <f>IF((AND($E$3="MCS",$E$4="TODOS CRs")),
SUMIFS('2026'!$K:$K,'2026'!$R:$R,$E$3&amp;$C17,'2026'!$U:$U,M$6),
SUMIFS('2026'!$K:$K,'2026'!$N:$N,$E$3&amp;$C17&amp;$E$4,'2026'!$U:$U,M$6))</f>
        <v>0</v>
      </c>
      <c r="N17" s="140">
        <f>IF((AND($E$3="MCS",$E$4="TODOS CRs")),
SUMIFS('2026'!$K:$K,'2026'!$R:$R,$E$3&amp;$C17,'2026'!$U:$U,N$6),
SUMIFS('2026'!$K:$K,'2026'!$N:$N,$E$3&amp;$C17&amp;$E$4,'2026'!$U:$U,N$6))</f>
        <v>0</v>
      </c>
      <c r="O17" s="140">
        <f>IF((AND($E$3="MCS",$E$4="TODOS CRs")),
SUMIFS('2026'!$K:$K,'2026'!$R:$R,$E$3&amp;$C17,'2026'!$U:$U,O$6),
SUMIFS('2026'!$K:$K,'2026'!$N:$N,$E$3&amp;$C17&amp;$E$4,'2026'!$U:$U,O$6))</f>
        <v>0</v>
      </c>
      <c r="P17" s="140">
        <f>IF((AND($E$3="MCS",$E$4="TODOS CRs")),
SUMIFS('2026'!$K:$K,'2026'!$R:$R,$E$3&amp;$C17,'2026'!$U:$U,P$6),
SUMIFS('2026'!$K:$K,'2026'!$N:$N,$E$3&amp;$C17&amp;$E$4,'2026'!$U:$U,P$6))</f>
        <v>0</v>
      </c>
      <c r="Q17" s="140">
        <f>IF((AND($E$3="MCS",$E$4="TODOS CRs")),
SUMIFS('2026'!$K:$K,'2026'!$R:$R,$E$3&amp;$C17,'2026'!$U:$U,Q$6),
SUMIFS('2026'!$K:$K,'2026'!$N:$N,$E$3&amp;$C17&amp;$E$4,'2026'!$U:$U,Q$6))</f>
        <v>0</v>
      </c>
    </row>
    <row r="18" spans="1:17" s="142" customFormat="1" ht="15" customHeight="1" x14ac:dyDescent="0.25">
      <c r="A18" s="135"/>
      <c r="B18" s="136" t="s">
        <v>780</v>
      </c>
      <c r="C18" s="136" t="s">
        <v>9</v>
      </c>
      <c r="D18" s="137" t="s">
        <v>741</v>
      </c>
      <c r="E18" s="138">
        <f t="shared" si="18"/>
        <v>0</v>
      </c>
      <c r="F18" s="139">
        <f>IF((AND($E$3="MCS",$E$4="TODOS CRs")),
SUMIFS('2026'!$K:$K,'2026'!$R:$R,$E$3&amp;$C18,'2026'!$U:$U,F$6),
SUMIFS('2026'!$K:$K,'2026'!$N:$N,$E$3&amp;$C18&amp;$E$4,'2026'!$U:$U,F$6))</f>
        <v>0</v>
      </c>
      <c r="G18" s="140">
        <f>IF((AND($E$3="MCS",$E$4="TODOS CRs")),
SUMIFS('2026'!$K:$K,'2026'!$R:$R,$E$3&amp;$C18,'2026'!$U:$U,G$6),
SUMIFS('2026'!$K:$K,'2026'!$N:$N,$E$3&amp;$C18&amp;$E$4,'2026'!$U:$U,G$6))</f>
        <v>0</v>
      </c>
      <c r="H18" s="140">
        <f>IF((AND($E$3="MCS",$E$4="TODOS CRs")),
SUMIFS('2026'!$K:$K,'2026'!$R:$R,$E$3&amp;$C18,'2026'!$U:$U,H$6),
SUMIFS('2026'!$K:$K,'2026'!$N:$N,$E$3&amp;$C18&amp;$E$4,'2026'!$U:$U,H$6))</f>
        <v>0</v>
      </c>
      <c r="I18" s="140">
        <f>IF((AND($E$3="MCS",$E$4="TODOS CRs")),
SUMIFS('2026'!$K:$K,'2026'!$R:$R,$E$3&amp;$C18,'2026'!$U:$U,I$6),
SUMIFS('2026'!$K:$K,'2026'!$N:$N,$E$3&amp;$C18&amp;$E$4,'2026'!$U:$U,I$6))</f>
        <v>0</v>
      </c>
      <c r="J18" s="140">
        <f>IF((AND($E$3="MCS",$E$4="TODOS CRs")),
SUMIFS('2026'!$K:$K,'2026'!$R:$R,$E$3&amp;$C18,'2026'!$U:$U,J$6),
SUMIFS('2026'!$K:$K,'2026'!$N:$N,$E$3&amp;$C18&amp;$E$4,'2026'!$U:$U,J$6))</f>
        <v>0</v>
      </c>
      <c r="K18" s="140">
        <f>IF((AND($E$3="MCS",$E$4="TODOS CRs")),
SUMIFS('2026'!$K:$K,'2026'!$R:$R,$E$3&amp;$C18,'2026'!$U:$U,K$6),
SUMIFS('2026'!$K:$K,'2026'!$N:$N,$E$3&amp;$C18&amp;$E$4,'2026'!$U:$U,K$6))</f>
        <v>0</v>
      </c>
      <c r="L18" s="140">
        <f>IF((AND($E$3="MCS",$E$4="TODOS CRs")),
SUMIFS('2026'!$K:$K,'2026'!$R:$R,$E$3&amp;$C18,'2026'!$U:$U,L$6),
SUMIFS('2026'!$K:$K,'2026'!$N:$N,$E$3&amp;$C18&amp;$E$4,'2026'!$U:$U,L$6))</f>
        <v>0</v>
      </c>
      <c r="M18" s="140">
        <f>IF((AND($E$3="MCS",$E$4="TODOS CRs")),
SUMIFS('2026'!$K:$K,'2026'!$R:$R,$E$3&amp;$C18,'2026'!$U:$U,M$6),
SUMIFS('2026'!$K:$K,'2026'!$N:$N,$E$3&amp;$C18&amp;$E$4,'2026'!$U:$U,M$6))</f>
        <v>0</v>
      </c>
      <c r="N18" s="140">
        <f>IF((AND($E$3="MCS",$E$4="TODOS CRs")),
SUMIFS('2026'!$K:$K,'2026'!$R:$R,$E$3&amp;$C18,'2026'!$U:$U,N$6),
SUMIFS('2026'!$K:$K,'2026'!$N:$N,$E$3&amp;$C18&amp;$E$4,'2026'!$U:$U,N$6))</f>
        <v>0</v>
      </c>
      <c r="O18" s="140">
        <f>IF((AND($E$3="MCS",$E$4="TODOS CRs")),
SUMIFS('2026'!$K:$K,'2026'!$R:$R,$E$3&amp;$C18,'2026'!$U:$U,O$6),
SUMIFS('2026'!$K:$K,'2026'!$N:$N,$E$3&amp;$C18&amp;$E$4,'2026'!$U:$U,O$6))</f>
        <v>0</v>
      </c>
      <c r="P18" s="140">
        <f>IF((AND($E$3="MCS",$E$4="TODOS CRs")),
SUMIFS('2026'!$K:$K,'2026'!$R:$R,$E$3&amp;$C18,'2026'!$U:$U,P$6),
SUMIFS('2026'!$K:$K,'2026'!$N:$N,$E$3&amp;$C18&amp;$E$4,'2026'!$U:$U,P$6))</f>
        <v>0</v>
      </c>
      <c r="Q18" s="140">
        <f>IF((AND($E$3="MCS",$E$4="TODOS CRs")),
SUMIFS('2026'!$K:$K,'2026'!$R:$R,$E$3&amp;$C18,'2026'!$U:$U,Q$6),
SUMIFS('2026'!$K:$K,'2026'!$N:$N,$E$3&amp;$C18&amp;$E$4,'2026'!$U:$U,Q$6))</f>
        <v>0</v>
      </c>
    </row>
    <row r="19" spans="1:17" s="142" customFormat="1" ht="15" customHeight="1" x14ac:dyDescent="0.25">
      <c r="A19" s="135"/>
      <c r="B19" s="143" t="s">
        <v>781</v>
      </c>
      <c r="C19" s="143" t="s">
        <v>721</v>
      </c>
      <c r="D19" s="144" t="s">
        <v>733</v>
      </c>
      <c r="E19" s="145">
        <f t="shared" si="18"/>
        <v>0</v>
      </c>
      <c r="F19" s="146">
        <f>IF((AND($E$3="MCS",$E$4="TODOS CRs")),
SUMIFS('2026'!$K:$K,'2026'!$R:$R,$E$3&amp;$C19,'2026'!$U:$U,F$6),
SUMIFS('2026'!$K:$K,'2026'!$N:$N,$E$3&amp;$C19&amp;$E$4,'2026'!$U:$U,F$6))</f>
        <v>0</v>
      </c>
      <c r="G19" s="147">
        <f>IF((AND($E$3="MCS",$E$4="TODOS CRs")),
SUMIFS('2026'!$K:$K,'2026'!$R:$R,$E$3&amp;$C19,'2026'!$U:$U,G$6),
SUMIFS('2026'!$K:$K,'2026'!$N:$N,$E$3&amp;$C19&amp;$E$4,'2026'!$U:$U,G$6))</f>
        <v>0</v>
      </c>
      <c r="H19" s="147">
        <f>IF((AND($E$3="MCS",$E$4="TODOS CRs")),
SUMIFS('2026'!$K:$K,'2026'!$R:$R,$E$3&amp;$C19,'2026'!$U:$U,H$6),
SUMIFS('2026'!$K:$K,'2026'!$N:$N,$E$3&amp;$C19&amp;$E$4,'2026'!$U:$U,H$6))</f>
        <v>0</v>
      </c>
      <c r="I19" s="147">
        <f>IF((AND($E$3="MCS",$E$4="TODOS CRs")),
SUMIFS('2026'!$K:$K,'2026'!$R:$R,$E$3&amp;$C19,'2026'!$U:$U,I$6),
SUMIFS('2026'!$K:$K,'2026'!$N:$N,$E$3&amp;$C19&amp;$E$4,'2026'!$U:$U,I$6))</f>
        <v>0</v>
      </c>
      <c r="J19" s="147">
        <f>IF((AND($E$3="MCS",$E$4="TODOS CRs")),
SUMIFS('2026'!$K:$K,'2026'!$R:$R,$E$3&amp;$C19,'2026'!$U:$U,J$6),
SUMIFS('2026'!$K:$K,'2026'!$N:$N,$E$3&amp;$C19&amp;$E$4,'2026'!$U:$U,J$6))</f>
        <v>0</v>
      </c>
      <c r="K19" s="147">
        <f>IF((AND($E$3="MCS",$E$4="TODOS CRs")),
SUMIFS('2026'!$K:$K,'2026'!$R:$R,$E$3&amp;$C19,'2026'!$U:$U,K$6),
SUMIFS('2026'!$K:$K,'2026'!$N:$N,$E$3&amp;$C19&amp;$E$4,'2026'!$U:$U,K$6))</f>
        <v>0</v>
      </c>
      <c r="L19" s="147">
        <f>IF((AND($E$3="MCS",$E$4="TODOS CRs")),
SUMIFS('2026'!$K:$K,'2026'!$R:$R,$E$3&amp;$C19,'2026'!$U:$U,L$6),
SUMIFS('2026'!$K:$K,'2026'!$N:$N,$E$3&amp;$C19&amp;$E$4,'2026'!$U:$U,L$6))</f>
        <v>0</v>
      </c>
      <c r="M19" s="147">
        <f>IF((AND($E$3="MCS",$E$4="TODOS CRs")),
SUMIFS('2026'!$K:$K,'2026'!$R:$R,$E$3&amp;$C19,'2026'!$U:$U,M$6),
SUMIFS('2026'!$K:$K,'2026'!$N:$N,$E$3&amp;$C19&amp;$E$4,'2026'!$U:$U,M$6))</f>
        <v>0</v>
      </c>
      <c r="N19" s="147">
        <f>IF((AND($E$3="MCS",$E$4="TODOS CRs")),
SUMIFS('2026'!$K:$K,'2026'!$R:$R,$E$3&amp;$C19,'2026'!$U:$U,N$6),
SUMIFS('2026'!$K:$K,'2026'!$N:$N,$E$3&amp;$C19&amp;$E$4,'2026'!$U:$U,N$6))</f>
        <v>0</v>
      </c>
      <c r="O19" s="147">
        <f>IF((AND($E$3="MCS",$E$4="TODOS CRs")),
SUMIFS('2026'!$K:$K,'2026'!$R:$R,$E$3&amp;$C19,'2026'!$U:$U,O$6),
SUMIFS('2026'!$K:$K,'2026'!$N:$N,$E$3&amp;$C19&amp;$E$4,'2026'!$U:$U,O$6))</f>
        <v>0</v>
      </c>
      <c r="P19" s="147">
        <f>IF((AND($E$3="MCS",$E$4="TODOS CRs")),
SUMIFS('2026'!$K:$K,'2026'!$R:$R,$E$3&amp;$C19,'2026'!$U:$U,P$6),
SUMIFS('2026'!$K:$K,'2026'!$N:$N,$E$3&amp;$C19&amp;$E$4,'2026'!$U:$U,P$6))</f>
        <v>0</v>
      </c>
      <c r="Q19" s="147">
        <f>IF((AND($E$3="MCS",$E$4="TODOS CRs")),
SUMIFS('2026'!$K:$K,'2026'!$R:$R,$E$3&amp;$C19,'2026'!$U:$U,Q$6),
SUMIFS('2026'!$K:$K,'2026'!$N:$N,$E$3&amp;$C19&amp;$E$4,'2026'!$U:$U,Q$6))</f>
        <v>0</v>
      </c>
    </row>
    <row r="20" spans="1:17" s="142" customFormat="1" ht="15" customHeight="1" x14ac:dyDescent="0.25">
      <c r="A20" s="135"/>
      <c r="B20" s="143" t="s">
        <v>781</v>
      </c>
      <c r="C20" s="143" t="s">
        <v>722</v>
      </c>
      <c r="D20" s="144" t="s">
        <v>739</v>
      </c>
      <c r="E20" s="145">
        <f t="shared" si="18"/>
        <v>0</v>
      </c>
      <c r="F20" s="146">
        <f>IF((AND($E$3="MCS",$E$4="TODOS CRs")),
SUMIFS('2026'!$K:$K,'2026'!$R:$R,$E$3&amp;$C20,'2026'!$U:$U,F$6),
SUMIFS('2026'!$K:$K,'2026'!$N:$N,$E$3&amp;$C20&amp;$E$4,'2026'!$U:$U,F$6))</f>
        <v>0</v>
      </c>
      <c r="G20" s="147">
        <f>IF((AND($E$3="MCS",$E$4="TODOS CRs")),
SUMIFS('2026'!$K:$K,'2026'!$R:$R,$E$3&amp;$C20,'2026'!$U:$U,G$6),
SUMIFS('2026'!$K:$K,'2026'!$N:$N,$E$3&amp;$C20&amp;$E$4,'2026'!$U:$U,G$6))</f>
        <v>0</v>
      </c>
      <c r="H20" s="147">
        <f>IF((AND($E$3="MCS",$E$4="TODOS CRs")),
SUMIFS('2026'!$K:$K,'2026'!$R:$R,$E$3&amp;$C20,'2026'!$U:$U,H$6),
SUMIFS('2026'!$K:$K,'2026'!$N:$N,$E$3&amp;$C20&amp;$E$4,'2026'!$U:$U,H$6))</f>
        <v>0</v>
      </c>
      <c r="I20" s="147">
        <f>IF((AND($E$3="MCS",$E$4="TODOS CRs")),
SUMIFS('2026'!$K:$K,'2026'!$R:$R,$E$3&amp;$C20,'2026'!$U:$U,I$6),
SUMIFS('2026'!$K:$K,'2026'!$N:$N,$E$3&amp;$C20&amp;$E$4,'2026'!$U:$U,I$6))</f>
        <v>0</v>
      </c>
      <c r="J20" s="147">
        <f>IF((AND($E$3="MCS",$E$4="TODOS CRs")),
SUMIFS('2026'!$K:$K,'2026'!$R:$R,$E$3&amp;$C20,'2026'!$U:$U,J$6),
SUMIFS('2026'!$K:$K,'2026'!$N:$N,$E$3&amp;$C20&amp;$E$4,'2026'!$U:$U,J$6))</f>
        <v>0</v>
      </c>
      <c r="K20" s="147">
        <f>IF((AND($E$3="MCS",$E$4="TODOS CRs")),
SUMIFS('2026'!$K:$K,'2026'!$R:$R,$E$3&amp;$C20,'2026'!$U:$U,K$6),
SUMIFS('2026'!$K:$K,'2026'!$N:$N,$E$3&amp;$C20&amp;$E$4,'2026'!$U:$U,K$6))</f>
        <v>0</v>
      </c>
      <c r="L20" s="147">
        <f>IF((AND($E$3="MCS",$E$4="TODOS CRs")),
SUMIFS('2026'!$K:$K,'2026'!$R:$R,$E$3&amp;$C20,'2026'!$U:$U,L$6),
SUMIFS('2026'!$K:$K,'2026'!$N:$N,$E$3&amp;$C20&amp;$E$4,'2026'!$U:$U,L$6))</f>
        <v>0</v>
      </c>
      <c r="M20" s="147">
        <f>IF((AND($E$3="MCS",$E$4="TODOS CRs")),
SUMIFS('2026'!$K:$K,'2026'!$R:$R,$E$3&amp;$C20,'2026'!$U:$U,M$6),
SUMIFS('2026'!$K:$K,'2026'!$N:$N,$E$3&amp;$C20&amp;$E$4,'2026'!$U:$U,M$6))</f>
        <v>0</v>
      </c>
      <c r="N20" s="147">
        <f>IF((AND($E$3="MCS",$E$4="TODOS CRs")),
SUMIFS('2026'!$K:$K,'2026'!$R:$R,$E$3&amp;$C20,'2026'!$U:$U,N$6),
SUMIFS('2026'!$K:$K,'2026'!$N:$N,$E$3&amp;$C20&amp;$E$4,'2026'!$U:$U,N$6))</f>
        <v>0</v>
      </c>
      <c r="O20" s="147">
        <f>IF((AND($E$3="MCS",$E$4="TODOS CRs")),
SUMIFS('2026'!$K:$K,'2026'!$R:$R,$E$3&amp;$C20,'2026'!$U:$U,O$6),
SUMIFS('2026'!$K:$K,'2026'!$N:$N,$E$3&amp;$C20&amp;$E$4,'2026'!$U:$U,O$6))</f>
        <v>0</v>
      </c>
      <c r="P20" s="147">
        <f>IF((AND($E$3="MCS",$E$4="TODOS CRs")),
SUMIFS('2026'!$K:$K,'2026'!$R:$R,$E$3&amp;$C20,'2026'!$U:$U,P$6),
SUMIFS('2026'!$K:$K,'2026'!$N:$N,$E$3&amp;$C20&amp;$E$4,'2026'!$U:$U,P$6))</f>
        <v>0</v>
      </c>
      <c r="Q20" s="147">
        <f>IF((AND($E$3="MCS",$E$4="TODOS CRs")),
SUMIFS('2026'!$K:$K,'2026'!$R:$R,$E$3&amp;$C20,'2026'!$U:$U,Q$6),
SUMIFS('2026'!$K:$K,'2026'!$N:$N,$E$3&amp;$C20&amp;$E$4,'2026'!$U:$U,Q$6))</f>
        <v>0</v>
      </c>
    </row>
    <row r="21" spans="1:17" s="142" customFormat="1" ht="15" customHeight="1" x14ac:dyDescent="0.25">
      <c r="A21" s="135"/>
      <c r="B21" s="143" t="s">
        <v>781</v>
      </c>
      <c r="C21" s="143" t="s">
        <v>723</v>
      </c>
      <c r="D21" s="144" t="s">
        <v>736</v>
      </c>
      <c r="E21" s="145">
        <f t="shared" si="18"/>
        <v>0</v>
      </c>
      <c r="F21" s="146">
        <f>IF((AND($E$3="MCS",$E$4="TODOS CRs")),
SUMIFS('2026'!$K:$K,'2026'!$R:$R,$E$3&amp;$C21,'2026'!$U:$U,F$6),
SUMIFS('2026'!$K:$K,'2026'!$N:$N,$E$3&amp;$C21&amp;$E$4,'2026'!$U:$U,F$6))</f>
        <v>0</v>
      </c>
      <c r="G21" s="147">
        <f>IF((AND($E$3="MCS",$E$4="TODOS CRs")),
SUMIFS('2026'!$K:$K,'2026'!$R:$R,$E$3&amp;$C21,'2026'!$U:$U,G$6),
SUMIFS('2026'!$K:$K,'2026'!$N:$N,$E$3&amp;$C21&amp;$E$4,'2026'!$U:$U,G$6))</f>
        <v>0</v>
      </c>
      <c r="H21" s="147">
        <f>IF((AND($E$3="MCS",$E$4="TODOS CRs")),
SUMIFS('2026'!$K:$K,'2026'!$R:$R,$E$3&amp;$C21,'2026'!$U:$U,H$6),
SUMIFS('2026'!$K:$K,'2026'!$N:$N,$E$3&amp;$C21&amp;$E$4,'2026'!$U:$U,H$6))</f>
        <v>0</v>
      </c>
      <c r="I21" s="147">
        <f>IF((AND($E$3="MCS",$E$4="TODOS CRs")),
SUMIFS('2026'!$K:$K,'2026'!$R:$R,$E$3&amp;$C21,'2026'!$U:$U,I$6),
SUMIFS('2026'!$K:$K,'2026'!$N:$N,$E$3&amp;$C21&amp;$E$4,'2026'!$U:$U,I$6))</f>
        <v>0</v>
      </c>
      <c r="J21" s="147">
        <f>IF((AND($E$3="MCS",$E$4="TODOS CRs")),
SUMIFS('2026'!$K:$K,'2026'!$R:$R,$E$3&amp;$C21,'2026'!$U:$U,J$6),
SUMIFS('2026'!$K:$K,'2026'!$N:$N,$E$3&amp;$C21&amp;$E$4,'2026'!$U:$U,J$6))</f>
        <v>0</v>
      </c>
      <c r="K21" s="147">
        <f>IF((AND($E$3="MCS",$E$4="TODOS CRs")),
SUMIFS('2026'!$K:$K,'2026'!$R:$R,$E$3&amp;$C21,'2026'!$U:$U,K$6),
SUMIFS('2026'!$K:$K,'2026'!$N:$N,$E$3&amp;$C21&amp;$E$4,'2026'!$U:$U,K$6))</f>
        <v>0</v>
      </c>
      <c r="L21" s="147">
        <f>IF((AND($E$3="MCS",$E$4="TODOS CRs")),
SUMIFS('2026'!$K:$K,'2026'!$R:$R,$E$3&amp;$C21,'2026'!$U:$U,L$6),
SUMIFS('2026'!$K:$K,'2026'!$N:$N,$E$3&amp;$C21&amp;$E$4,'2026'!$U:$U,L$6))</f>
        <v>0</v>
      </c>
      <c r="M21" s="147">
        <f>IF((AND($E$3="MCS",$E$4="TODOS CRs")),
SUMIFS('2026'!$K:$K,'2026'!$R:$R,$E$3&amp;$C21,'2026'!$U:$U,M$6),
SUMIFS('2026'!$K:$K,'2026'!$N:$N,$E$3&amp;$C21&amp;$E$4,'2026'!$U:$U,M$6))</f>
        <v>0</v>
      </c>
      <c r="N21" s="147">
        <f>IF((AND($E$3="MCS",$E$4="TODOS CRs")),
SUMIFS('2026'!$K:$K,'2026'!$R:$R,$E$3&amp;$C21,'2026'!$U:$U,N$6),
SUMIFS('2026'!$K:$K,'2026'!$N:$N,$E$3&amp;$C21&amp;$E$4,'2026'!$U:$U,N$6))</f>
        <v>0</v>
      </c>
      <c r="O21" s="147">
        <f>IF((AND($E$3="MCS",$E$4="TODOS CRs")),
SUMIFS('2026'!$K:$K,'2026'!$R:$R,$E$3&amp;$C21,'2026'!$U:$U,O$6),
SUMIFS('2026'!$K:$K,'2026'!$N:$N,$E$3&amp;$C21&amp;$E$4,'2026'!$U:$U,O$6))</f>
        <v>0</v>
      </c>
      <c r="P21" s="147">
        <f>IF((AND($E$3="MCS",$E$4="TODOS CRs")),
SUMIFS('2026'!$K:$K,'2026'!$R:$R,$E$3&amp;$C21,'2026'!$U:$U,P$6),
SUMIFS('2026'!$K:$K,'2026'!$N:$N,$E$3&amp;$C21&amp;$E$4,'2026'!$U:$U,P$6))</f>
        <v>0</v>
      </c>
      <c r="Q21" s="147">
        <f>IF((AND($E$3="MCS",$E$4="TODOS CRs")),
SUMIFS('2026'!$K:$K,'2026'!$R:$R,$E$3&amp;$C21,'2026'!$U:$U,Q$6),
SUMIFS('2026'!$K:$K,'2026'!$N:$N,$E$3&amp;$C21&amp;$E$4,'2026'!$U:$U,Q$6))</f>
        <v>0</v>
      </c>
    </row>
    <row r="22" spans="1:17" s="142" customFormat="1" ht="15" customHeight="1" x14ac:dyDescent="0.25">
      <c r="A22" s="135"/>
      <c r="B22" s="143" t="s">
        <v>781</v>
      </c>
      <c r="C22" s="143" t="s">
        <v>724</v>
      </c>
      <c r="D22" s="144" t="s">
        <v>753</v>
      </c>
      <c r="E22" s="145">
        <f t="shared" si="18"/>
        <v>0</v>
      </c>
      <c r="F22" s="146">
        <f>IF((AND($E$3="MCS",$E$4="TODOS CRs")),
SUMIFS('2026'!$K:$K,'2026'!$R:$R,$E$3&amp;$C22,'2026'!$U:$U,F$6),
SUMIFS('2026'!$K:$K,'2026'!$N:$N,$E$3&amp;$C22&amp;$E$4,'2026'!$U:$U,F$6))</f>
        <v>0</v>
      </c>
      <c r="G22" s="147">
        <f>IF((AND($E$3="MCS",$E$4="TODOS CRs")),
SUMIFS('2026'!$K:$K,'2026'!$R:$R,$E$3&amp;$C22,'2026'!$U:$U,G$6),
SUMIFS('2026'!$K:$K,'2026'!$N:$N,$E$3&amp;$C22&amp;$E$4,'2026'!$U:$U,G$6))</f>
        <v>0</v>
      </c>
      <c r="H22" s="147">
        <f>IF((AND($E$3="MCS",$E$4="TODOS CRs")),
SUMIFS('2026'!$K:$K,'2026'!$R:$R,$E$3&amp;$C22,'2026'!$U:$U,H$6),
SUMIFS('2026'!$K:$K,'2026'!$N:$N,$E$3&amp;$C22&amp;$E$4,'2026'!$U:$U,H$6))</f>
        <v>0</v>
      </c>
      <c r="I22" s="147">
        <f>IF((AND($E$3="MCS",$E$4="TODOS CRs")),
SUMIFS('2026'!$K:$K,'2026'!$R:$R,$E$3&amp;$C22,'2026'!$U:$U,I$6),
SUMIFS('2026'!$K:$K,'2026'!$N:$N,$E$3&amp;$C22&amp;$E$4,'2026'!$U:$U,I$6))</f>
        <v>0</v>
      </c>
      <c r="J22" s="147">
        <f>IF((AND($E$3="MCS",$E$4="TODOS CRs")),
SUMIFS('2026'!$K:$K,'2026'!$R:$R,$E$3&amp;$C22,'2026'!$U:$U,J$6),
SUMIFS('2026'!$K:$K,'2026'!$N:$N,$E$3&amp;$C22&amp;$E$4,'2026'!$U:$U,J$6))</f>
        <v>0</v>
      </c>
      <c r="K22" s="147">
        <f>IF((AND($E$3="MCS",$E$4="TODOS CRs")),
SUMIFS('2026'!$K:$K,'2026'!$R:$R,$E$3&amp;$C22,'2026'!$U:$U,K$6),
SUMIFS('2026'!$K:$K,'2026'!$N:$N,$E$3&amp;$C22&amp;$E$4,'2026'!$U:$U,K$6))</f>
        <v>0</v>
      </c>
      <c r="L22" s="147">
        <f>IF((AND($E$3="MCS",$E$4="TODOS CRs")),
SUMIFS('2026'!$K:$K,'2026'!$R:$R,$E$3&amp;$C22,'2026'!$U:$U,L$6),
SUMIFS('2026'!$K:$K,'2026'!$N:$N,$E$3&amp;$C22&amp;$E$4,'2026'!$U:$U,L$6))</f>
        <v>0</v>
      </c>
      <c r="M22" s="147">
        <f>IF((AND($E$3="MCS",$E$4="TODOS CRs")),
SUMIFS('2026'!$K:$K,'2026'!$R:$R,$E$3&amp;$C22,'2026'!$U:$U,M$6),
SUMIFS('2026'!$K:$K,'2026'!$N:$N,$E$3&amp;$C22&amp;$E$4,'2026'!$U:$U,M$6))</f>
        <v>0</v>
      </c>
      <c r="N22" s="147">
        <f>IF((AND($E$3="MCS",$E$4="TODOS CRs")),
SUMIFS('2026'!$K:$K,'2026'!$R:$R,$E$3&amp;$C22,'2026'!$U:$U,N$6),
SUMIFS('2026'!$K:$K,'2026'!$N:$N,$E$3&amp;$C22&amp;$E$4,'2026'!$U:$U,N$6))</f>
        <v>0</v>
      </c>
      <c r="O22" s="147">
        <f>IF((AND($E$3="MCS",$E$4="TODOS CRs")),
SUMIFS('2026'!$K:$K,'2026'!$R:$R,$E$3&amp;$C22,'2026'!$U:$U,O$6),
SUMIFS('2026'!$K:$K,'2026'!$N:$N,$E$3&amp;$C22&amp;$E$4,'2026'!$U:$U,O$6))</f>
        <v>0</v>
      </c>
      <c r="P22" s="147">
        <f>IF((AND($E$3="MCS",$E$4="TODOS CRs")),
SUMIFS('2026'!$K:$K,'2026'!$R:$R,$E$3&amp;$C22,'2026'!$U:$U,P$6),
SUMIFS('2026'!$K:$K,'2026'!$N:$N,$E$3&amp;$C22&amp;$E$4,'2026'!$U:$U,P$6))</f>
        <v>0</v>
      </c>
      <c r="Q22" s="147">
        <f>IF((AND($E$3="MCS",$E$4="TODOS CRs")),
SUMIFS('2026'!$K:$K,'2026'!$R:$R,$E$3&amp;$C22,'2026'!$U:$U,Q$6),
SUMIFS('2026'!$K:$K,'2026'!$N:$N,$E$3&amp;$C22&amp;$E$4,'2026'!$U:$U,Q$6))</f>
        <v>0</v>
      </c>
    </row>
    <row r="23" spans="1:17" s="142" customFormat="1" ht="15" customHeight="1" x14ac:dyDescent="0.25">
      <c r="A23" s="135"/>
      <c r="B23" s="143" t="s">
        <v>781</v>
      </c>
      <c r="C23" s="143" t="s">
        <v>732</v>
      </c>
      <c r="D23" s="144" t="s">
        <v>752</v>
      </c>
      <c r="E23" s="145">
        <f t="shared" si="18"/>
        <v>0</v>
      </c>
      <c r="F23" s="146">
        <f>IF((AND($E$3="MCS",$E$4="TODOS CRs")),
SUMIFS('2026'!$K:$K,'2026'!$R:$R,$E$3&amp;$C23,'2026'!$U:$U,F$6),
SUMIFS('2026'!$K:$K,'2026'!$N:$N,$E$3&amp;$C23&amp;$E$4,'2026'!$U:$U,F$6))</f>
        <v>0</v>
      </c>
      <c r="G23" s="147">
        <f>IF((AND($E$3="MCS",$E$4="TODOS CRs")),
SUMIFS('2026'!$K:$K,'2026'!$R:$R,$E$3&amp;$C23,'2026'!$U:$U,G$6),
SUMIFS('2026'!$K:$K,'2026'!$N:$N,$E$3&amp;$C23&amp;$E$4,'2026'!$U:$U,G$6))</f>
        <v>0</v>
      </c>
      <c r="H23" s="147">
        <f>IF((AND($E$3="MCS",$E$4="TODOS CRs")),
SUMIFS('2026'!$K:$K,'2026'!$R:$R,$E$3&amp;$C23,'2026'!$U:$U,H$6),
SUMIFS('2026'!$K:$K,'2026'!$N:$N,$E$3&amp;$C23&amp;$E$4,'2026'!$U:$U,H$6))</f>
        <v>0</v>
      </c>
      <c r="I23" s="147">
        <f>IF((AND($E$3="MCS",$E$4="TODOS CRs")),
SUMIFS('2026'!$K:$K,'2026'!$R:$R,$E$3&amp;$C23,'2026'!$U:$U,I$6),
SUMIFS('2026'!$K:$K,'2026'!$N:$N,$E$3&amp;$C23&amp;$E$4,'2026'!$U:$U,I$6))</f>
        <v>0</v>
      </c>
      <c r="J23" s="147">
        <f>IF((AND($E$3="MCS",$E$4="TODOS CRs")),
SUMIFS('2026'!$K:$K,'2026'!$R:$R,$E$3&amp;$C23,'2026'!$U:$U,J$6),
SUMIFS('2026'!$K:$K,'2026'!$N:$N,$E$3&amp;$C23&amp;$E$4,'2026'!$U:$U,J$6))</f>
        <v>0</v>
      </c>
      <c r="K23" s="147">
        <f>IF((AND($E$3="MCS",$E$4="TODOS CRs")),
SUMIFS('2026'!$K:$K,'2026'!$R:$R,$E$3&amp;$C23,'2026'!$U:$U,K$6),
SUMIFS('2026'!$K:$K,'2026'!$N:$N,$E$3&amp;$C23&amp;$E$4,'2026'!$U:$U,K$6))</f>
        <v>0</v>
      </c>
      <c r="L23" s="147">
        <f>IF((AND($E$3="MCS",$E$4="TODOS CRs")),
SUMIFS('2026'!$K:$K,'2026'!$R:$R,$E$3&amp;$C23,'2026'!$U:$U,L$6),
SUMIFS('2026'!$K:$K,'2026'!$N:$N,$E$3&amp;$C23&amp;$E$4,'2026'!$U:$U,L$6))</f>
        <v>0</v>
      </c>
      <c r="M23" s="147">
        <f>IF((AND($E$3="MCS",$E$4="TODOS CRs")),
SUMIFS('2026'!$K:$K,'2026'!$R:$R,$E$3&amp;$C23,'2026'!$U:$U,M$6),
SUMIFS('2026'!$K:$K,'2026'!$N:$N,$E$3&amp;$C23&amp;$E$4,'2026'!$U:$U,M$6))</f>
        <v>0</v>
      </c>
      <c r="N23" s="147">
        <f>IF((AND($E$3="MCS",$E$4="TODOS CRs")),
SUMIFS('2026'!$K:$K,'2026'!$R:$R,$E$3&amp;$C23,'2026'!$U:$U,N$6),
SUMIFS('2026'!$K:$K,'2026'!$N:$N,$E$3&amp;$C23&amp;$E$4,'2026'!$U:$U,N$6))</f>
        <v>0</v>
      </c>
      <c r="O23" s="147">
        <f>IF((AND($E$3="MCS",$E$4="TODOS CRs")),
SUMIFS('2026'!$K:$K,'2026'!$R:$R,$E$3&amp;$C23,'2026'!$U:$U,O$6),
SUMIFS('2026'!$K:$K,'2026'!$N:$N,$E$3&amp;$C23&amp;$E$4,'2026'!$U:$U,O$6))</f>
        <v>0</v>
      </c>
      <c r="P23" s="147">
        <f>IF((AND($E$3="MCS",$E$4="TODOS CRs")),
SUMIFS('2026'!$K:$K,'2026'!$R:$R,$E$3&amp;$C23,'2026'!$U:$U,P$6),
SUMIFS('2026'!$K:$K,'2026'!$N:$N,$E$3&amp;$C23&amp;$E$4,'2026'!$U:$U,P$6))</f>
        <v>0</v>
      </c>
      <c r="Q23" s="147">
        <f>IF((AND($E$3="MCS",$E$4="TODOS CRs")),
SUMIFS('2026'!$K:$K,'2026'!$R:$R,$E$3&amp;$C23,'2026'!$U:$U,Q$6),
SUMIFS('2026'!$K:$K,'2026'!$N:$N,$E$3&amp;$C23&amp;$E$4,'2026'!$U:$U,Q$6))</f>
        <v>0</v>
      </c>
    </row>
    <row r="24" spans="1:17" s="142" customFormat="1" ht="15" customHeight="1" x14ac:dyDescent="0.25">
      <c r="A24" s="135"/>
      <c r="B24" s="136" t="s">
        <v>782</v>
      </c>
      <c r="C24" s="136" t="s">
        <v>762</v>
      </c>
      <c r="D24" s="137" t="s">
        <v>742</v>
      </c>
      <c r="E24" s="138">
        <f t="shared" si="18"/>
        <v>0</v>
      </c>
      <c r="F24" s="139">
        <f>IF((AND($E$3="MCS",$E$4="TODOS CRs")),
SUMIFS('2026'!$K:$K,'2026'!$R:$R,$E$3&amp;$C24,'2026'!$U:$U,F$6),
SUMIFS('2026'!$K:$K,'2026'!$N:$N,$E$3&amp;$C24&amp;$E$4,'2026'!$U:$U,F$6))</f>
        <v>0</v>
      </c>
      <c r="G24" s="140">
        <f>IF((AND($E$3="MCS",$E$4="TODOS CRs")),
SUMIFS('2026'!$K:$K,'2026'!$R:$R,$E$3&amp;$C24,'2026'!$U:$U,G$6),
SUMIFS('2026'!$K:$K,'2026'!$N:$N,$E$3&amp;$C24&amp;$E$4,'2026'!$U:$U,G$6))</f>
        <v>0</v>
      </c>
      <c r="H24" s="140">
        <f>IF((AND($E$3="MCS",$E$4="TODOS CRs")),
SUMIFS('2026'!$K:$K,'2026'!$R:$R,$E$3&amp;$C24,'2026'!$U:$U,H$6),
SUMIFS('2026'!$K:$K,'2026'!$N:$N,$E$3&amp;$C24&amp;$E$4,'2026'!$U:$U,H$6))</f>
        <v>0</v>
      </c>
      <c r="I24" s="140">
        <f>IF((AND($E$3="MCS",$E$4="TODOS CRs")),
SUMIFS('2026'!$K:$K,'2026'!$R:$R,$E$3&amp;$C24,'2026'!$U:$U,I$6),
SUMIFS('2026'!$K:$K,'2026'!$N:$N,$E$3&amp;$C24&amp;$E$4,'2026'!$U:$U,I$6))</f>
        <v>0</v>
      </c>
      <c r="J24" s="140">
        <f>IF((AND($E$3="MCS",$E$4="TODOS CRs")),
SUMIFS('2026'!$K:$K,'2026'!$R:$R,$E$3&amp;$C24,'2026'!$U:$U,J$6),
SUMIFS('2026'!$K:$K,'2026'!$N:$N,$E$3&amp;$C24&amp;$E$4,'2026'!$U:$U,J$6))</f>
        <v>0</v>
      </c>
      <c r="K24" s="140">
        <f>IF((AND($E$3="MCS",$E$4="TODOS CRs")),
SUMIFS('2026'!$K:$K,'2026'!$R:$R,$E$3&amp;$C24,'2026'!$U:$U,K$6),
SUMIFS('2026'!$K:$K,'2026'!$N:$N,$E$3&amp;$C24&amp;$E$4,'2026'!$U:$U,K$6))</f>
        <v>0</v>
      </c>
      <c r="L24" s="140">
        <f>IF((AND($E$3="MCS",$E$4="TODOS CRs")),
SUMIFS('2026'!$K:$K,'2026'!$R:$R,$E$3&amp;$C24,'2026'!$U:$U,L$6),
SUMIFS('2026'!$K:$K,'2026'!$N:$N,$E$3&amp;$C24&amp;$E$4,'2026'!$U:$U,L$6))</f>
        <v>0</v>
      </c>
      <c r="M24" s="140">
        <f>IF((AND($E$3="MCS",$E$4="TODOS CRs")),
SUMIFS('2026'!$K:$K,'2026'!$R:$R,$E$3&amp;$C24,'2026'!$U:$U,M$6),
SUMIFS('2026'!$K:$K,'2026'!$N:$N,$E$3&amp;$C24&amp;$E$4,'2026'!$U:$U,M$6))</f>
        <v>0</v>
      </c>
      <c r="N24" s="140">
        <f>IF((AND($E$3="MCS",$E$4="TODOS CRs")),
SUMIFS('2026'!$K:$K,'2026'!$R:$R,$E$3&amp;$C24,'2026'!$U:$U,N$6),
SUMIFS('2026'!$K:$K,'2026'!$N:$N,$E$3&amp;$C24&amp;$E$4,'2026'!$U:$U,N$6))</f>
        <v>0</v>
      </c>
      <c r="O24" s="140">
        <f>IF((AND($E$3="MCS",$E$4="TODOS CRs")),
SUMIFS('2026'!$K:$K,'2026'!$R:$R,$E$3&amp;$C24,'2026'!$U:$U,O$6),
SUMIFS('2026'!$K:$K,'2026'!$N:$N,$E$3&amp;$C24&amp;$E$4,'2026'!$U:$U,O$6))</f>
        <v>0</v>
      </c>
      <c r="P24" s="140">
        <f>IF((AND($E$3="MCS",$E$4="TODOS CRs")),
SUMIFS('2026'!$K:$K,'2026'!$R:$R,$E$3&amp;$C24,'2026'!$U:$U,P$6),
SUMIFS('2026'!$K:$K,'2026'!$N:$N,$E$3&amp;$C24&amp;$E$4,'2026'!$U:$U,P$6))</f>
        <v>0</v>
      </c>
      <c r="Q24" s="140">
        <f>IF((AND($E$3="MCS",$E$4="TODOS CRs")),
SUMIFS('2026'!$K:$K,'2026'!$R:$R,$E$3&amp;$C24,'2026'!$U:$U,Q$6),
SUMIFS('2026'!$K:$K,'2026'!$N:$N,$E$3&amp;$C24&amp;$E$4,'2026'!$U:$U,Q$6))</f>
        <v>0</v>
      </c>
    </row>
    <row r="25" spans="1:17" s="142" customFormat="1" ht="15" customHeight="1" x14ac:dyDescent="0.25">
      <c r="A25" s="135"/>
      <c r="B25" s="136" t="s">
        <v>782</v>
      </c>
      <c r="C25" s="136" t="s">
        <v>763</v>
      </c>
      <c r="D25" s="137" t="s">
        <v>743</v>
      </c>
      <c r="E25" s="138">
        <f t="shared" si="18"/>
        <v>0</v>
      </c>
      <c r="F25" s="139">
        <f>IF((AND($E$3="MCS",$E$4="TODOS CRs")),
SUMIFS('2026'!$K:$K,'2026'!$R:$R,$E$3&amp;$C25,'2026'!$U:$U,F$6),
SUMIFS('2026'!$K:$K,'2026'!$N:$N,$E$3&amp;$C25&amp;$E$4,'2026'!$U:$U,F$6))</f>
        <v>0</v>
      </c>
      <c r="G25" s="140">
        <f>IF((AND($E$3="MCS",$E$4="TODOS CRs")),
SUMIFS('2026'!$K:$K,'2026'!$R:$R,$E$3&amp;$C25,'2026'!$U:$U,G$6),
SUMIFS('2026'!$K:$K,'2026'!$N:$N,$E$3&amp;$C25&amp;$E$4,'2026'!$U:$U,G$6))</f>
        <v>0</v>
      </c>
      <c r="H25" s="140">
        <f>IF((AND($E$3="MCS",$E$4="TODOS CRs")),
SUMIFS('2026'!$K:$K,'2026'!$R:$R,$E$3&amp;$C25,'2026'!$U:$U,H$6),
SUMIFS('2026'!$K:$K,'2026'!$N:$N,$E$3&amp;$C25&amp;$E$4,'2026'!$U:$U,H$6))</f>
        <v>0</v>
      </c>
      <c r="I25" s="140">
        <f>IF((AND($E$3="MCS",$E$4="TODOS CRs")),
SUMIFS('2026'!$K:$K,'2026'!$R:$R,$E$3&amp;$C25,'2026'!$U:$U,I$6),
SUMIFS('2026'!$K:$K,'2026'!$N:$N,$E$3&amp;$C25&amp;$E$4,'2026'!$U:$U,I$6))</f>
        <v>0</v>
      </c>
      <c r="J25" s="140">
        <f>IF((AND($E$3="MCS",$E$4="TODOS CRs")),
SUMIFS('2026'!$K:$K,'2026'!$R:$R,$E$3&amp;$C25,'2026'!$U:$U,J$6),
SUMIFS('2026'!$K:$K,'2026'!$N:$N,$E$3&amp;$C25&amp;$E$4,'2026'!$U:$U,J$6))</f>
        <v>0</v>
      </c>
      <c r="K25" s="140">
        <f>IF((AND($E$3="MCS",$E$4="TODOS CRs")),
SUMIFS('2026'!$K:$K,'2026'!$R:$R,$E$3&amp;$C25,'2026'!$U:$U,K$6),
SUMIFS('2026'!$K:$K,'2026'!$N:$N,$E$3&amp;$C25&amp;$E$4,'2026'!$U:$U,K$6))</f>
        <v>0</v>
      </c>
      <c r="L25" s="140">
        <f>IF((AND($E$3="MCS",$E$4="TODOS CRs")),
SUMIFS('2026'!$K:$K,'2026'!$R:$R,$E$3&amp;$C25,'2026'!$U:$U,L$6),
SUMIFS('2026'!$K:$K,'2026'!$N:$N,$E$3&amp;$C25&amp;$E$4,'2026'!$U:$U,L$6))</f>
        <v>0</v>
      </c>
      <c r="M25" s="140">
        <f>IF((AND($E$3="MCS",$E$4="TODOS CRs")),
SUMIFS('2026'!$K:$K,'2026'!$R:$R,$E$3&amp;$C25,'2026'!$U:$U,M$6),
SUMIFS('2026'!$K:$K,'2026'!$N:$N,$E$3&amp;$C25&amp;$E$4,'2026'!$U:$U,M$6))</f>
        <v>0</v>
      </c>
      <c r="N25" s="140">
        <f>IF((AND($E$3="MCS",$E$4="TODOS CRs")),
SUMIFS('2026'!$K:$K,'2026'!$R:$R,$E$3&amp;$C25,'2026'!$U:$U,N$6),
SUMIFS('2026'!$K:$K,'2026'!$N:$N,$E$3&amp;$C25&amp;$E$4,'2026'!$U:$U,N$6))</f>
        <v>0</v>
      </c>
      <c r="O25" s="140">
        <f>IF((AND($E$3="MCS",$E$4="TODOS CRs")),
SUMIFS('2026'!$K:$K,'2026'!$R:$R,$E$3&amp;$C25,'2026'!$U:$U,O$6),
SUMIFS('2026'!$K:$K,'2026'!$N:$N,$E$3&amp;$C25&amp;$E$4,'2026'!$U:$U,O$6))</f>
        <v>0</v>
      </c>
      <c r="P25" s="140">
        <f>IF((AND($E$3="MCS",$E$4="TODOS CRs")),
SUMIFS('2026'!$K:$K,'2026'!$R:$R,$E$3&amp;$C25,'2026'!$U:$U,P$6),
SUMIFS('2026'!$K:$K,'2026'!$N:$N,$E$3&amp;$C25&amp;$E$4,'2026'!$U:$U,P$6))</f>
        <v>0</v>
      </c>
      <c r="Q25" s="140">
        <f>IF((AND($E$3="MCS",$E$4="TODOS CRs")),
SUMIFS('2026'!$K:$K,'2026'!$R:$R,$E$3&amp;$C25,'2026'!$U:$U,Q$6),
SUMIFS('2026'!$K:$K,'2026'!$N:$N,$E$3&amp;$C25&amp;$E$4,'2026'!$U:$U,Q$6))</f>
        <v>0</v>
      </c>
    </row>
    <row r="26" spans="1:17" s="142" customFormat="1" ht="15" customHeight="1" x14ac:dyDescent="0.25">
      <c r="A26" s="135"/>
      <c r="B26" s="143" t="s">
        <v>783</v>
      </c>
      <c r="C26" s="143" t="s">
        <v>11</v>
      </c>
      <c r="D26" s="144" t="s">
        <v>713</v>
      </c>
      <c r="E26" s="145">
        <f t="shared" si="18"/>
        <v>0</v>
      </c>
      <c r="F26" s="146">
        <f>IF((AND($E$3="MCS",$E$4="TODOS CRs")),
SUMIFS('2026'!$K:$K,'2026'!$R:$R,$E$3&amp;$C26,'2026'!$U:$U,F$6),
SUMIFS('2026'!$K:$K,'2026'!$N:$N,$E$3&amp;$C26&amp;$E$4,'2026'!$U:$U,F$6))</f>
        <v>0</v>
      </c>
      <c r="G26" s="147">
        <f>IF((AND($E$3="MCS",$E$4="TODOS CRs")),
SUMIFS('2026'!$K:$K,'2026'!$R:$R,$E$3&amp;$C26,'2026'!$U:$U,G$6),
SUMIFS('2026'!$K:$K,'2026'!$N:$N,$E$3&amp;$C26&amp;$E$4,'2026'!$U:$U,G$6))</f>
        <v>0</v>
      </c>
      <c r="H26" s="147">
        <f>IF((AND($E$3="MCS",$E$4="TODOS CRs")),
SUMIFS('2026'!$K:$K,'2026'!$R:$R,$E$3&amp;$C26,'2026'!$U:$U,H$6),
SUMIFS('2026'!$K:$K,'2026'!$N:$N,$E$3&amp;$C26&amp;$E$4,'2026'!$U:$U,H$6))</f>
        <v>0</v>
      </c>
      <c r="I26" s="147">
        <f>IF((AND($E$3="MCS",$E$4="TODOS CRs")),
SUMIFS('2026'!$K:$K,'2026'!$R:$R,$E$3&amp;$C26,'2026'!$U:$U,I$6),
SUMIFS('2026'!$K:$K,'2026'!$N:$N,$E$3&amp;$C26&amp;$E$4,'2026'!$U:$U,I$6))</f>
        <v>0</v>
      </c>
      <c r="J26" s="147">
        <f>IF((AND($E$3="MCS",$E$4="TODOS CRs")),
SUMIFS('2026'!$K:$K,'2026'!$R:$R,$E$3&amp;$C26,'2026'!$U:$U,J$6),
SUMIFS('2026'!$K:$K,'2026'!$N:$N,$E$3&amp;$C26&amp;$E$4,'2026'!$U:$U,J$6))</f>
        <v>0</v>
      </c>
      <c r="K26" s="147">
        <f>IF((AND($E$3="MCS",$E$4="TODOS CRs")),
SUMIFS('2026'!$K:$K,'2026'!$R:$R,$E$3&amp;$C26,'2026'!$U:$U,K$6),
SUMIFS('2026'!$K:$K,'2026'!$N:$N,$E$3&amp;$C26&amp;$E$4,'2026'!$U:$U,K$6))</f>
        <v>0</v>
      </c>
      <c r="L26" s="147">
        <f>IF((AND($E$3="MCS",$E$4="TODOS CRs")),
SUMIFS('2026'!$K:$K,'2026'!$R:$R,$E$3&amp;$C26,'2026'!$U:$U,L$6),
SUMIFS('2026'!$K:$K,'2026'!$N:$N,$E$3&amp;$C26&amp;$E$4,'2026'!$U:$U,L$6))</f>
        <v>0</v>
      </c>
      <c r="M26" s="147">
        <f>IF((AND($E$3="MCS",$E$4="TODOS CRs")),
SUMIFS('2026'!$K:$K,'2026'!$R:$R,$E$3&amp;$C26,'2026'!$U:$U,M$6),
SUMIFS('2026'!$K:$K,'2026'!$N:$N,$E$3&amp;$C26&amp;$E$4,'2026'!$U:$U,M$6))</f>
        <v>0</v>
      </c>
      <c r="N26" s="147">
        <f>IF((AND($E$3="MCS",$E$4="TODOS CRs")),
SUMIFS('2026'!$K:$K,'2026'!$R:$R,$E$3&amp;$C26,'2026'!$U:$U,N$6),
SUMIFS('2026'!$K:$K,'2026'!$N:$N,$E$3&amp;$C26&amp;$E$4,'2026'!$U:$U,N$6))</f>
        <v>0</v>
      </c>
      <c r="O26" s="147">
        <f>IF((AND($E$3="MCS",$E$4="TODOS CRs")),
SUMIFS('2026'!$K:$K,'2026'!$R:$R,$E$3&amp;$C26,'2026'!$U:$U,O$6),
SUMIFS('2026'!$K:$K,'2026'!$N:$N,$E$3&amp;$C26&amp;$E$4,'2026'!$U:$U,O$6))</f>
        <v>0</v>
      </c>
      <c r="P26" s="147">
        <f>IF((AND($E$3="MCS",$E$4="TODOS CRs")),
SUMIFS('2026'!$K:$K,'2026'!$R:$R,$E$3&amp;$C26,'2026'!$U:$U,P$6),
SUMIFS('2026'!$K:$K,'2026'!$N:$N,$E$3&amp;$C26&amp;$E$4,'2026'!$U:$U,P$6))</f>
        <v>0</v>
      </c>
      <c r="Q26" s="147">
        <f>IF((AND($E$3="MCS",$E$4="TODOS CRs")),
SUMIFS('2026'!$K:$K,'2026'!$R:$R,$E$3&amp;$C26,'2026'!$U:$U,Q$6),
SUMIFS('2026'!$K:$K,'2026'!$N:$N,$E$3&amp;$C26&amp;$E$4,'2026'!$U:$U,Q$6))</f>
        <v>0</v>
      </c>
    </row>
    <row r="27" spans="1:17" s="142" customFormat="1" ht="15" customHeight="1" x14ac:dyDescent="0.25">
      <c r="A27" s="135"/>
      <c r="B27" s="143" t="s">
        <v>783</v>
      </c>
      <c r="C27" s="143" t="s">
        <v>714</v>
      </c>
      <c r="D27" s="144" t="s">
        <v>751</v>
      </c>
      <c r="E27" s="145">
        <f t="shared" si="18"/>
        <v>0</v>
      </c>
      <c r="F27" s="146">
        <f>IF((AND($E$3="MCS",$E$4="TODOS CRs")),
SUMIFS('2026'!$K:$K,'2026'!$R:$R,$E$3&amp;$C27,'2026'!$U:$U,F$6),
SUMIFS('2026'!$K:$K,'2026'!$N:$N,$E$3&amp;$C27&amp;$E$4,'2026'!$U:$U,F$6))</f>
        <v>0</v>
      </c>
      <c r="G27" s="147">
        <f>IF((AND($E$3="MCS",$E$4="TODOS CRs")),
SUMIFS('2026'!$K:$K,'2026'!$R:$R,$E$3&amp;$C27,'2026'!$U:$U,G$6),
SUMIFS('2026'!$K:$K,'2026'!$N:$N,$E$3&amp;$C27&amp;$E$4,'2026'!$U:$U,G$6))</f>
        <v>0</v>
      </c>
      <c r="H27" s="147">
        <f>IF((AND($E$3="MCS",$E$4="TODOS CRs")),
SUMIFS('2026'!$K:$K,'2026'!$R:$R,$E$3&amp;$C27,'2026'!$U:$U,H$6),
SUMIFS('2026'!$K:$K,'2026'!$N:$N,$E$3&amp;$C27&amp;$E$4,'2026'!$U:$U,H$6))</f>
        <v>0</v>
      </c>
      <c r="I27" s="147">
        <f>IF((AND($E$3="MCS",$E$4="TODOS CRs")),
SUMIFS('2026'!$K:$K,'2026'!$R:$R,$E$3&amp;$C27,'2026'!$U:$U,I$6),
SUMIFS('2026'!$K:$K,'2026'!$N:$N,$E$3&amp;$C27&amp;$E$4,'2026'!$U:$U,I$6))</f>
        <v>0</v>
      </c>
      <c r="J27" s="147">
        <f>IF((AND($E$3="MCS",$E$4="TODOS CRs")),
SUMIFS('2026'!$K:$K,'2026'!$R:$R,$E$3&amp;$C27,'2026'!$U:$U,J$6),
SUMIFS('2026'!$K:$K,'2026'!$N:$N,$E$3&amp;$C27&amp;$E$4,'2026'!$U:$U,J$6))</f>
        <v>0</v>
      </c>
      <c r="K27" s="147">
        <f>IF((AND($E$3="MCS",$E$4="TODOS CRs")),
SUMIFS('2026'!$K:$K,'2026'!$R:$R,$E$3&amp;$C27,'2026'!$U:$U,K$6),
SUMIFS('2026'!$K:$K,'2026'!$N:$N,$E$3&amp;$C27&amp;$E$4,'2026'!$U:$U,K$6))</f>
        <v>0</v>
      </c>
      <c r="L27" s="147">
        <f>IF((AND($E$3="MCS",$E$4="TODOS CRs")),
SUMIFS('2026'!$K:$K,'2026'!$R:$R,$E$3&amp;$C27,'2026'!$U:$U,L$6),
SUMIFS('2026'!$K:$K,'2026'!$N:$N,$E$3&amp;$C27&amp;$E$4,'2026'!$U:$U,L$6))</f>
        <v>0</v>
      </c>
      <c r="M27" s="147">
        <f>IF((AND($E$3="MCS",$E$4="TODOS CRs")),
SUMIFS('2026'!$K:$K,'2026'!$R:$R,$E$3&amp;$C27,'2026'!$U:$U,M$6),
SUMIFS('2026'!$K:$K,'2026'!$N:$N,$E$3&amp;$C27&amp;$E$4,'2026'!$U:$U,M$6))</f>
        <v>0</v>
      </c>
      <c r="N27" s="147">
        <f>IF((AND($E$3="MCS",$E$4="TODOS CRs")),
SUMIFS('2026'!$K:$K,'2026'!$R:$R,$E$3&amp;$C27,'2026'!$U:$U,N$6),
SUMIFS('2026'!$K:$K,'2026'!$N:$N,$E$3&amp;$C27&amp;$E$4,'2026'!$U:$U,N$6))</f>
        <v>0</v>
      </c>
      <c r="O27" s="147">
        <f>IF((AND($E$3="MCS",$E$4="TODOS CRs")),
SUMIFS('2026'!$K:$K,'2026'!$R:$R,$E$3&amp;$C27,'2026'!$U:$U,O$6),
SUMIFS('2026'!$K:$K,'2026'!$N:$N,$E$3&amp;$C27&amp;$E$4,'2026'!$U:$U,O$6))</f>
        <v>0</v>
      </c>
      <c r="P27" s="147">
        <f>IF((AND($E$3="MCS",$E$4="TODOS CRs")),
SUMIFS('2026'!$K:$K,'2026'!$R:$R,$E$3&amp;$C27,'2026'!$U:$U,P$6),
SUMIFS('2026'!$K:$K,'2026'!$N:$N,$E$3&amp;$C27&amp;$E$4,'2026'!$U:$U,P$6))</f>
        <v>0</v>
      </c>
      <c r="Q27" s="147">
        <f>IF((AND($E$3="MCS",$E$4="TODOS CRs")),
SUMIFS('2026'!$K:$K,'2026'!$R:$R,$E$3&amp;$C27,'2026'!$U:$U,Q$6),
SUMIFS('2026'!$K:$K,'2026'!$N:$N,$E$3&amp;$C27&amp;$E$4,'2026'!$U:$U,Q$6))</f>
        <v>0</v>
      </c>
    </row>
    <row r="28" spans="1:17" s="142" customFormat="1" ht="15" customHeight="1" x14ac:dyDescent="0.25">
      <c r="A28" s="135"/>
      <c r="B28" s="143" t="s">
        <v>783</v>
      </c>
      <c r="C28" s="143" t="s">
        <v>938</v>
      </c>
      <c r="D28" s="144" t="s">
        <v>751</v>
      </c>
      <c r="E28" s="145">
        <f t="shared" si="18"/>
        <v>0</v>
      </c>
      <c r="F28" s="146">
        <f>IF((AND($E$3="MCS",$E$4="TODOS CRs")),
SUMIFS('2026'!$K:$K,'2026'!$R:$R,$E$3&amp;$C28,'2026'!$U:$U,F$6),
SUMIFS('2026'!$K:$K,'2026'!$N:$N,$E$3&amp;$C28&amp;$E$4,'2026'!$U:$U,F$6))</f>
        <v>0</v>
      </c>
      <c r="G28" s="147">
        <f>IF((AND($E$3="MCS",$E$4="TODOS CRs")),
SUMIFS('2026'!$K:$K,'2026'!$R:$R,$E$3&amp;$C28,'2026'!$U:$U,G$6),
SUMIFS('2026'!$K:$K,'2026'!$N:$N,$E$3&amp;$C28&amp;$E$4,'2026'!$U:$U,G$6))</f>
        <v>0</v>
      </c>
      <c r="H28" s="147">
        <f>IF((AND($E$3="MCS",$E$4="TODOS CRs")),
SUMIFS('2026'!$K:$K,'2026'!$R:$R,$E$3&amp;$C28,'2026'!$U:$U,H$6),
SUMIFS('2026'!$K:$K,'2026'!$N:$N,$E$3&amp;$C28&amp;$E$4,'2026'!$U:$U,H$6))</f>
        <v>0</v>
      </c>
      <c r="I28" s="147">
        <f>IF((AND($E$3="MCS",$E$4="TODOS CRs")),
SUMIFS('2026'!$K:$K,'2026'!$R:$R,$E$3&amp;$C28,'2026'!$U:$U,I$6),
SUMIFS('2026'!$K:$K,'2026'!$N:$N,$E$3&amp;$C28&amp;$E$4,'2026'!$U:$U,I$6))</f>
        <v>0</v>
      </c>
      <c r="J28" s="147">
        <f>IF((AND($E$3="MCS",$E$4="TODOS CRs")),
SUMIFS('2026'!$K:$K,'2026'!$R:$R,$E$3&amp;$C28,'2026'!$U:$U,J$6),
SUMIFS('2026'!$K:$K,'2026'!$N:$N,$E$3&amp;$C28&amp;$E$4,'2026'!$U:$U,J$6))</f>
        <v>0</v>
      </c>
      <c r="K28" s="147">
        <f>IF((AND($E$3="MCS",$E$4="TODOS CRs")),
SUMIFS('2026'!$K:$K,'2026'!$R:$R,$E$3&amp;$C28,'2026'!$U:$U,K$6),
SUMIFS('2026'!$K:$K,'2026'!$N:$N,$E$3&amp;$C28&amp;$E$4,'2026'!$U:$U,K$6))</f>
        <v>0</v>
      </c>
      <c r="L28" s="147">
        <f>IF((AND($E$3="MCS",$E$4="TODOS CRs")),
SUMIFS('2026'!$K:$K,'2026'!$R:$R,$E$3&amp;$C28,'2026'!$U:$U,L$6),
SUMIFS('2026'!$K:$K,'2026'!$N:$N,$E$3&amp;$C28&amp;$E$4,'2026'!$U:$U,L$6))</f>
        <v>0</v>
      </c>
      <c r="M28" s="147">
        <f>IF((AND($E$3="MCS",$E$4="TODOS CRs")),
SUMIFS('2026'!$K:$K,'2026'!$R:$R,$E$3&amp;$C28,'2026'!$U:$U,M$6),
SUMIFS('2026'!$K:$K,'2026'!$N:$N,$E$3&amp;$C28&amp;$E$4,'2026'!$U:$U,M$6))</f>
        <v>0</v>
      </c>
      <c r="N28" s="147">
        <f>IF((AND($E$3="MCS",$E$4="TODOS CRs")),
SUMIFS('2026'!$K:$K,'2026'!$R:$R,$E$3&amp;$C28,'2026'!$U:$U,N$6),
SUMIFS('2026'!$K:$K,'2026'!$N:$N,$E$3&amp;$C28&amp;$E$4,'2026'!$U:$U,N$6))</f>
        <v>0</v>
      </c>
      <c r="O28" s="147">
        <f>IF((AND($E$3="MCS",$E$4="TODOS CRs")),
SUMIFS('2026'!$K:$K,'2026'!$R:$R,$E$3&amp;$C28,'2026'!$U:$U,O$6),
SUMIFS('2026'!$K:$K,'2026'!$N:$N,$E$3&amp;$C28&amp;$E$4,'2026'!$U:$U,O$6))</f>
        <v>0</v>
      </c>
      <c r="P28" s="147">
        <f>IF((AND($E$3="MCS",$E$4="TODOS CRs")),
SUMIFS('2026'!$K:$K,'2026'!$R:$R,$E$3&amp;$C28,'2026'!$U:$U,P$6),
SUMIFS('2026'!$K:$K,'2026'!$N:$N,$E$3&amp;$C28&amp;$E$4,'2026'!$U:$U,P$6))</f>
        <v>0</v>
      </c>
      <c r="Q28" s="147">
        <f>IF((AND($E$3="MCS",$E$4="TODOS CRs")),
SUMIFS('2026'!$K:$K,'2026'!$R:$R,$E$3&amp;$C28,'2026'!$U:$U,Q$6),
SUMIFS('2026'!$K:$K,'2026'!$N:$N,$E$3&amp;$C28&amp;$E$4,'2026'!$U:$U,Q$6))</f>
        <v>0</v>
      </c>
    </row>
    <row r="29" spans="1:17" s="142" customFormat="1" x14ac:dyDescent="0.25">
      <c r="A29" s="135"/>
      <c r="B29" s="136" t="s">
        <v>784</v>
      </c>
      <c r="C29" s="136" t="s">
        <v>10</v>
      </c>
      <c r="D29" s="137" t="s">
        <v>35</v>
      </c>
      <c r="E29" s="138">
        <f t="shared" si="18"/>
        <v>0</v>
      </c>
      <c r="F29" s="139">
        <f>IF((AND($E$3="MCS",$E$4="TODOS CRs")),
SUMIFS('2026'!$K:$K,'2026'!$R:$R,$E$3&amp;$C29,'2026'!$U:$U,F$6),
SUMIFS('2026'!$K:$K,'2026'!$N:$N,$E$3&amp;$C29&amp;$E$4,'2026'!$U:$U,F$6))</f>
        <v>0</v>
      </c>
      <c r="G29" s="148">
        <f>IF((AND($E$3="MCS",$E$4="TODOS CRs")),
SUMIFS('2026'!$K:$K,'2026'!$R:$R,$E$3&amp;$C29,'2026'!$U:$U,G$6),
SUMIFS('2026'!$K:$K,'2026'!$N:$N,$E$3&amp;$C29&amp;$E$4,'2026'!$U:$U,G$6))</f>
        <v>0</v>
      </c>
      <c r="H29" s="148">
        <f>IF((AND($E$3="MCS",$E$4="TODOS CRs")),
SUMIFS('2026'!$K:$K,'2026'!$R:$R,$E$3&amp;$C29,'2026'!$U:$U,H$6),
SUMIFS('2026'!$K:$K,'2026'!$N:$N,$E$3&amp;$C29&amp;$E$4,'2026'!$U:$U,H$6))</f>
        <v>0</v>
      </c>
      <c r="I29" s="148">
        <f>IF((AND($E$3="MCS",$E$4="TODOS CRs")),
SUMIFS('2026'!$K:$K,'2026'!$R:$R,$E$3&amp;$C29,'2026'!$U:$U,I$6),
SUMIFS('2026'!$K:$K,'2026'!$N:$N,$E$3&amp;$C29&amp;$E$4,'2026'!$U:$U,I$6))</f>
        <v>0</v>
      </c>
      <c r="J29" s="148">
        <f>IF((AND($E$3="MCS",$E$4="TODOS CRs")),
SUMIFS('2026'!$K:$K,'2026'!$R:$R,$E$3&amp;$C29,'2026'!$U:$U,J$6),
SUMIFS('2026'!$K:$K,'2026'!$N:$N,$E$3&amp;$C29&amp;$E$4,'2026'!$U:$U,J$6))</f>
        <v>0</v>
      </c>
      <c r="K29" s="148">
        <f>IF((AND($E$3="MCS",$E$4="TODOS CRs")),
SUMIFS('2026'!$K:$K,'2026'!$R:$R,$E$3&amp;$C29,'2026'!$U:$U,K$6),
SUMIFS('2026'!$K:$K,'2026'!$N:$N,$E$3&amp;$C29&amp;$E$4,'2026'!$U:$U,K$6))</f>
        <v>0</v>
      </c>
      <c r="L29" s="148">
        <f>IF((AND($E$3="MCS",$E$4="TODOS CRs")),
SUMIFS('2026'!$K:$K,'2026'!$R:$R,$E$3&amp;$C29,'2026'!$U:$U,L$6),
SUMIFS('2026'!$K:$K,'2026'!$N:$N,$E$3&amp;$C29&amp;$E$4,'2026'!$U:$U,L$6))</f>
        <v>0</v>
      </c>
      <c r="M29" s="148">
        <f>IF((AND($E$3="MCS",$E$4="TODOS CRs")),
SUMIFS('2026'!$K:$K,'2026'!$R:$R,$E$3&amp;$C29,'2026'!$U:$U,M$6),
SUMIFS('2026'!$K:$K,'2026'!$N:$N,$E$3&amp;$C29&amp;$E$4,'2026'!$U:$U,M$6))</f>
        <v>0</v>
      </c>
      <c r="N29" s="148">
        <f>IF((AND($E$3="MCS",$E$4="TODOS CRs")),
SUMIFS('2026'!$K:$K,'2026'!$R:$R,$E$3&amp;$C29,'2026'!$U:$U,N$6),
SUMIFS('2026'!$K:$K,'2026'!$N:$N,$E$3&amp;$C29&amp;$E$4,'2026'!$U:$U,N$6))</f>
        <v>0</v>
      </c>
      <c r="O29" s="148">
        <f>IF((AND($E$3="MCS",$E$4="TODOS CRs")),
SUMIFS('2026'!$K:$K,'2026'!$R:$R,$E$3&amp;$C29,'2026'!$U:$U,O$6),
SUMIFS('2026'!$K:$K,'2026'!$N:$N,$E$3&amp;$C29&amp;$E$4,'2026'!$U:$U,O$6))</f>
        <v>0</v>
      </c>
      <c r="P29" s="148">
        <f>IF((AND($E$3="MCS",$E$4="TODOS CRs")),
SUMIFS('2026'!$K:$K,'2026'!$R:$R,$E$3&amp;$C29,'2026'!$U:$U,P$6),
SUMIFS('2026'!$K:$K,'2026'!$N:$N,$E$3&amp;$C29&amp;$E$4,'2026'!$U:$U,P$6))</f>
        <v>0</v>
      </c>
      <c r="Q29" s="148">
        <f>IF((AND($E$3="MCS",$E$4="TODOS CRs")),
SUMIFS('2026'!$K:$K,'2026'!$R:$R,$E$3&amp;$C29,'2026'!$U:$U,Q$6),
SUMIFS('2026'!$K:$K,'2026'!$N:$N,$E$3&amp;$C29&amp;$E$4,'2026'!$U:$U,Q$6))</f>
        <v>0</v>
      </c>
    </row>
    <row r="30" spans="1:17" s="142" customFormat="1" x14ac:dyDescent="0.25">
      <c r="A30" s="135"/>
      <c r="B30" s="158" t="s">
        <v>785</v>
      </c>
      <c r="C30" s="158" t="s">
        <v>764</v>
      </c>
      <c r="D30" s="159" t="s">
        <v>748</v>
      </c>
      <c r="E30" s="160">
        <f t="shared" si="18"/>
        <v>0</v>
      </c>
      <c r="F30" s="161">
        <f>IF((AND($E$3="MCS",$E$4="TODOS CRs")),
SUMIFS('2026'!$K:$K,'2026'!$R:$R,$E$3&amp;$C30,'2026'!$U:$U,F$6),
SUMIFS('2026'!$K:$K,'2026'!$N:$N,$E$3&amp;$C30&amp;$E$4,'2026'!$U:$U,F$6))</f>
        <v>0</v>
      </c>
      <c r="G30" s="162">
        <f>IF((AND($E$3="MCS",$E$4="TODOS CRs")),
SUMIFS('2026'!$K:$K,'2026'!$R:$R,$E$3&amp;$C30,'2026'!$U:$U,G$6),
SUMIFS('2026'!$K:$K,'2026'!$N:$N,$E$3&amp;$C30&amp;$E$4,'2026'!$U:$U,G$6))</f>
        <v>0</v>
      </c>
      <c r="H30" s="162">
        <f>IF((AND($E$3="MCS",$E$4="TODOS CRs")),
SUMIFS('2026'!$K:$K,'2026'!$R:$R,$E$3&amp;$C30,'2026'!$U:$U,H$6),
SUMIFS('2026'!$K:$K,'2026'!$N:$N,$E$3&amp;$C30&amp;$E$4,'2026'!$U:$U,H$6))</f>
        <v>0</v>
      </c>
      <c r="I30" s="162">
        <f>IF((AND($E$3="MCS",$E$4="TODOS CRs")),
SUMIFS('2026'!$K:$K,'2026'!$R:$R,$E$3&amp;$C30,'2026'!$U:$U,I$6),
SUMIFS('2026'!$K:$K,'2026'!$N:$N,$E$3&amp;$C30&amp;$E$4,'2026'!$U:$U,I$6))</f>
        <v>0</v>
      </c>
      <c r="J30" s="162">
        <f>IF((AND($E$3="MCS",$E$4="TODOS CRs")),
SUMIFS('2026'!$K:$K,'2026'!$R:$R,$E$3&amp;$C30,'2026'!$U:$U,J$6),
SUMIFS('2026'!$K:$K,'2026'!$N:$N,$E$3&amp;$C30&amp;$E$4,'2026'!$U:$U,J$6))</f>
        <v>0</v>
      </c>
      <c r="K30" s="162">
        <f>IF((AND($E$3="MCS",$E$4="TODOS CRs")),
SUMIFS('2026'!$K:$K,'2026'!$R:$R,$E$3&amp;$C30,'2026'!$U:$U,K$6),
SUMIFS('2026'!$K:$K,'2026'!$N:$N,$E$3&amp;$C30&amp;$E$4,'2026'!$U:$U,K$6))</f>
        <v>0</v>
      </c>
      <c r="L30" s="162">
        <f>IF((AND($E$3="MCS",$E$4="TODOS CRs")),
SUMIFS('2026'!$K:$K,'2026'!$R:$R,$E$3&amp;$C30,'2026'!$U:$U,L$6),
SUMIFS('2026'!$K:$K,'2026'!$N:$N,$E$3&amp;$C30&amp;$E$4,'2026'!$U:$U,L$6))</f>
        <v>0</v>
      </c>
      <c r="M30" s="162">
        <f>IF((AND($E$3="MCS",$E$4="TODOS CRs")),
SUMIFS('2026'!$K:$K,'2026'!$R:$R,$E$3&amp;$C30,'2026'!$U:$U,M$6),
SUMIFS('2026'!$K:$K,'2026'!$N:$N,$E$3&amp;$C30&amp;$E$4,'2026'!$U:$U,M$6))</f>
        <v>0</v>
      </c>
      <c r="N30" s="162">
        <f>IF((AND($E$3="MCS",$E$4="TODOS CRs")),
SUMIFS('2026'!$K:$K,'2026'!$R:$R,$E$3&amp;$C30,'2026'!$U:$U,N$6),
SUMIFS('2026'!$K:$K,'2026'!$N:$N,$E$3&amp;$C30&amp;$E$4,'2026'!$U:$U,N$6))</f>
        <v>0</v>
      </c>
      <c r="O30" s="162">
        <f>IF((AND($E$3="MCS",$E$4="TODOS CRs")),
SUMIFS('2026'!$K:$K,'2026'!$R:$R,$E$3&amp;$C30,'2026'!$U:$U,O$6),
SUMIFS('2026'!$K:$K,'2026'!$N:$N,$E$3&amp;$C30&amp;$E$4,'2026'!$U:$U,O$6))</f>
        <v>0</v>
      </c>
      <c r="P30" s="162">
        <f>IF((AND($E$3="MCS",$E$4="TODOS CRs")),
SUMIFS('2026'!$K:$K,'2026'!$R:$R,$E$3&amp;$C30,'2026'!$U:$U,P$6),
SUMIFS('2026'!$K:$K,'2026'!$N:$N,$E$3&amp;$C30&amp;$E$4,'2026'!$U:$U,P$6))</f>
        <v>0</v>
      </c>
      <c r="Q30" s="162">
        <f>IF((AND($E$3="MCS",$E$4="TODOS CRs")),
SUMIFS('2026'!$K:$K,'2026'!$R:$R,$E$3&amp;$C30,'2026'!$U:$U,Q$6),
SUMIFS('2026'!$K:$K,'2026'!$N:$N,$E$3&amp;$C30&amp;$E$4,'2026'!$U:$U,Q$6))</f>
        <v>0</v>
      </c>
    </row>
    <row r="31" spans="1:17" s="142" customFormat="1" x14ac:dyDescent="0.25">
      <c r="A31" s="135"/>
      <c r="B31" s="164" t="s">
        <v>786</v>
      </c>
      <c r="C31" s="164" t="s">
        <v>718</v>
      </c>
      <c r="D31" s="165" t="s">
        <v>717</v>
      </c>
      <c r="E31" s="166">
        <f t="shared" si="18"/>
        <v>0</v>
      </c>
      <c r="F31" s="167">
        <f>IF((AND($E$3="MCS",$E$4="TODOS CRs")),
SUMIFS('2026'!$K:$K,'2026'!$R:$R,$E$3&amp;$C31,'2026'!$U:$U,F$6),
SUMIFS('2026'!$K:$K,'2026'!$N:$N,$E$3&amp;$C31&amp;$E$4,'2026'!$U:$U,F$6))</f>
        <v>0</v>
      </c>
      <c r="G31" s="168">
        <f>IF((AND($E$3="MCS",$E$4="TODOS CRs")),
SUMIFS('2026'!$K:$K,'2026'!$R:$R,$E$3&amp;$C31,'2026'!$U:$U,G$6),
SUMIFS('2026'!$K:$K,'2026'!$N:$N,$E$3&amp;$C31&amp;$E$4,'2026'!$U:$U,G$6))</f>
        <v>0</v>
      </c>
      <c r="H31" s="168">
        <f>IF((AND($E$3="MCS",$E$4="TODOS CRs")),
SUMIFS('2026'!$K:$K,'2026'!$R:$R,$E$3&amp;$C31,'2026'!$U:$U,H$6),
SUMIFS('2026'!$K:$K,'2026'!$N:$N,$E$3&amp;$C31&amp;$E$4,'2026'!$U:$U,H$6))</f>
        <v>0</v>
      </c>
      <c r="I31" s="168">
        <f>IF((AND($E$3="MCS",$E$4="TODOS CRs")),
SUMIFS('2026'!$K:$K,'2026'!$R:$R,$E$3&amp;$C31,'2026'!$U:$U,I$6),
SUMIFS('2026'!$K:$K,'2026'!$N:$N,$E$3&amp;$C31&amp;$E$4,'2026'!$U:$U,I$6))</f>
        <v>0</v>
      </c>
      <c r="J31" s="168">
        <f>IF((AND($E$3="MCS",$E$4="TODOS CRs")),
SUMIFS('2026'!$K:$K,'2026'!$R:$R,$E$3&amp;$C31,'2026'!$U:$U,J$6),
SUMIFS('2026'!$K:$K,'2026'!$N:$N,$E$3&amp;$C31&amp;$E$4,'2026'!$U:$U,J$6))</f>
        <v>0</v>
      </c>
      <c r="K31" s="168">
        <f>IF((AND($E$3="MCS",$E$4="TODOS CRs")),
SUMIFS('2026'!$K:$K,'2026'!$R:$R,$E$3&amp;$C31,'2026'!$U:$U,K$6),
SUMIFS('2026'!$K:$K,'2026'!$N:$N,$E$3&amp;$C31&amp;$E$4,'2026'!$U:$U,K$6))</f>
        <v>0</v>
      </c>
      <c r="L31" s="168">
        <f>IF((AND($E$3="MCS",$E$4="TODOS CRs")),
SUMIFS('2026'!$K:$K,'2026'!$R:$R,$E$3&amp;$C31,'2026'!$U:$U,L$6),
SUMIFS('2026'!$K:$K,'2026'!$N:$N,$E$3&amp;$C31&amp;$E$4,'2026'!$U:$U,L$6))</f>
        <v>0</v>
      </c>
      <c r="M31" s="168">
        <f>IF((AND($E$3="MCS",$E$4="TODOS CRs")),
SUMIFS('2026'!$K:$K,'2026'!$R:$R,$E$3&amp;$C31,'2026'!$U:$U,M$6),
SUMIFS('2026'!$K:$K,'2026'!$N:$N,$E$3&amp;$C31&amp;$E$4,'2026'!$U:$U,M$6))</f>
        <v>0</v>
      </c>
      <c r="N31" s="168">
        <f>IF((AND($E$3="MCS",$E$4="TODOS CRs")),
SUMIFS('2026'!$K:$K,'2026'!$R:$R,$E$3&amp;$C31,'2026'!$U:$U,N$6),
SUMIFS('2026'!$K:$K,'2026'!$N:$N,$E$3&amp;$C31&amp;$E$4,'2026'!$U:$U,N$6))</f>
        <v>0</v>
      </c>
      <c r="O31" s="168">
        <f>IF((AND($E$3="MCS",$E$4="TODOS CRs")),
SUMIFS('2026'!$K:$K,'2026'!$R:$R,$E$3&amp;$C31,'2026'!$U:$U,O$6),
SUMIFS('2026'!$K:$K,'2026'!$N:$N,$E$3&amp;$C31&amp;$E$4,'2026'!$U:$U,O$6))</f>
        <v>0</v>
      </c>
      <c r="P31" s="168">
        <f>IF((AND($E$3="MCS",$E$4="TODOS CRs")),
SUMIFS('2026'!$K:$K,'2026'!$R:$R,$E$3&amp;$C31,'2026'!$U:$U,P$6),
SUMIFS('2026'!$K:$K,'2026'!$N:$N,$E$3&amp;$C31&amp;$E$4,'2026'!$U:$U,P$6))</f>
        <v>0</v>
      </c>
      <c r="Q31" s="168">
        <f>IF((AND($E$3="MCS",$E$4="TODOS CRs")),
SUMIFS('2026'!$K:$K,'2026'!$R:$R,$E$3&amp;$C31,'2026'!$U:$U,Q$6),
SUMIFS('2026'!$K:$K,'2026'!$N:$N,$E$3&amp;$C31&amp;$E$4,'2026'!$U:$U,Q$6))</f>
        <v>0</v>
      </c>
    </row>
    <row r="32" spans="1:17" s="142" customFormat="1" x14ac:dyDescent="0.25">
      <c r="A32" s="135"/>
      <c r="B32" s="136" t="s">
        <v>786</v>
      </c>
      <c r="C32" s="136" t="s">
        <v>719</v>
      </c>
      <c r="D32" s="137" t="s">
        <v>715</v>
      </c>
      <c r="E32" s="138">
        <f t="shared" si="18"/>
        <v>0</v>
      </c>
      <c r="F32" s="149">
        <f>IF((AND($E$3="MCS",$E$4="TODOS CRs")),
SUMIFS('2026'!$K:$K,'2026'!$R:$R,$E$3&amp;$C32,'2026'!$U:$U,F$6),
SUMIFS('2026'!$K:$K,'2026'!$N:$N,$E$3&amp;$C32&amp;$E$4,'2026'!$U:$U,F$6))</f>
        <v>0</v>
      </c>
      <c r="G32" s="148">
        <f>IF((AND($E$3="MCS",$E$4="TODOS CRs")),
SUMIFS('2026'!$K:$K,'2026'!$R:$R,$E$3&amp;$C32,'2026'!$U:$U,G$6),
SUMIFS('2026'!$K:$K,'2026'!$N:$N,$E$3&amp;$C32&amp;$E$4,'2026'!$U:$U,G$6))</f>
        <v>0</v>
      </c>
      <c r="H32" s="148">
        <f>IF((AND($E$3="MCS",$E$4="TODOS CRs")),
SUMIFS('2026'!$K:$K,'2026'!$R:$R,$E$3&amp;$C32,'2026'!$U:$U,H$6),
SUMIFS('2026'!$K:$K,'2026'!$N:$N,$E$3&amp;$C32&amp;$E$4,'2026'!$U:$U,H$6))</f>
        <v>0</v>
      </c>
      <c r="I32" s="148">
        <f>IF((AND($E$3="MCS",$E$4="TODOS CRs")),
SUMIFS('2026'!$K:$K,'2026'!$R:$R,$E$3&amp;$C32,'2026'!$U:$U,I$6),
SUMIFS('2026'!$K:$K,'2026'!$N:$N,$E$3&amp;$C32&amp;$E$4,'2026'!$U:$U,I$6))</f>
        <v>0</v>
      </c>
      <c r="J32" s="148">
        <f>IF((AND($E$3="MCS",$E$4="TODOS CRs")),
SUMIFS('2026'!$K:$K,'2026'!$R:$R,$E$3&amp;$C32,'2026'!$U:$U,J$6),
SUMIFS('2026'!$K:$K,'2026'!$N:$N,$E$3&amp;$C32&amp;$E$4,'2026'!$U:$U,J$6))</f>
        <v>0</v>
      </c>
      <c r="K32" s="148">
        <f>IF((AND($E$3="MCS",$E$4="TODOS CRs")),
SUMIFS('2026'!$K:$K,'2026'!$R:$R,$E$3&amp;$C32,'2026'!$U:$U,K$6),
SUMIFS('2026'!$K:$K,'2026'!$N:$N,$E$3&amp;$C32&amp;$E$4,'2026'!$U:$U,K$6))</f>
        <v>0</v>
      </c>
      <c r="L32" s="148">
        <f>IF((AND($E$3="MCS",$E$4="TODOS CRs")),
SUMIFS('2026'!$K:$K,'2026'!$R:$R,$E$3&amp;$C32,'2026'!$U:$U,L$6),
SUMIFS('2026'!$K:$K,'2026'!$N:$N,$E$3&amp;$C32&amp;$E$4,'2026'!$U:$U,L$6))</f>
        <v>0</v>
      </c>
      <c r="M32" s="148">
        <f>IF((AND($E$3="MCS",$E$4="TODOS CRs")),
SUMIFS('2026'!$K:$K,'2026'!$R:$R,$E$3&amp;$C32,'2026'!$U:$U,M$6),
SUMIFS('2026'!$K:$K,'2026'!$N:$N,$E$3&amp;$C32&amp;$E$4,'2026'!$U:$U,M$6))</f>
        <v>0</v>
      </c>
      <c r="N32" s="148">
        <f>IF((AND($E$3="MCS",$E$4="TODOS CRs")),
SUMIFS('2026'!$K:$K,'2026'!$R:$R,$E$3&amp;$C32,'2026'!$U:$U,N$6),
SUMIFS('2026'!$K:$K,'2026'!$N:$N,$E$3&amp;$C32&amp;$E$4,'2026'!$U:$U,N$6))</f>
        <v>0</v>
      </c>
      <c r="O32" s="148">
        <f>IF((AND($E$3="MCS",$E$4="TODOS CRs")),
SUMIFS('2026'!$K:$K,'2026'!$R:$R,$E$3&amp;$C32,'2026'!$U:$U,O$6),
SUMIFS('2026'!$K:$K,'2026'!$N:$N,$E$3&amp;$C32&amp;$E$4,'2026'!$U:$U,O$6))</f>
        <v>0</v>
      </c>
      <c r="P32" s="148">
        <f>IF((AND($E$3="MCS",$E$4="TODOS CRs")),
SUMIFS('2026'!$K:$K,'2026'!$R:$R,$E$3&amp;$C32,'2026'!$U:$U,P$6),
SUMIFS('2026'!$K:$K,'2026'!$N:$N,$E$3&amp;$C32&amp;$E$4,'2026'!$U:$U,P$6))</f>
        <v>0</v>
      </c>
      <c r="Q32" s="148">
        <f>IF((AND($E$3="MCS",$E$4="TODOS CRs")),
SUMIFS('2026'!$K:$K,'2026'!$R:$R,$E$3&amp;$C32,'2026'!$U:$U,Q$6),
SUMIFS('2026'!$K:$K,'2026'!$N:$N,$E$3&amp;$C32&amp;$E$4,'2026'!$U:$U,Q$6))</f>
        <v>0</v>
      </c>
    </row>
    <row r="33" spans="1:17" s="142" customFormat="1" x14ac:dyDescent="0.25">
      <c r="A33" s="135"/>
      <c r="B33" s="136" t="s">
        <v>786</v>
      </c>
      <c r="C33" s="136" t="s">
        <v>720</v>
      </c>
      <c r="D33" s="137" t="s">
        <v>746</v>
      </c>
      <c r="E33" s="138">
        <f t="shared" si="18"/>
        <v>0</v>
      </c>
      <c r="F33" s="149">
        <f>IF((AND($E$3="MCS",$E$4="TODOS CRs")),
SUMIFS('2026'!$K:$K,'2026'!$R:$R,$E$3&amp;$C33,'2026'!$U:$U,F$6),
SUMIFS('2026'!$K:$K,'2026'!$N:$N,$E$3&amp;$C33&amp;$E$4,'2026'!$U:$U,F$6))</f>
        <v>0</v>
      </c>
      <c r="G33" s="148">
        <f>IF((AND($E$3="MCS",$E$4="TODOS CRs")),
SUMIFS('2026'!$K:$K,'2026'!$R:$R,$E$3&amp;$C33,'2026'!$U:$U,G$6),
SUMIFS('2026'!$K:$K,'2026'!$N:$N,$E$3&amp;$C33&amp;$E$4,'2026'!$U:$U,G$6))</f>
        <v>0</v>
      </c>
      <c r="H33" s="148">
        <f>IF((AND($E$3="MCS",$E$4="TODOS CRs")),
SUMIFS('2026'!$K:$K,'2026'!$R:$R,$E$3&amp;$C33,'2026'!$U:$U,H$6),
SUMIFS('2026'!$K:$K,'2026'!$N:$N,$E$3&amp;$C33&amp;$E$4,'2026'!$U:$U,H$6))</f>
        <v>0</v>
      </c>
      <c r="I33" s="148">
        <f>IF((AND($E$3="MCS",$E$4="TODOS CRs")),
SUMIFS('2026'!$K:$K,'2026'!$R:$R,$E$3&amp;$C33,'2026'!$U:$U,I$6),
SUMIFS('2026'!$K:$K,'2026'!$N:$N,$E$3&amp;$C33&amp;$E$4,'2026'!$U:$U,I$6))</f>
        <v>0</v>
      </c>
      <c r="J33" s="148">
        <f>IF((AND($E$3="MCS",$E$4="TODOS CRs")),
SUMIFS('2026'!$K:$K,'2026'!$R:$R,$E$3&amp;$C33,'2026'!$U:$U,J$6),
SUMIFS('2026'!$K:$K,'2026'!$N:$N,$E$3&amp;$C33&amp;$E$4,'2026'!$U:$U,J$6))</f>
        <v>0</v>
      </c>
      <c r="K33" s="148">
        <f>IF((AND($E$3="MCS",$E$4="TODOS CRs")),
SUMIFS('2026'!$K:$K,'2026'!$R:$R,$E$3&amp;$C33,'2026'!$U:$U,K$6),
SUMIFS('2026'!$K:$K,'2026'!$N:$N,$E$3&amp;$C33&amp;$E$4,'2026'!$U:$U,K$6))</f>
        <v>0</v>
      </c>
      <c r="L33" s="148">
        <f>IF((AND($E$3="MCS",$E$4="TODOS CRs")),
SUMIFS('2026'!$K:$K,'2026'!$R:$R,$E$3&amp;$C33,'2026'!$U:$U,L$6),
SUMIFS('2026'!$K:$K,'2026'!$N:$N,$E$3&amp;$C33&amp;$E$4,'2026'!$U:$U,L$6))</f>
        <v>0</v>
      </c>
      <c r="M33" s="148">
        <f>IF((AND($E$3="MCS",$E$4="TODOS CRs")),
SUMIFS('2026'!$K:$K,'2026'!$R:$R,$E$3&amp;$C33,'2026'!$U:$U,M$6),
SUMIFS('2026'!$K:$K,'2026'!$N:$N,$E$3&amp;$C33&amp;$E$4,'2026'!$U:$U,M$6))</f>
        <v>0</v>
      </c>
      <c r="N33" s="148">
        <f>IF((AND($E$3="MCS",$E$4="TODOS CRs")),
SUMIFS('2026'!$K:$K,'2026'!$R:$R,$E$3&amp;$C33,'2026'!$U:$U,N$6),
SUMIFS('2026'!$K:$K,'2026'!$N:$N,$E$3&amp;$C33&amp;$E$4,'2026'!$U:$U,N$6))</f>
        <v>0</v>
      </c>
      <c r="O33" s="148">
        <f>IF((AND($E$3="MCS",$E$4="TODOS CRs")),
SUMIFS('2026'!$K:$K,'2026'!$R:$R,$E$3&amp;$C33,'2026'!$U:$U,O$6),
SUMIFS('2026'!$K:$K,'2026'!$N:$N,$E$3&amp;$C33&amp;$E$4,'2026'!$U:$U,O$6))</f>
        <v>0</v>
      </c>
      <c r="P33" s="148">
        <f>IF((AND($E$3="MCS",$E$4="TODOS CRs")),
SUMIFS('2026'!$K:$K,'2026'!$R:$R,$E$3&amp;$C33,'2026'!$U:$U,P$6),
SUMIFS('2026'!$K:$K,'2026'!$N:$N,$E$3&amp;$C33&amp;$E$4,'2026'!$U:$U,P$6))</f>
        <v>0</v>
      </c>
      <c r="Q33" s="148">
        <f>IF((AND($E$3="MCS",$E$4="TODOS CRs")),
SUMIFS('2026'!$K:$K,'2026'!$R:$R,$E$3&amp;$C33,'2026'!$U:$U,Q$6),
SUMIFS('2026'!$K:$K,'2026'!$N:$N,$E$3&amp;$C33&amp;$E$4,'2026'!$U:$U,Q$6))</f>
        <v>0</v>
      </c>
    </row>
    <row r="34" spans="1:17" s="142" customFormat="1" x14ac:dyDescent="0.25">
      <c r="A34" s="135"/>
      <c r="B34" s="136" t="s">
        <v>786</v>
      </c>
      <c r="C34" s="136" t="s">
        <v>725</v>
      </c>
      <c r="D34" s="137" t="s">
        <v>749</v>
      </c>
      <c r="E34" s="138">
        <f t="shared" si="18"/>
        <v>0</v>
      </c>
      <c r="F34" s="149">
        <f>IF((AND($E$3="MCS",$E$4="TODOS CRs")),
SUMIFS('2026'!$K:$K,'2026'!$R:$R,$E$3&amp;$C34,'2026'!$U:$U,F$6),
SUMIFS('2026'!$K:$K,'2026'!$N:$N,$E$3&amp;$C34&amp;$E$4,'2026'!$U:$U,F$6))</f>
        <v>0</v>
      </c>
      <c r="G34" s="148">
        <f>IF((AND($E$3="MCS",$E$4="TODOS CRs")),
SUMIFS('2026'!$K:$K,'2026'!$R:$R,$E$3&amp;$C34,'2026'!$U:$U,G$6),
SUMIFS('2026'!$K:$K,'2026'!$N:$N,$E$3&amp;$C34&amp;$E$4,'2026'!$U:$U,G$6))</f>
        <v>0</v>
      </c>
      <c r="H34" s="148">
        <f>IF((AND($E$3="MCS",$E$4="TODOS CRs")),
SUMIFS('2026'!$K:$K,'2026'!$R:$R,$E$3&amp;$C34,'2026'!$U:$U,H$6),
SUMIFS('2026'!$K:$K,'2026'!$N:$N,$E$3&amp;$C34&amp;$E$4,'2026'!$U:$U,H$6))</f>
        <v>0</v>
      </c>
      <c r="I34" s="148">
        <f>IF((AND($E$3="MCS",$E$4="TODOS CRs")),
SUMIFS('2026'!$K:$K,'2026'!$R:$R,$E$3&amp;$C34,'2026'!$U:$U,I$6),
SUMIFS('2026'!$K:$K,'2026'!$N:$N,$E$3&amp;$C34&amp;$E$4,'2026'!$U:$U,I$6))</f>
        <v>0</v>
      </c>
      <c r="J34" s="148">
        <f>IF((AND($E$3="MCS",$E$4="TODOS CRs")),
SUMIFS('2026'!$K:$K,'2026'!$R:$R,$E$3&amp;$C34,'2026'!$U:$U,J$6),
SUMIFS('2026'!$K:$K,'2026'!$N:$N,$E$3&amp;$C34&amp;$E$4,'2026'!$U:$U,J$6))</f>
        <v>0</v>
      </c>
      <c r="K34" s="148">
        <f>IF((AND($E$3="MCS",$E$4="TODOS CRs")),
SUMIFS('2026'!$K:$K,'2026'!$R:$R,$E$3&amp;$C34,'2026'!$U:$U,K$6),
SUMIFS('2026'!$K:$K,'2026'!$N:$N,$E$3&amp;$C34&amp;$E$4,'2026'!$U:$U,K$6))</f>
        <v>0</v>
      </c>
      <c r="L34" s="148">
        <f>IF((AND($E$3="MCS",$E$4="TODOS CRs")),
SUMIFS('2026'!$K:$K,'2026'!$R:$R,$E$3&amp;$C34,'2026'!$U:$U,L$6),
SUMIFS('2026'!$K:$K,'2026'!$N:$N,$E$3&amp;$C34&amp;$E$4,'2026'!$U:$U,L$6))</f>
        <v>0</v>
      </c>
      <c r="M34" s="148">
        <f>IF((AND($E$3="MCS",$E$4="TODOS CRs")),
SUMIFS('2026'!$K:$K,'2026'!$R:$R,$E$3&amp;$C34,'2026'!$U:$U,M$6),
SUMIFS('2026'!$K:$K,'2026'!$N:$N,$E$3&amp;$C34&amp;$E$4,'2026'!$U:$U,M$6))</f>
        <v>0</v>
      </c>
      <c r="N34" s="148">
        <f>IF((AND($E$3="MCS",$E$4="TODOS CRs")),
SUMIFS('2026'!$K:$K,'2026'!$R:$R,$E$3&amp;$C34,'2026'!$U:$U,N$6),
SUMIFS('2026'!$K:$K,'2026'!$N:$N,$E$3&amp;$C34&amp;$E$4,'2026'!$U:$U,N$6))</f>
        <v>0</v>
      </c>
      <c r="O34" s="148">
        <f>IF((AND($E$3="MCS",$E$4="TODOS CRs")),
SUMIFS('2026'!$K:$K,'2026'!$R:$R,$E$3&amp;$C34,'2026'!$U:$U,O$6),
SUMIFS('2026'!$K:$K,'2026'!$N:$N,$E$3&amp;$C34&amp;$E$4,'2026'!$U:$U,O$6))</f>
        <v>0</v>
      </c>
      <c r="P34" s="148">
        <f>IF((AND($E$3="MCS",$E$4="TODOS CRs")),
SUMIFS('2026'!$K:$K,'2026'!$R:$R,$E$3&amp;$C34,'2026'!$U:$U,P$6),
SUMIFS('2026'!$K:$K,'2026'!$N:$N,$E$3&amp;$C34&amp;$E$4,'2026'!$U:$U,P$6))</f>
        <v>0</v>
      </c>
      <c r="Q34" s="148">
        <f>IF((AND($E$3="MCS",$E$4="TODOS CRs")),
SUMIFS('2026'!$K:$K,'2026'!$R:$R,$E$3&amp;$C34,'2026'!$U:$U,Q$6),
SUMIFS('2026'!$K:$K,'2026'!$N:$N,$E$3&amp;$C34&amp;$E$4,'2026'!$U:$U,Q$6))</f>
        <v>0</v>
      </c>
    </row>
    <row r="35" spans="1:17" s="142" customFormat="1" x14ac:dyDescent="0.25">
      <c r="A35" s="135"/>
      <c r="B35" s="136" t="s">
        <v>786</v>
      </c>
      <c r="C35" s="136" t="s">
        <v>726</v>
      </c>
      <c r="D35" s="137" t="s">
        <v>716</v>
      </c>
      <c r="E35" s="138">
        <f t="shared" si="18"/>
        <v>0</v>
      </c>
      <c r="F35" s="149">
        <f>IF((AND($E$3="MCS",$E$4="TODOS CRs")),
SUMIFS('2026'!$K:$K,'2026'!$R:$R,$E$3&amp;$C35,'2026'!$U:$U,F$6),
SUMIFS('2026'!$K:$K,'2026'!$N:$N,$E$3&amp;$C35&amp;$E$4,'2026'!$U:$U,F$6))</f>
        <v>0</v>
      </c>
      <c r="G35" s="148">
        <f>IF((AND($E$3="MCS",$E$4="TODOS CRs")),
SUMIFS('2026'!$K:$K,'2026'!$R:$R,$E$3&amp;$C35,'2026'!$U:$U,G$6),
SUMIFS('2026'!$K:$K,'2026'!$N:$N,$E$3&amp;$C35&amp;$E$4,'2026'!$U:$U,G$6))</f>
        <v>0</v>
      </c>
      <c r="H35" s="148">
        <f>IF((AND($E$3="MCS",$E$4="TODOS CRs")),
SUMIFS('2026'!$K:$K,'2026'!$R:$R,$E$3&amp;$C35,'2026'!$U:$U,H$6),
SUMIFS('2026'!$K:$K,'2026'!$N:$N,$E$3&amp;$C35&amp;$E$4,'2026'!$U:$U,H$6))</f>
        <v>0</v>
      </c>
      <c r="I35" s="148">
        <f>IF((AND($E$3="MCS",$E$4="TODOS CRs")),
SUMIFS('2026'!$K:$K,'2026'!$R:$R,$E$3&amp;$C35,'2026'!$U:$U,I$6),
SUMIFS('2026'!$K:$K,'2026'!$N:$N,$E$3&amp;$C35&amp;$E$4,'2026'!$U:$U,I$6))</f>
        <v>0</v>
      </c>
      <c r="J35" s="148">
        <f>IF((AND($E$3="MCS",$E$4="TODOS CRs")),
SUMIFS('2026'!$K:$K,'2026'!$R:$R,$E$3&amp;$C35,'2026'!$U:$U,J$6),
SUMIFS('2026'!$K:$K,'2026'!$N:$N,$E$3&amp;$C35&amp;$E$4,'2026'!$U:$U,J$6))</f>
        <v>0</v>
      </c>
      <c r="K35" s="148">
        <f>IF((AND($E$3="MCS",$E$4="TODOS CRs")),
SUMIFS('2026'!$K:$K,'2026'!$R:$R,$E$3&amp;$C35,'2026'!$U:$U,K$6),
SUMIFS('2026'!$K:$K,'2026'!$N:$N,$E$3&amp;$C35&amp;$E$4,'2026'!$U:$U,K$6))</f>
        <v>0</v>
      </c>
      <c r="L35" s="148">
        <f>IF((AND($E$3="MCS",$E$4="TODOS CRs")),
SUMIFS('2026'!$K:$K,'2026'!$R:$R,$E$3&amp;$C35,'2026'!$U:$U,L$6),
SUMIFS('2026'!$K:$K,'2026'!$N:$N,$E$3&amp;$C35&amp;$E$4,'2026'!$U:$U,L$6))</f>
        <v>0</v>
      </c>
      <c r="M35" s="148">
        <f>IF((AND($E$3="MCS",$E$4="TODOS CRs")),
SUMIFS('2026'!$K:$K,'2026'!$R:$R,$E$3&amp;$C35,'2026'!$U:$U,M$6),
SUMIFS('2026'!$K:$K,'2026'!$N:$N,$E$3&amp;$C35&amp;$E$4,'2026'!$U:$U,M$6))</f>
        <v>0</v>
      </c>
      <c r="N35" s="148">
        <f>IF((AND($E$3="MCS",$E$4="TODOS CRs")),
SUMIFS('2026'!$K:$K,'2026'!$R:$R,$E$3&amp;$C35,'2026'!$U:$U,N$6),
SUMIFS('2026'!$K:$K,'2026'!$N:$N,$E$3&amp;$C35&amp;$E$4,'2026'!$U:$U,N$6))</f>
        <v>0</v>
      </c>
      <c r="O35" s="148">
        <f>IF((AND($E$3="MCS",$E$4="TODOS CRs")),
SUMIFS('2026'!$K:$K,'2026'!$R:$R,$E$3&amp;$C35,'2026'!$U:$U,O$6),
SUMIFS('2026'!$K:$K,'2026'!$N:$N,$E$3&amp;$C35&amp;$E$4,'2026'!$U:$U,O$6))</f>
        <v>0</v>
      </c>
      <c r="P35" s="148">
        <f>IF((AND($E$3="MCS",$E$4="TODOS CRs")),
SUMIFS('2026'!$K:$K,'2026'!$R:$R,$E$3&amp;$C35,'2026'!$U:$U,P$6),
SUMIFS('2026'!$K:$K,'2026'!$N:$N,$E$3&amp;$C35&amp;$E$4,'2026'!$U:$U,P$6))</f>
        <v>0</v>
      </c>
      <c r="Q35" s="148">
        <f>IF((AND($E$3="MCS",$E$4="TODOS CRs")),
SUMIFS('2026'!$K:$K,'2026'!$R:$R,$E$3&amp;$C35,'2026'!$U:$U,Q$6),
SUMIFS('2026'!$K:$K,'2026'!$N:$N,$E$3&amp;$C35&amp;$E$4,'2026'!$U:$U,Q$6))</f>
        <v>0</v>
      </c>
    </row>
    <row r="36" spans="1:17" s="142" customFormat="1" x14ac:dyDescent="0.25">
      <c r="A36" s="135"/>
      <c r="B36" s="136" t="s">
        <v>786</v>
      </c>
      <c r="C36" s="136" t="s">
        <v>727</v>
      </c>
      <c r="D36" s="137" t="s">
        <v>37</v>
      </c>
      <c r="E36" s="138">
        <f t="shared" si="18"/>
        <v>0</v>
      </c>
      <c r="F36" s="149">
        <f>IF((AND($E$3="MCS",$E$4="TODOS CRs")),
SUMIFS('2026'!$K:$K,'2026'!$R:$R,$E$3&amp;$C36,'2026'!$U:$U,F$6),
SUMIFS('2026'!$K:$K,'2026'!$N:$N,$E$3&amp;$C36&amp;$E$4,'2026'!$U:$U,F$6))</f>
        <v>0</v>
      </c>
      <c r="G36" s="148">
        <f>IF((AND($E$3="MCS",$E$4="TODOS CRs")),
SUMIFS('2026'!$K:$K,'2026'!$R:$R,$E$3&amp;$C36,'2026'!$U:$U,G$6),
SUMIFS('2026'!$K:$K,'2026'!$N:$N,$E$3&amp;$C36&amp;$E$4,'2026'!$U:$U,G$6))</f>
        <v>0</v>
      </c>
      <c r="H36" s="148">
        <f>IF((AND($E$3="MCS",$E$4="TODOS CRs")),
SUMIFS('2026'!$K:$K,'2026'!$R:$R,$E$3&amp;$C36,'2026'!$U:$U,H$6),
SUMIFS('2026'!$K:$K,'2026'!$N:$N,$E$3&amp;$C36&amp;$E$4,'2026'!$U:$U,H$6))</f>
        <v>0</v>
      </c>
      <c r="I36" s="148">
        <f>IF((AND($E$3="MCS",$E$4="TODOS CRs")),
SUMIFS('2026'!$K:$K,'2026'!$R:$R,$E$3&amp;$C36,'2026'!$U:$U,I$6),
SUMIFS('2026'!$K:$K,'2026'!$N:$N,$E$3&amp;$C36&amp;$E$4,'2026'!$U:$U,I$6))</f>
        <v>0</v>
      </c>
      <c r="J36" s="148">
        <f>IF((AND($E$3="MCS",$E$4="TODOS CRs")),
SUMIFS('2026'!$K:$K,'2026'!$R:$R,$E$3&amp;$C36,'2026'!$U:$U,J$6),
SUMIFS('2026'!$K:$K,'2026'!$N:$N,$E$3&amp;$C36&amp;$E$4,'2026'!$U:$U,J$6))</f>
        <v>0</v>
      </c>
      <c r="K36" s="148">
        <f>IF((AND($E$3="MCS",$E$4="TODOS CRs")),
SUMIFS('2026'!$K:$K,'2026'!$R:$R,$E$3&amp;$C36,'2026'!$U:$U,K$6),
SUMIFS('2026'!$K:$K,'2026'!$N:$N,$E$3&amp;$C36&amp;$E$4,'2026'!$U:$U,K$6))</f>
        <v>0</v>
      </c>
      <c r="L36" s="148">
        <f>IF((AND($E$3="MCS",$E$4="TODOS CRs")),
SUMIFS('2026'!$K:$K,'2026'!$R:$R,$E$3&amp;$C36,'2026'!$U:$U,L$6),
SUMIFS('2026'!$K:$K,'2026'!$N:$N,$E$3&amp;$C36&amp;$E$4,'2026'!$U:$U,L$6))</f>
        <v>0</v>
      </c>
      <c r="M36" s="148">
        <f>IF((AND($E$3="MCS",$E$4="TODOS CRs")),
SUMIFS('2026'!$K:$K,'2026'!$R:$R,$E$3&amp;$C36,'2026'!$U:$U,M$6),
SUMIFS('2026'!$K:$K,'2026'!$N:$N,$E$3&amp;$C36&amp;$E$4,'2026'!$U:$U,M$6))</f>
        <v>0</v>
      </c>
      <c r="N36" s="148">
        <f>IF((AND($E$3="MCS",$E$4="TODOS CRs")),
SUMIFS('2026'!$K:$K,'2026'!$R:$R,$E$3&amp;$C36,'2026'!$U:$U,N$6),
SUMIFS('2026'!$K:$K,'2026'!$N:$N,$E$3&amp;$C36&amp;$E$4,'2026'!$U:$U,N$6))</f>
        <v>0</v>
      </c>
      <c r="O36" s="148">
        <f>IF((AND($E$3="MCS",$E$4="TODOS CRs")),
SUMIFS('2026'!$K:$K,'2026'!$R:$R,$E$3&amp;$C36,'2026'!$U:$U,O$6),
SUMIFS('2026'!$K:$K,'2026'!$N:$N,$E$3&amp;$C36&amp;$E$4,'2026'!$U:$U,O$6))</f>
        <v>0</v>
      </c>
      <c r="P36" s="148">
        <f>IF((AND($E$3="MCS",$E$4="TODOS CRs")),
SUMIFS('2026'!$K:$K,'2026'!$R:$R,$E$3&amp;$C36,'2026'!$U:$U,P$6),
SUMIFS('2026'!$K:$K,'2026'!$N:$N,$E$3&amp;$C36&amp;$E$4,'2026'!$U:$U,P$6))</f>
        <v>0</v>
      </c>
      <c r="Q36" s="148">
        <f>IF((AND($E$3="MCS",$E$4="TODOS CRs")),
SUMIFS('2026'!$K:$K,'2026'!$R:$R,$E$3&amp;$C36,'2026'!$U:$U,Q$6),
SUMIFS('2026'!$K:$K,'2026'!$N:$N,$E$3&amp;$C36&amp;$E$4,'2026'!$U:$U,Q$6))</f>
        <v>0</v>
      </c>
    </row>
    <row r="37" spans="1:17" s="142" customFormat="1" x14ac:dyDescent="0.25">
      <c r="A37" s="135"/>
      <c r="B37" s="136" t="s">
        <v>786</v>
      </c>
      <c r="C37" s="136" t="s">
        <v>728</v>
      </c>
      <c r="D37" s="137" t="s">
        <v>737</v>
      </c>
      <c r="E37" s="138">
        <f t="shared" si="18"/>
        <v>0</v>
      </c>
      <c r="F37" s="149">
        <f>IF((AND($E$3="MCS",$E$4="TODOS CRs")),
SUMIFS('2026'!$K:$K,'2026'!$R:$R,$E$3&amp;$C37,'2026'!$U:$U,F$6),
SUMIFS('2026'!$K:$K,'2026'!$N:$N,$E$3&amp;$C37&amp;$E$4,'2026'!$U:$U,F$6))</f>
        <v>0</v>
      </c>
      <c r="G37" s="148">
        <f>IF((AND($E$3="MCS",$E$4="TODOS CRs")),
SUMIFS('2026'!$K:$K,'2026'!$R:$R,$E$3&amp;$C37,'2026'!$U:$U,G$6),
SUMIFS('2026'!$K:$K,'2026'!$N:$N,$E$3&amp;$C37&amp;$E$4,'2026'!$U:$U,G$6))</f>
        <v>0</v>
      </c>
      <c r="H37" s="148">
        <f>IF((AND($E$3="MCS",$E$4="TODOS CRs")),
SUMIFS('2026'!$K:$K,'2026'!$R:$R,$E$3&amp;$C37,'2026'!$U:$U,H$6),
SUMIFS('2026'!$K:$K,'2026'!$N:$N,$E$3&amp;$C37&amp;$E$4,'2026'!$U:$U,H$6))</f>
        <v>0</v>
      </c>
      <c r="I37" s="148">
        <f>IF((AND($E$3="MCS",$E$4="TODOS CRs")),
SUMIFS('2026'!$K:$K,'2026'!$R:$R,$E$3&amp;$C37,'2026'!$U:$U,I$6),
SUMIFS('2026'!$K:$K,'2026'!$N:$N,$E$3&amp;$C37&amp;$E$4,'2026'!$U:$U,I$6))</f>
        <v>0</v>
      </c>
      <c r="J37" s="148">
        <f>IF((AND($E$3="MCS",$E$4="TODOS CRs")),
SUMIFS('2026'!$K:$K,'2026'!$R:$R,$E$3&amp;$C37,'2026'!$U:$U,J$6),
SUMIFS('2026'!$K:$K,'2026'!$N:$N,$E$3&amp;$C37&amp;$E$4,'2026'!$U:$U,J$6))</f>
        <v>0</v>
      </c>
      <c r="K37" s="148">
        <f>IF((AND($E$3="MCS",$E$4="TODOS CRs")),
SUMIFS('2026'!$K:$K,'2026'!$R:$R,$E$3&amp;$C37,'2026'!$U:$U,K$6),
SUMIFS('2026'!$K:$K,'2026'!$N:$N,$E$3&amp;$C37&amp;$E$4,'2026'!$U:$U,K$6))</f>
        <v>0</v>
      </c>
      <c r="L37" s="148">
        <f>IF((AND($E$3="MCS",$E$4="TODOS CRs")),
SUMIFS('2026'!$K:$K,'2026'!$R:$R,$E$3&amp;$C37,'2026'!$U:$U,L$6),
SUMIFS('2026'!$K:$K,'2026'!$N:$N,$E$3&amp;$C37&amp;$E$4,'2026'!$U:$U,L$6))</f>
        <v>0</v>
      </c>
      <c r="M37" s="148">
        <f>IF((AND($E$3="MCS",$E$4="TODOS CRs")),
SUMIFS('2026'!$K:$K,'2026'!$R:$R,$E$3&amp;$C37,'2026'!$U:$U,M$6),
SUMIFS('2026'!$K:$K,'2026'!$N:$N,$E$3&amp;$C37&amp;$E$4,'2026'!$U:$U,M$6))</f>
        <v>0</v>
      </c>
      <c r="N37" s="148">
        <f>IF((AND($E$3="MCS",$E$4="TODOS CRs")),
SUMIFS('2026'!$K:$K,'2026'!$R:$R,$E$3&amp;$C37,'2026'!$U:$U,N$6),
SUMIFS('2026'!$K:$K,'2026'!$N:$N,$E$3&amp;$C37&amp;$E$4,'2026'!$U:$U,N$6))</f>
        <v>0</v>
      </c>
      <c r="O37" s="148">
        <f>IF((AND($E$3="MCS",$E$4="TODOS CRs")),
SUMIFS('2026'!$K:$K,'2026'!$R:$R,$E$3&amp;$C37,'2026'!$U:$U,O$6),
SUMIFS('2026'!$K:$K,'2026'!$N:$N,$E$3&amp;$C37&amp;$E$4,'2026'!$U:$U,O$6))</f>
        <v>0</v>
      </c>
      <c r="P37" s="148">
        <f>IF((AND($E$3="MCS",$E$4="TODOS CRs")),
SUMIFS('2026'!$K:$K,'2026'!$R:$R,$E$3&amp;$C37,'2026'!$U:$U,P$6),
SUMIFS('2026'!$K:$K,'2026'!$N:$N,$E$3&amp;$C37&amp;$E$4,'2026'!$U:$U,P$6))</f>
        <v>0</v>
      </c>
      <c r="Q37" s="148">
        <f>IF((AND($E$3="MCS",$E$4="TODOS CRs")),
SUMIFS('2026'!$K:$K,'2026'!$R:$R,$E$3&amp;$C37,'2026'!$U:$U,Q$6),
SUMIFS('2026'!$K:$K,'2026'!$N:$N,$E$3&amp;$C37&amp;$E$4,'2026'!$U:$U,Q$6))</f>
        <v>0</v>
      </c>
    </row>
    <row r="38" spans="1:17" s="142" customFormat="1" x14ac:dyDescent="0.25">
      <c r="A38" s="135"/>
      <c r="B38" s="136" t="s">
        <v>786</v>
      </c>
      <c r="C38" s="136" t="s">
        <v>729</v>
      </c>
      <c r="D38" s="137" t="s">
        <v>36</v>
      </c>
      <c r="E38" s="138">
        <f t="shared" si="18"/>
        <v>0</v>
      </c>
      <c r="F38" s="149">
        <f>IF((AND($E$3="MCS",$E$4="TODOS CRs")),
SUMIFS('2026'!$K:$K,'2026'!$R:$R,$E$3&amp;$C38,'2026'!$U:$U,F$6),
SUMIFS('2026'!$K:$K,'2026'!$N:$N,$E$3&amp;$C38&amp;$E$4,'2026'!$U:$U,F$6))</f>
        <v>0</v>
      </c>
      <c r="G38" s="148">
        <f>IF((AND($E$3="MCS",$E$4="TODOS CRs")),
SUMIFS('2026'!$K:$K,'2026'!$R:$R,$E$3&amp;$C38,'2026'!$U:$U,G$6),
SUMIFS('2026'!$K:$K,'2026'!$N:$N,$E$3&amp;$C38&amp;$E$4,'2026'!$U:$U,G$6))</f>
        <v>0</v>
      </c>
      <c r="H38" s="148">
        <f>IF((AND($E$3="MCS",$E$4="TODOS CRs")),
SUMIFS('2026'!$K:$K,'2026'!$R:$R,$E$3&amp;$C38,'2026'!$U:$U,H$6),
SUMIFS('2026'!$K:$K,'2026'!$N:$N,$E$3&amp;$C38&amp;$E$4,'2026'!$U:$U,H$6))</f>
        <v>0</v>
      </c>
      <c r="I38" s="148">
        <f>IF((AND($E$3="MCS",$E$4="TODOS CRs")),
SUMIFS('2026'!$K:$K,'2026'!$R:$R,$E$3&amp;$C38,'2026'!$U:$U,I$6),
SUMIFS('2026'!$K:$K,'2026'!$N:$N,$E$3&amp;$C38&amp;$E$4,'2026'!$U:$U,I$6))</f>
        <v>0</v>
      </c>
      <c r="J38" s="148">
        <f>IF((AND($E$3="MCS",$E$4="TODOS CRs")),
SUMIFS('2026'!$K:$K,'2026'!$R:$R,$E$3&amp;$C38,'2026'!$U:$U,J$6),
SUMIFS('2026'!$K:$K,'2026'!$N:$N,$E$3&amp;$C38&amp;$E$4,'2026'!$U:$U,J$6))</f>
        <v>0</v>
      </c>
      <c r="K38" s="148">
        <f>IF((AND($E$3="MCS",$E$4="TODOS CRs")),
SUMIFS('2026'!$K:$K,'2026'!$R:$R,$E$3&amp;$C38,'2026'!$U:$U,K$6),
SUMIFS('2026'!$K:$K,'2026'!$N:$N,$E$3&amp;$C38&amp;$E$4,'2026'!$U:$U,K$6))</f>
        <v>0</v>
      </c>
      <c r="L38" s="148">
        <f>IF((AND($E$3="MCS",$E$4="TODOS CRs")),
SUMIFS('2026'!$K:$K,'2026'!$R:$R,$E$3&amp;$C38,'2026'!$U:$U,L$6),
SUMIFS('2026'!$K:$K,'2026'!$N:$N,$E$3&amp;$C38&amp;$E$4,'2026'!$U:$U,L$6))</f>
        <v>0</v>
      </c>
      <c r="M38" s="148">
        <f>IF((AND($E$3="MCS",$E$4="TODOS CRs")),
SUMIFS('2026'!$K:$K,'2026'!$R:$R,$E$3&amp;$C38,'2026'!$U:$U,M$6),
SUMIFS('2026'!$K:$K,'2026'!$N:$N,$E$3&amp;$C38&amp;$E$4,'2026'!$U:$U,M$6))</f>
        <v>0</v>
      </c>
      <c r="N38" s="148">
        <f>IF((AND($E$3="MCS",$E$4="TODOS CRs")),
SUMIFS('2026'!$K:$K,'2026'!$R:$R,$E$3&amp;$C38,'2026'!$U:$U,N$6),
SUMIFS('2026'!$K:$K,'2026'!$N:$N,$E$3&amp;$C38&amp;$E$4,'2026'!$U:$U,N$6))</f>
        <v>0</v>
      </c>
      <c r="O38" s="148">
        <f>IF((AND($E$3="MCS",$E$4="TODOS CRs")),
SUMIFS('2026'!$K:$K,'2026'!$R:$R,$E$3&amp;$C38,'2026'!$U:$U,O$6),
SUMIFS('2026'!$K:$K,'2026'!$N:$N,$E$3&amp;$C38&amp;$E$4,'2026'!$U:$U,O$6))</f>
        <v>0</v>
      </c>
      <c r="P38" s="148">
        <f>IF((AND($E$3="MCS",$E$4="TODOS CRs")),
SUMIFS('2026'!$K:$K,'2026'!$R:$R,$E$3&amp;$C38,'2026'!$U:$U,P$6),
SUMIFS('2026'!$K:$K,'2026'!$N:$N,$E$3&amp;$C38&amp;$E$4,'2026'!$U:$U,P$6))</f>
        <v>0</v>
      </c>
      <c r="Q38" s="148">
        <f>IF((AND($E$3="MCS",$E$4="TODOS CRs")),
SUMIFS('2026'!$K:$K,'2026'!$R:$R,$E$3&amp;$C38,'2026'!$U:$U,Q$6),
SUMIFS('2026'!$K:$K,'2026'!$N:$N,$E$3&amp;$C38&amp;$E$4,'2026'!$U:$U,Q$6))</f>
        <v>0</v>
      </c>
    </row>
    <row r="39" spans="1:17" s="142" customFormat="1" x14ac:dyDescent="0.25">
      <c r="A39" s="135"/>
      <c r="B39" s="136" t="s">
        <v>786</v>
      </c>
      <c r="C39" s="136" t="s">
        <v>738</v>
      </c>
      <c r="D39" s="137" t="s">
        <v>735</v>
      </c>
      <c r="E39" s="138">
        <f t="shared" si="18"/>
        <v>0</v>
      </c>
      <c r="F39" s="149">
        <f>IF((AND($E$3="MCS",$E$4="TODOS CRs")),
SUMIFS('2026'!$K:$K,'2026'!$R:$R,$E$3&amp;$C39,'2026'!$U:$U,F$6),
SUMIFS('2026'!$K:$K,'2026'!$N:$N,$E$3&amp;$C39&amp;$E$4,'2026'!$U:$U,F$6))</f>
        <v>0</v>
      </c>
      <c r="G39" s="148">
        <f>IF((AND($E$3="MCS",$E$4="TODOS CRs")),
SUMIFS('2026'!$K:$K,'2026'!$R:$R,$E$3&amp;$C39,'2026'!$U:$U,G$6),
SUMIFS('2026'!$K:$K,'2026'!$N:$N,$E$3&amp;$C39&amp;$E$4,'2026'!$U:$U,G$6))</f>
        <v>0</v>
      </c>
      <c r="H39" s="148">
        <f>IF((AND($E$3="MCS",$E$4="TODOS CRs")),
SUMIFS('2026'!$K:$K,'2026'!$R:$R,$E$3&amp;$C39,'2026'!$U:$U,H$6),
SUMIFS('2026'!$K:$K,'2026'!$N:$N,$E$3&amp;$C39&amp;$E$4,'2026'!$U:$U,H$6))</f>
        <v>0</v>
      </c>
      <c r="I39" s="148">
        <f>IF((AND($E$3="MCS",$E$4="TODOS CRs")),
SUMIFS('2026'!$K:$K,'2026'!$R:$R,$E$3&amp;$C39,'2026'!$U:$U,I$6),
SUMIFS('2026'!$K:$K,'2026'!$N:$N,$E$3&amp;$C39&amp;$E$4,'2026'!$U:$U,I$6))</f>
        <v>0</v>
      </c>
      <c r="J39" s="148">
        <f>IF((AND($E$3="MCS",$E$4="TODOS CRs")),
SUMIFS('2026'!$K:$K,'2026'!$R:$R,$E$3&amp;$C39,'2026'!$U:$U,J$6),
SUMIFS('2026'!$K:$K,'2026'!$N:$N,$E$3&amp;$C39&amp;$E$4,'2026'!$U:$U,J$6))</f>
        <v>0</v>
      </c>
      <c r="K39" s="148">
        <f>IF((AND($E$3="MCS",$E$4="TODOS CRs")),
SUMIFS('2026'!$K:$K,'2026'!$R:$R,$E$3&amp;$C39,'2026'!$U:$U,K$6),
SUMIFS('2026'!$K:$K,'2026'!$N:$N,$E$3&amp;$C39&amp;$E$4,'2026'!$U:$U,K$6))</f>
        <v>0</v>
      </c>
      <c r="L39" s="148">
        <f>IF((AND($E$3="MCS",$E$4="TODOS CRs")),
SUMIFS('2026'!$K:$K,'2026'!$R:$R,$E$3&amp;$C39,'2026'!$U:$U,L$6),
SUMIFS('2026'!$K:$K,'2026'!$N:$N,$E$3&amp;$C39&amp;$E$4,'2026'!$U:$U,L$6))</f>
        <v>0</v>
      </c>
      <c r="M39" s="148">
        <f>IF((AND($E$3="MCS",$E$4="TODOS CRs")),
SUMIFS('2026'!$K:$K,'2026'!$R:$R,$E$3&amp;$C39,'2026'!$U:$U,M$6),
SUMIFS('2026'!$K:$K,'2026'!$N:$N,$E$3&amp;$C39&amp;$E$4,'2026'!$U:$U,M$6))</f>
        <v>0</v>
      </c>
      <c r="N39" s="148">
        <f>IF((AND($E$3="MCS",$E$4="TODOS CRs")),
SUMIFS('2026'!$K:$K,'2026'!$R:$R,$E$3&amp;$C39,'2026'!$U:$U,N$6),
SUMIFS('2026'!$K:$K,'2026'!$N:$N,$E$3&amp;$C39&amp;$E$4,'2026'!$U:$U,N$6))</f>
        <v>0</v>
      </c>
      <c r="O39" s="148">
        <f>IF((AND($E$3="MCS",$E$4="TODOS CRs")),
SUMIFS('2026'!$K:$K,'2026'!$R:$R,$E$3&amp;$C39,'2026'!$U:$U,O$6),
SUMIFS('2026'!$K:$K,'2026'!$N:$N,$E$3&amp;$C39&amp;$E$4,'2026'!$U:$U,O$6))</f>
        <v>0</v>
      </c>
      <c r="P39" s="148">
        <f>IF((AND($E$3="MCS",$E$4="TODOS CRs")),
SUMIFS('2026'!$K:$K,'2026'!$R:$R,$E$3&amp;$C39,'2026'!$U:$U,P$6),
SUMIFS('2026'!$K:$K,'2026'!$N:$N,$E$3&amp;$C39&amp;$E$4,'2026'!$U:$U,P$6))</f>
        <v>0</v>
      </c>
      <c r="Q39" s="148">
        <f>IF((AND($E$3="MCS",$E$4="TODOS CRs")),
SUMIFS('2026'!$K:$K,'2026'!$R:$R,$E$3&amp;$C39,'2026'!$U:$U,Q$6),
SUMIFS('2026'!$K:$K,'2026'!$N:$N,$E$3&amp;$C39&amp;$E$4,'2026'!$U:$U,Q$6))</f>
        <v>0</v>
      </c>
    </row>
    <row r="40" spans="1:17" s="120" customFormat="1" ht="18.75" x14ac:dyDescent="0.3">
      <c r="A40" s="117"/>
      <c r="B40" s="134" t="s">
        <v>31</v>
      </c>
      <c r="C40" s="134" t="s">
        <v>31</v>
      </c>
      <c r="D40" s="118" t="s">
        <v>6</v>
      </c>
      <c r="E40" s="119">
        <f t="shared" ref="E40:F40" si="19">SUBTOTAL(9,E17:E39)</f>
        <v>0</v>
      </c>
      <c r="F40" s="124">
        <f t="shared" si="19"/>
        <v>0</v>
      </c>
      <c r="G40" s="126">
        <f t="shared" ref="G40" si="20">SUBTOTAL(9,G17:G39)</f>
        <v>0</v>
      </c>
      <c r="H40" s="125">
        <f t="shared" ref="H40" si="21">SUBTOTAL(9,H17:H39)</f>
        <v>0</v>
      </c>
      <c r="I40" s="125">
        <f t="shared" ref="I40" si="22">SUBTOTAL(9,I17:I39)</f>
        <v>0</v>
      </c>
      <c r="J40" s="125">
        <f t="shared" ref="J40" si="23">SUBTOTAL(9,J17:J39)</f>
        <v>0</v>
      </c>
      <c r="K40" s="125">
        <f t="shared" ref="K40" si="24">SUBTOTAL(9,K17:K39)</f>
        <v>0</v>
      </c>
      <c r="L40" s="125">
        <f t="shared" ref="L40" si="25">SUBTOTAL(9,L17:L39)</f>
        <v>0</v>
      </c>
      <c r="M40" s="125">
        <f t="shared" ref="M40" si="26">SUBTOTAL(9,M17:M39)</f>
        <v>0</v>
      </c>
      <c r="N40" s="125">
        <f t="shared" ref="N40" si="27">SUBTOTAL(9,N17:N39)</f>
        <v>0</v>
      </c>
      <c r="O40" s="125">
        <f t="shared" ref="O40" si="28">SUBTOTAL(9,O17:O39)</f>
        <v>0</v>
      </c>
      <c r="P40" s="125">
        <f t="shared" ref="P40" si="29">SUBTOTAL(9,P17:P39)</f>
        <v>0</v>
      </c>
      <c r="Q40" s="125">
        <f t="shared" ref="Q40" si="30">SUBTOTAL(9,Q17:Q39)</f>
        <v>0</v>
      </c>
    </row>
    <row r="41" spans="1:17" x14ac:dyDescent="0.25">
      <c r="A41" s="4"/>
      <c r="B41" s="4"/>
      <c r="C41" s="4"/>
    </row>
    <row r="42" spans="1:17" x14ac:dyDescent="0.25">
      <c r="A42" s="4"/>
      <c r="B42" s="4"/>
      <c r="C42" s="4"/>
      <c r="D42" s="218" t="s">
        <v>2</v>
      </c>
      <c r="E42" s="99" t="s">
        <v>5</v>
      </c>
      <c r="F42" s="259">
        <f t="shared" ref="F42:Q42" si="31">F6</f>
        <v>46023</v>
      </c>
      <c r="G42" s="260">
        <f t="shared" si="31"/>
        <v>46054</v>
      </c>
      <c r="H42" s="260">
        <f t="shared" si="31"/>
        <v>46082</v>
      </c>
      <c r="I42" s="260">
        <f t="shared" si="31"/>
        <v>46113</v>
      </c>
      <c r="J42" s="260">
        <f t="shared" si="31"/>
        <v>46143</v>
      </c>
      <c r="K42" s="260">
        <f t="shared" si="31"/>
        <v>46174</v>
      </c>
      <c r="L42" s="260">
        <f t="shared" si="31"/>
        <v>46204</v>
      </c>
      <c r="M42" s="260">
        <f t="shared" si="31"/>
        <v>46235</v>
      </c>
      <c r="N42" s="260">
        <f t="shared" si="31"/>
        <v>46266</v>
      </c>
      <c r="O42" s="260">
        <f t="shared" si="31"/>
        <v>46296</v>
      </c>
      <c r="P42" s="260">
        <f t="shared" si="31"/>
        <v>46327</v>
      </c>
      <c r="Q42" s="260">
        <f t="shared" si="31"/>
        <v>46357</v>
      </c>
    </row>
    <row r="43" spans="1:17" x14ac:dyDescent="0.25">
      <c r="A43" s="4"/>
      <c r="B43" s="4"/>
      <c r="C43" s="4"/>
      <c r="D43" s="104" t="s">
        <v>766</v>
      </c>
      <c r="E43" s="105">
        <v>0</v>
      </c>
      <c r="F43" s="248">
        <f>CAIXA_REAL!F46</f>
        <v>152.68000000000029</v>
      </c>
      <c r="G43" s="106">
        <f>IF(AND(G44=0,G45=0),0,#REF!)</f>
        <v>0</v>
      </c>
      <c r="H43" s="106">
        <f t="shared" ref="H43:Q43" si="32">IF(AND(H44=0,H45=0),0,G46)</f>
        <v>0</v>
      </c>
      <c r="I43" s="106">
        <f t="shared" si="32"/>
        <v>0</v>
      </c>
      <c r="J43" s="106">
        <f t="shared" si="32"/>
        <v>0</v>
      </c>
      <c r="K43" s="106">
        <f t="shared" si="32"/>
        <v>0</v>
      </c>
      <c r="L43" s="106">
        <f t="shared" si="32"/>
        <v>0</v>
      </c>
      <c r="M43" s="106">
        <f t="shared" si="32"/>
        <v>0</v>
      </c>
      <c r="N43" s="106">
        <f t="shared" si="32"/>
        <v>0</v>
      </c>
      <c r="O43" s="106">
        <f t="shared" si="32"/>
        <v>0</v>
      </c>
      <c r="P43" s="106">
        <f t="shared" si="32"/>
        <v>0</v>
      </c>
      <c r="Q43" s="106">
        <f t="shared" si="32"/>
        <v>0</v>
      </c>
    </row>
    <row r="44" spans="1:17" x14ac:dyDescent="0.25">
      <c r="A44" s="4"/>
      <c r="B44" s="4"/>
      <c r="C44" s="4"/>
      <c r="D44" s="131" t="s">
        <v>3</v>
      </c>
      <c r="E44" s="132">
        <f>SUM(F44:Q44)</f>
        <v>0</v>
      </c>
      <c r="F44" s="133">
        <f t="shared" ref="F44" si="33">F14</f>
        <v>0</v>
      </c>
      <c r="G44" s="133">
        <f t="shared" ref="G44:Q44" si="34">G14</f>
        <v>0</v>
      </c>
      <c r="H44" s="133">
        <f t="shared" si="34"/>
        <v>0</v>
      </c>
      <c r="I44" s="133">
        <f t="shared" si="34"/>
        <v>0</v>
      </c>
      <c r="J44" s="133">
        <f t="shared" si="34"/>
        <v>0</v>
      </c>
      <c r="K44" s="133">
        <f t="shared" si="34"/>
        <v>0</v>
      </c>
      <c r="L44" s="133">
        <f t="shared" si="34"/>
        <v>0</v>
      </c>
      <c r="M44" s="133">
        <f t="shared" si="34"/>
        <v>0</v>
      </c>
      <c r="N44" s="133">
        <f t="shared" si="34"/>
        <v>0</v>
      </c>
      <c r="O44" s="133">
        <f t="shared" si="34"/>
        <v>0</v>
      </c>
      <c r="P44" s="133">
        <f t="shared" si="34"/>
        <v>0</v>
      </c>
      <c r="Q44" s="133">
        <f t="shared" si="34"/>
        <v>0</v>
      </c>
    </row>
    <row r="45" spans="1:17" x14ac:dyDescent="0.25">
      <c r="A45" s="4"/>
      <c r="B45" s="4"/>
      <c r="C45" s="4"/>
      <c r="D45" s="107" t="s">
        <v>4</v>
      </c>
      <c r="E45" s="108">
        <f>SUM(F45:Q45)</f>
        <v>0</v>
      </c>
      <c r="F45" s="109">
        <f t="shared" ref="F45" si="35">F40</f>
        <v>0</v>
      </c>
      <c r="G45" s="109">
        <f t="shared" ref="G45:Q45" si="36">G40</f>
        <v>0</v>
      </c>
      <c r="H45" s="109">
        <f t="shared" si="36"/>
        <v>0</v>
      </c>
      <c r="I45" s="109">
        <f t="shared" si="36"/>
        <v>0</v>
      </c>
      <c r="J45" s="109">
        <f t="shared" si="36"/>
        <v>0</v>
      </c>
      <c r="K45" s="109">
        <f t="shared" si="36"/>
        <v>0</v>
      </c>
      <c r="L45" s="109">
        <f t="shared" si="36"/>
        <v>0</v>
      </c>
      <c r="M45" s="109">
        <f t="shared" si="36"/>
        <v>0</v>
      </c>
      <c r="N45" s="109">
        <f t="shared" si="36"/>
        <v>0</v>
      </c>
      <c r="O45" s="109">
        <f t="shared" si="36"/>
        <v>0</v>
      </c>
      <c r="P45" s="109">
        <f t="shared" si="36"/>
        <v>0</v>
      </c>
      <c r="Q45" s="109">
        <f t="shared" si="36"/>
        <v>0</v>
      </c>
    </row>
    <row r="46" spans="1:17" x14ac:dyDescent="0.25">
      <c r="A46" s="4"/>
      <c r="B46" s="4"/>
      <c r="C46" s="4"/>
      <c r="D46" s="110" t="s">
        <v>765</v>
      </c>
      <c r="E46" s="112">
        <f>E44+E45</f>
        <v>0</v>
      </c>
      <c r="F46" s="157">
        <f t="shared" ref="F46:Q46" si="37">F43+F44+F45</f>
        <v>152.68000000000029</v>
      </c>
      <c r="G46" s="113">
        <f t="shared" si="37"/>
        <v>0</v>
      </c>
      <c r="H46" s="113">
        <f t="shared" si="37"/>
        <v>0</v>
      </c>
      <c r="I46" s="113">
        <f t="shared" si="37"/>
        <v>0</v>
      </c>
      <c r="J46" s="113">
        <f t="shared" si="37"/>
        <v>0</v>
      </c>
      <c r="K46" s="113">
        <f t="shared" si="37"/>
        <v>0</v>
      </c>
      <c r="L46" s="113">
        <f t="shared" si="37"/>
        <v>0</v>
      </c>
      <c r="M46" s="113">
        <f t="shared" si="37"/>
        <v>0</v>
      </c>
      <c r="N46" s="113">
        <f t="shared" si="37"/>
        <v>0</v>
      </c>
      <c r="O46" s="113">
        <f t="shared" si="37"/>
        <v>0</v>
      </c>
      <c r="P46" s="113">
        <f t="shared" si="37"/>
        <v>0</v>
      </c>
      <c r="Q46" s="113">
        <f t="shared" si="37"/>
        <v>0</v>
      </c>
    </row>
    <row r="47" spans="1:17" x14ac:dyDescent="0.25">
      <c r="A47" s="4"/>
      <c r="B47" s="4"/>
      <c r="C47" s="4"/>
      <c r="E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s="114" customFormat="1" ht="18.75" x14ac:dyDescent="0.3">
      <c r="D48" s="115"/>
      <c r="E48" s="115" t="s">
        <v>767</v>
      </c>
      <c r="F48" s="265">
        <f>IFERROR(ABS(SUM(F31:F39))/F10,0)</f>
        <v>0</v>
      </c>
      <c r="G48" s="264">
        <f t="shared" ref="G48:Q48" si="38">IFERROR(ABS(SUM(G31:G39))/G10,0)</f>
        <v>0</v>
      </c>
      <c r="H48" s="155">
        <f t="shared" si="38"/>
        <v>0</v>
      </c>
      <c r="I48" s="116">
        <f t="shared" si="38"/>
        <v>0</v>
      </c>
      <c r="J48" s="116">
        <f t="shared" si="38"/>
        <v>0</v>
      </c>
      <c r="K48" s="116">
        <f t="shared" si="38"/>
        <v>0</v>
      </c>
      <c r="L48" s="116">
        <f t="shared" si="38"/>
        <v>0</v>
      </c>
      <c r="M48" s="116">
        <f t="shared" si="38"/>
        <v>0</v>
      </c>
      <c r="N48" s="116">
        <f t="shared" si="38"/>
        <v>0</v>
      </c>
      <c r="O48" s="116">
        <f t="shared" si="38"/>
        <v>0</v>
      </c>
      <c r="P48" s="116">
        <f t="shared" si="38"/>
        <v>0</v>
      </c>
      <c r="Q48" s="116">
        <f t="shared" si="38"/>
        <v>0</v>
      </c>
    </row>
  </sheetData>
  <autoFilter ref="A16:R39" xr:uid="{00000000-0001-0000-0100-000000000000}"/>
  <conditionalFormatting sqref="E46:E47 G46:Q47">
    <cfRule type="cellIs" dxfId="4" priority="3" operator="lessThan">
      <formula>0</formula>
    </cfRule>
    <cfRule type="cellIs" dxfId="3" priority="4" operator="greaterThan">
      <formula>0</formula>
    </cfRule>
  </conditionalFormatting>
  <conditionalFormatting sqref="F46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F48:Q48">
    <cfRule type="cellIs" dxfId="0" priority="5" operator="greaterThan">
      <formula>0.4</formula>
    </cfRule>
  </conditionalFormatting>
  <dataValidations disablePrompts="1" count="1">
    <dataValidation type="list" allowBlank="1" showInputMessage="1" showErrorMessage="1" sqref="E4" xr:uid="{F5946CCA-3BF7-4143-AA27-89CC54EDC31E}">
      <formula1>Lista_CRs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57AB132-2C50-4B9A-AD85-FA5661F10CC1}">
          <x14:formula1>
            <xm:f>Cad_Natureza!$E$4:$E$6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C6FF-B48D-4D92-9187-834B997278DC}">
  <sheetPr codeName="Planilha9"/>
  <dimension ref="B2:L27"/>
  <sheetViews>
    <sheetView showGridLines="0" zoomScale="115" zoomScaleNormal="115" workbookViewId="0">
      <selection activeCell="H8" sqref="H8"/>
    </sheetView>
  </sheetViews>
  <sheetFormatPr defaultRowHeight="15" x14ac:dyDescent="0.25"/>
  <cols>
    <col min="2" max="2" width="12.42578125" customWidth="1"/>
    <col min="3" max="3" width="41.5703125" bestFit="1" customWidth="1"/>
    <col min="4" max="4" width="13.7109375" style="54" customWidth="1"/>
    <col min="6" max="6" width="12" customWidth="1"/>
    <col min="8" max="8" width="12.42578125" customWidth="1"/>
    <col min="9" max="9" width="41.5703125" bestFit="1" customWidth="1"/>
    <col min="10" max="10" width="13.7109375" style="54" customWidth="1"/>
    <col min="12" max="12" width="12" customWidth="1"/>
  </cols>
  <sheetData>
    <row r="2" spans="2:12" x14ac:dyDescent="0.25">
      <c r="J2" s="240">
        <v>45962</v>
      </c>
    </row>
    <row r="3" spans="2:12" x14ac:dyDescent="0.25">
      <c r="B3" s="47" t="s">
        <v>823</v>
      </c>
      <c r="H3" s="47" t="s">
        <v>953</v>
      </c>
    </row>
    <row r="4" spans="2:12" x14ac:dyDescent="0.25">
      <c r="B4" s="193"/>
      <c r="C4" s="193" t="s">
        <v>777</v>
      </c>
      <c r="D4" s="194" t="e">
        <f>SUBTOTAL(9,D6:D27)</f>
        <v>#REF!</v>
      </c>
      <c r="E4" s="195" t="e">
        <f>D4/$D$4</f>
        <v>#REF!</v>
      </c>
      <c r="F4" s="198" t="s">
        <v>31</v>
      </c>
      <c r="H4" s="193"/>
      <c r="I4" s="193" t="s">
        <v>777</v>
      </c>
      <c r="J4" s="194" t="e">
        <f>SUBTOTAL(9,J6:J27)</f>
        <v>#REF!</v>
      </c>
      <c r="K4" s="195" t="e">
        <f>J4/$D$4</f>
        <v>#REF!</v>
      </c>
      <c r="L4" s="198" t="s">
        <v>31</v>
      </c>
    </row>
    <row r="5" spans="2:12" x14ac:dyDescent="0.25">
      <c r="B5" s="188" t="s">
        <v>778</v>
      </c>
      <c r="C5" s="188" t="s">
        <v>24</v>
      </c>
      <c r="D5" s="189" t="s">
        <v>777</v>
      </c>
      <c r="E5" s="190" t="s">
        <v>789</v>
      </c>
      <c r="F5" s="190" t="s">
        <v>790</v>
      </c>
      <c r="H5" s="188" t="s">
        <v>778</v>
      </c>
      <c r="I5" s="188" t="s">
        <v>24</v>
      </c>
      <c r="J5" s="189" t="s">
        <v>777</v>
      </c>
      <c r="K5" s="190" t="s">
        <v>789</v>
      </c>
      <c r="L5" s="190" t="s">
        <v>790</v>
      </c>
    </row>
    <row r="6" spans="2:12" x14ac:dyDescent="0.25">
      <c r="B6" s="199" t="s">
        <v>718</v>
      </c>
      <c r="C6" s="199" t="str">
        <f>VLOOKUP(B6,CAIXA_REAL!C:D,2,0)</f>
        <v>CPF - Pensão - Aluguel</v>
      </c>
      <c r="D6" s="200" t="e">
        <f>SUMIFS(CAIXA_REAL!#REF!,CAIXA_REAL!C:C,B6)</f>
        <v>#REF!</v>
      </c>
      <c r="E6" s="201" t="e">
        <f t="shared" ref="E6:E27" si="0">D6/$D$4</f>
        <v>#REF!</v>
      </c>
      <c r="F6" s="202" t="e">
        <f>E6</f>
        <v>#REF!</v>
      </c>
      <c r="H6" s="199" t="s">
        <v>719</v>
      </c>
      <c r="I6" s="199" t="str">
        <f>VLOOKUP(H6,CAIXA_REAL!C:D,2,0)</f>
        <v>CPF - Pensão - Energia</v>
      </c>
      <c r="J6" s="200" t="e">
        <f>SUMIFS(CAIXA_REAL!#REF!,CAIXA_REAL!C:C,H6)</f>
        <v>#REF!</v>
      </c>
      <c r="K6" s="201" t="e">
        <f t="shared" ref="K6:K27" si="1">J6/$J$4</f>
        <v>#REF!</v>
      </c>
      <c r="L6" s="202" t="e">
        <f>K6</f>
        <v>#REF!</v>
      </c>
    </row>
    <row r="7" spans="2:12" x14ac:dyDescent="0.25">
      <c r="B7" s="199" t="s">
        <v>720</v>
      </c>
      <c r="C7" s="199" t="str">
        <f>VLOOKUP(B7,CAIXA_REAL!C:D,2,0)</f>
        <v>CPF - Pensão - Plano de saúde</v>
      </c>
      <c r="D7" s="200" t="e">
        <f>SUMIFS(CAIXA_REAL!#REF!,CAIXA_REAL!C:C,B7)</f>
        <v>#REF!</v>
      </c>
      <c r="E7" s="201" t="e">
        <f t="shared" si="0"/>
        <v>#REF!</v>
      </c>
      <c r="F7" s="202" t="e">
        <f t="shared" ref="F7:F27" si="2">F6+E7</f>
        <v>#REF!</v>
      </c>
      <c r="H7" s="199" t="s">
        <v>720</v>
      </c>
      <c r="I7" s="199" t="str">
        <f>VLOOKUP(H7,CAIXA_REAL!C:D,2,0)</f>
        <v>CPF - Pensão - Plano de saúde</v>
      </c>
      <c r="J7" s="200" t="e">
        <f>SUMIFS(CAIXA_REAL!#REF!,CAIXA_REAL!C:C,H7)</f>
        <v>#REF!</v>
      </c>
      <c r="K7" s="201" t="e">
        <f t="shared" si="1"/>
        <v>#REF!</v>
      </c>
      <c r="L7" s="202" t="e">
        <f t="shared" ref="L7:L27" si="3">L6+K7</f>
        <v>#REF!</v>
      </c>
    </row>
    <row r="8" spans="2:12" x14ac:dyDescent="0.25">
      <c r="B8" s="199" t="s">
        <v>762</v>
      </c>
      <c r="C8" s="199" t="str">
        <f>VLOOKUP(B8,CAIXA_REAL!C:D,2,0)</f>
        <v>CPF - Desp. Lazer e Entretenimento - Bares</v>
      </c>
      <c r="D8" s="200" t="e">
        <f>SUMIFS(CAIXA_REAL!#REF!,CAIXA_REAL!C:C,B8)</f>
        <v>#REF!</v>
      </c>
      <c r="E8" s="201" t="e">
        <f t="shared" si="0"/>
        <v>#REF!</v>
      </c>
      <c r="F8" s="202" t="e">
        <f t="shared" si="2"/>
        <v>#REF!</v>
      </c>
      <c r="H8" s="199" t="s">
        <v>718</v>
      </c>
      <c r="I8" s="199" t="str">
        <f>VLOOKUP(H8,CAIXA_REAL!C:D,2,0)</f>
        <v>CPF - Pensão - Aluguel</v>
      </c>
      <c r="J8" s="200" t="e">
        <f>SUMIFS(CAIXA_REAL!#REF!,CAIXA_REAL!C:C,H8)</f>
        <v>#REF!</v>
      </c>
      <c r="K8" s="201" t="e">
        <f t="shared" si="1"/>
        <v>#REF!</v>
      </c>
      <c r="L8" s="202" t="e">
        <f t="shared" si="3"/>
        <v>#REF!</v>
      </c>
    </row>
    <row r="9" spans="2:12" x14ac:dyDescent="0.25">
      <c r="B9" s="199" t="s">
        <v>719</v>
      </c>
      <c r="C9" s="199" t="str">
        <f>VLOOKUP(B9,CAIXA_REAL!C:D,2,0)</f>
        <v>CPF - Pensão - Energia</v>
      </c>
      <c r="D9" s="200" t="e">
        <f>SUMIFS(CAIXA_REAL!#REF!,CAIXA_REAL!C:C,B9)</f>
        <v>#REF!</v>
      </c>
      <c r="E9" s="201" t="e">
        <f t="shared" si="0"/>
        <v>#REF!</v>
      </c>
      <c r="F9" s="202" t="e">
        <f t="shared" si="2"/>
        <v>#REF!</v>
      </c>
      <c r="H9" s="199" t="s">
        <v>732</v>
      </c>
      <c r="I9" s="199" t="str">
        <f>VLOOKUP(H9,CAIXA_REAL!C:D,2,0)</f>
        <v>CPF - Transf. Da conta PF para a conta PJ</v>
      </c>
      <c r="J9" s="200" t="e">
        <f>SUMIFS(CAIXA_REAL!#REF!,CAIXA_REAL!C:C,H9)</f>
        <v>#REF!</v>
      </c>
      <c r="K9" s="201" t="e">
        <f t="shared" si="1"/>
        <v>#REF!</v>
      </c>
      <c r="L9" s="202" t="e">
        <f t="shared" si="3"/>
        <v>#REF!</v>
      </c>
    </row>
    <row r="10" spans="2:12" x14ac:dyDescent="0.25">
      <c r="B10" s="199" t="s">
        <v>8</v>
      </c>
      <c r="C10" s="199" t="str">
        <f>VLOOKUP(B10,CAIXA_REAL!C:D,2,0)</f>
        <v>CPF - Desp. Alimentação / Refeição</v>
      </c>
      <c r="D10" s="200" t="e">
        <f>SUMIFS(CAIXA_REAL!#REF!,CAIXA_REAL!C:C,B10)</f>
        <v>#REF!</v>
      </c>
      <c r="E10" s="201" t="e">
        <f t="shared" si="0"/>
        <v>#REF!</v>
      </c>
      <c r="F10" s="202" t="e">
        <f t="shared" si="2"/>
        <v>#REF!</v>
      </c>
      <c r="H10" s="191" t="s">
        <v>8</v>
      </c>
      <c r="I10" s="191" t="str">
        <f>VLOOKUP(H10,CAIXA_REAL!C:D,2,0)</f>
        <v>CPF - Desp. Alimentação / Refeição</v>
      </c>
      <c r="J10" s="196" t="e">
        <f>SUMIFS(CAIXA_REAL!#REF!,CAIXA_REAL!C:C,H10)</f>
        <v>#REF!</v>
      </c>
      <c r="K10" s="197" t="e">
        <f t="shared" si="1"/>
        <v>#REF!</v>
      </c>
      <c r="L10" s="192" t="e">
        <f t="shared" si="3"/>
        <v>#REF!</v>
      </c>
    </row>
    <row r="11" spans="2:12" x14ac:dyDescent="0.25">
      <c r="B11" s="199" t="s">
        <v>9</v>
      </c>
      <c r="C11" s="199" t="str">
        <f>VLOOKUP(B11,CAIXA_REAL!C:D,2,0)</f>
        <v>CPF - Desp. Transporte / Combustível</v>
      </c>
      <c r="D11" s="200" t="e">
        <f>SUMIFS(CAIXA_REAL!#REF!,CAIXA_REAL!C:C,B11)</f>
        <v>#REF!</v>
      </c>
      <c r="E11" s="201" t="e">
        <f t="shared" si="0"/>
        <v>#REF!</v>
      </c>
      <c r="F11" s="202" t="e">
        <f t="shared" si="2"/>
        <v>#REF!</v>
      </c>
      <c r="H11" s="191" t="s">
        <v>9</v>
      </c>
      <c r="I11" s="191" t="str">
        <f>VLOOKUP(H11,CAIXA_REAL!C:D,2,0)</f>
        <v>CPF - Desp. Transporte / Combustível</v>
      </c>
      <c r="J11" s="196" t="e">
        <f>SUMIFS(CAIXA_REAL!#REF!,CAIXA_REAL!C:C,H11)</f>
        <v>#REF!</v>
      </c>
      <c r="K11" s="197" t="e">
        <f t="shared" si="1"/>
        <v>#REF!</v>
      </c>
      <c r="L11" s="192" t="e">
        <f t="shared" si="3"/>
        <v>#REF!</v>
      </c>
    </row>
    <row r="12" spans="2:12" x14ac:dyDescent="0.25">
      <c r="B12" s="199" t="s">
        <v>721</v>
      </c>
      <c r="C12" s="199" t="str">
        <f>VLOOKUP(B12,CAIXA_REAL!C:D,2,0)</f>
        <v>CPF - Desp. Cartão de crédito</v>
      </c>
      <c r="D12" s="200" t="e">
        <f>SUMIFS(CAIXA_REAL!#REF!,CAIXA_REAL!C:C,B12)</f>
        <v>#REF!</v>
      </c>
      <c r="E12" s="201" t="e">
        <f t="shared" si="0"/>
        <v>#REF!</v>
      </c>
      <c r="F12" s="202" t="e">
        <f t="shared" si="2"/>
        <v>#REF!</v>
      </c>
      <c r="H12" s="191" t="s">
        <v>762</v>
      </c>
      <c r="I12" s="191" t="str">
        <f>VLOOKUP(H12,CAIXA_REAL!C:D,2,0)</f>
        <v>CPF - Desp. Lazer e Entretenimento - Bares</v>
      </c>
      <c r="J12" s="196" t="e">
        <f>SUMIFS(CAIXA_REAL!#REF!,CAIXA_REAL!C:C,H12)</f>
        <v>#REF!</v>
      </c>
      <c r="K12" s="197" t="e">
        <f t="shared" si="1"/>
        <v>#REF!</v>
      </c>
      <c r="L12" s="192" t="e">
        <f t="shared" si="3"/>
        <v>#REF!</v>
      </c>
    </row>
    <row r="13" spans="2:12" x14ac:dyDescent="0.25">
      <c r="B13" s="199" t="s">
        <v>732</v>
      </c>
      <c r="C13" s="199" t="str">
        <f>VLOOKUP(B13,CAIXA_REAL!C:D,2,0)</f>
        <v>CPF - Transf. Da conta PF para a conta PJ</v>
      </c>
      <c r="D13" s="200" t="e">
        <f>SUMIFS(CAIXA_REAL!#REF!,CAIXA_REAL!C:C,B13)</f>
        <v>#REF!</v>
      </c>
      <c r="E13" s="201" t="e">
        <f t="shared" si="0"/>
        <v>#REF!</v>
      </c>
      <c r="F13" s="202" t="e">
        <f t="shared" si="2"/>
        <v>#REF!</v>
      </c>
      <c r="H13" s="191" t="s">
        <v>763</v>
      </c>
      <c r="I13" s="191" t="str">
        <f>VLOOKUP(H13,CAIXA_REAL!C:D,2,0)</f>
        <v>CPF - Desp. Lazer e Entretenimento - Cigarro</v>
      </c>
      <c r="J13" s="196" t="e">
        <f>SUMIFS(CAIXA_REAL!#REF!,CAIXA_REAL!C:C,H13)</f>
        <v>#REF!</v>
      </c>
      <c r="K13" s="197" t="e">
        <f t="shared" si="1"/>
        <v>#REF!</v>
      </c>
      <c r="L13" s="192" t="e">
        <f t="shared" si="3"/>
        <v>#REF!</v>
      </c>
    </row>
    <row r="14" spans="2:12" x14ac:dyDescent="0.25">
      <c r="B14" s="199" t="s">
        <v>725</v>
      </c>
      <c r="C14" s="199" t="str">
        <f>VLOOKUP(B14,CAIXA_REAL!C:D,2,0)</f>
        <v>CPF - Pensão - Supermercado</v>
      </c>
      <c r="D14" s="200" t="e">
        <f>SUMIFS(CAIXA_REAL!#REF!,CAIXA_REAL!C:C,B14)</f>
        <v>#REF!</v>
      </c>
      <c r="E14" s="201" t="e">
        <f t="shared" si="0"/>
        <v>#REF!</v>
      </c>
      <c r="F14" s="202" t="e">
        <f t="shared" si="2"/>
        <v>#REF!</v>
      </c>
      <c r="H14" s="191" t="s">
        <v>714</v>
      </c>
      <c r="I14" s="191" t="str">
        <f>VLOOKUP(H14,CAIXA_REAL!C:D,2,0)</f>
        <v>CPF - Desp. Financeiras - Juros / Tarifas</v>
      </c>
      <c r="J14" s="196" t="e">
        <f>SUMIFS(CAIXA_REAL!#REF!,CAIXA_REAL!C:C,H14)</f>
        <v>#REF!</v>
      </c>
      <c r="K14" s="197" t="e">
        <f t="shared" si="1"/>
        <v>#REF!</v>
      </c>
      <c r="L14" s="192" t="e">
        <f t="shared" si="3"/>
        <v>#REF!</v>
      </c>
    </row>
    <row r="15" spans="2:12" x14ac:dyDescent="0.25">
      <c r="B15" s="191" t="s">
        <v>722</v>
      </c>
      <c r="C15" s="191" t="str">
        <f>VLOOKUP(B15,CAIXA_REAL!C:D,2,0)</f>
        <v>CPF - Desp. Telefone / Internet</v>
      </c>
      <c r="D15" s="196" t="e">
        <f>SUMIFS(CAIXA_REAL!#REF!,CAIXA_REAL!C:C,B15)</f>
        <v>#REF!</v>
      </c>
      <c r="E15" s="197" t="e">
        <f t="shared" si="0"/>
        <v>#REF!</v>
      </c>
      <c r="F15" s="192" t="e">
        <f t="shared" si="2"/>
        <v>#REF!</v>
      </c>
      <c r="H15" s="191" t="s">
        <v>764</v>
      </c>
      <c r="I15" s="191" t="str">
        <f>VLOOKUP(H15,CAIXA_REAL!C:D,2,0)</f>
        <v>CPF - Outros gastos</v>
      </c>
      <c r="J15" s="196" t="e">
        <f>SUMIFS(CAIXA_REAL!#REF!,CAIXA_REAL!C:C,H15)</f>
        <v>#REF!</v>
      </c>
      <c r="K15" s="197" t="e">
        <f t="shared" si="1"/>
        <v>#REF!</v>
      </c>
      <c r="L15" s="192" t="e">
        <f t="shared" si="3"/>
        <v>#REF!</v>
      </c>
    </row>
    <row r="16" spans="2:12" x14ac:dyDescent="0.25">
      <c r="B16" s="191" t="s">
        <v>11</v>
      </c>
      <c r="C16" s="191" t="str">
        <f>VLOOKUP(B16,CAIXA_REAL!C:D,2,0)</f>
        <v>CPF - Desp. Financeiras - Empréstimos</v>
      </c>
      <c r="D16" s="196" t="e">
        <f>SUMIFS(CAIXA_REAL!#REF!,CAIXA_REAL!C:C,B16)</f>
        <v>#REF!</v>
      </c>
      <c r="E16" s="197" t="e">
        <f t="shared" si="0"/>
        <v>#REF!</v>
      </c>
      <c r="F16" s="192" t="e">
        <f t="shared" si="2"/>
        <v>#REF!</v>
      </c>
      <c r="H16" s="191" t="s">
        <v>11</v>
      </c>
      <c r="I16" s="191" t="str">
        <f>VLOOKUP(H16,CAIXA_REAL!C:D,2,0)</f>
        <v>CPF - Desp. Financeiras - Empréstimos</v>
      </c>
      <c r="J16" s="196" t="e">
        <f>SUMIFS(CAIXA_REAL!#REF!,CAIXA_REAL!C:C,H16)</f>
        <v>#REF!</v>
      </c>
      <c r="K16" s="197" t="e">
        <f t="shared" si="1"/>
        <v>#REF!</v>
      </c>
      <c r="L16" s="192" t="e">
        <f t="shared" si="3"/>
        <v>#REF!</v>
      </c>
    </row>
    <row r="17" spans="2:12" x14ac:dyDescent="0.25">
      <c r="B17" s="191" t="s">
        <v>726</v>
      </c>
      <c r="C17" s="191" t="str">
        <f>VLOOKUP(B17,CAIXA_REAL!C:D,2,0)</f>
        <v>CPF - Pensão - Água</v>
      </c>
      <c r="D17" s="196" t="e">
        <f>SUMIFS(CAIXA_REAL!#REF!,CAIXA_REAL!C:C,B17)</f>
        <v>#REF!</v>
      </c>
      <c r="E17" s="197" t="e">
        <f t="shared" si="0"/>
        <v>#REF!</v>
      </c>
      <c r="F17" s="192" t="e">
        <f t="shared" si="2"/>
        <v>#REF!</v>
      </c>
      <c r="H17" s="191" t="s">
        <v>721</v>
      </c>
      <c r="I17" s="191" t="str">
        <f>VLOOKUP(H17,CAIXA_REAL!C:D,2,0)</f>
        <v>CPF - Desp. Cartão de crédito</v>
      </c>
      <c r="J17" s="196" t="e">
        <f>SUMIFS(CAIXA_REAL!#REF!,CAIXA_REAL!C:C,H17)</f>
        <v>#REF!</v>
      </c>
      <c r="K17" s="197" t="e">
        <f t="shared" si="1"/>
        <v>#REF!</v>
      </c>
      <c r="L17" s="192" t="e">
        <f t="shared" si="3"/>
        <v>#REF!</v>
      </c>
    </row>
    <row r="18" spans="2:12" x14ac:dyDescent="0.25">
      <c r="B18" s="191" t="s">
        <v>763</v>
      </c>
      <c r="C18" s="191" t="str">
        <f>VLOOKUP(B18,CAIXA_REAL!C:D,2,0)</f>
        <v>CPF - Desp. Lazer e Entretenimento - Cigarro</v>
      </c>
      <c r="D18" s="196" t="e">
        <f>SUMIFS(CAIXA_REAL!#REF!,CAIXA_REAL!C:C,B18)</f>
        <v>#REF!</v>
      </c>
      <c r="E18" s="197" t="e">
        <f t="shared" si="0"/>
        <v>#REF!</v>
      </c>
      <c r="F18" s="192" t="e">
        <f t="shared" si="2"/>
        <v>#REF!</v>
      </c>
      <c r="H18" s="191" t="s">
        <v>723</v>
      </c>
      <c r="I18" s="191" t="str">
        <f>VLOOKUP(H18,CAIXA_REAL!C:D,2,0)</f>
        <v xml:space="preserve">CPF - Desp. com veículo - Manut. / Gastos </v>
      </c>
      <c r="J18" s="196" t="e">
        <f>SUMIFS(CAIXA_REAL!#REF!,CAIXA_REAL!C:C,H18)</f>
        <v>#REF!</v>
      </c>
      <c r="K18" s="197" t="e">
        <f t="shared" si="1"/>
        <v>#REF!</v>
      </c>
      <c r="L18" s="192" t="e">
        <f t="shared" si="3"/>
        <v>#REF!</v>
      </c>
    </row>
    <row r="19" spans="2:12" x14ac:dyDescent="0.25">
      <c r="B19" s="191" t="s">
        <v>727</v>
      </c>
      <c r="C19" s="191" t="str">
        <f>VLOOKUP(B19,CAIXA_REAL!C:D,2,0)</f>
        <v>CPF - Pensão - Farmácia e Saúde</v>
      </c>
      <c r="D19" s="196" t="e">
        <f>SUMIFS(CAIXA_REAL!#REF!,CAIXA_REAL!C:C,B19)</f>
        <v>#REF!</v>
      </c>
      <c r="E19" s="197" t="e">
        <f t="shared" si="0"/>
        <v>#REF!</v>
      </c>
      <c r="F19" s="192" t="e">
        <f t="shared" si="2"/>
        <v>#REF!</v>
      </c>
      <c r="H19" s="191" t="s">
        <v>722</v>
      </c>
      <c r="I19" s="191" t="str">
        <f>VLOOKUP(H19,CAIXA_REAL!C:D,2,0)</f>
        <v>CPF - Desp. Telefone / Internet</v>
      </c>
      <c r="J19" s="196" t="e">
        <f>SUMIFS(CAIXA_REAL!#REF!,CAIXA_REAL!C:C,H19)</f>
        <v>#REF!</v>
      </c>
      <c r="K19" s="197" t="e">
        <f t="shared" si="1"/>
        <v>#REF!</v>
      </c>
      <c r="L19" s="192" t="e">
        <f t="shared" si="3"/>
        <v>#REF!</v>
      </c>
    </row>
    <row r="20" spans="2:12" x14ac:dyDescent="0.25">
      <c r="B20" s="191" t="s">
        <v>714</v>
      </c>
      <c r="C20" s="191" t="str">
        <f>VLOOKUP(B20,CAIXA_REAL!C:D,2,0)</f>
        <v>CPF - Desp. Financeiras - Juros / Tarifas</v>
      </c>
      <c r="D20" s="196" t="e">
        <f>SUMIFS(CAIXA_REAL!#REF!,CAIXA_REAL!C:C,B20)</f>
        <v>#REF!</v>
      </c>
      <c r="E20" s="197" t="e">
        <f t="shared" si="0"/>
        <v>#REF!</v>
      </c>
      <c r="F20" s="192" t="e">
        <f t="shared" si="2"/>
        <v>#REF!</v>
      </c>
      <c r="H20" s="191" t="s">
        <v>725</v>
      </c>
      <c r="I20" s="191" t="str">
        <f>VLOOKUP(H20,CAIXA_REAL!C:D,2,0)</f>
        <v>CPF - Pensão - Supermercado</v>
      </c>
      <c r="J20" s="196" t="e">
        <f>SUMIFS(CAIXA_REAL!#REF!,CAIXA_REAL!C:C,H20)</f>
        <v>#REF!</v>
      </c>
      <c r="K20" s="197" t="e">
        <f t="shared" si="1"/>
        <v>#REF!</v>
      </c>
      <c r="L20" s="192" t="e">
        <f t="shared" si="3"/>
        <v>#REF!</v>
      </c>
    </row>
    <row r="21" spans="2:12" x14ac:dyDescent="0.25">
      <c r="B21" s="191" t="s">
        <v>724</v>
      </c>
      <c r="C21" s="191" t="str">
        <f>VLOOKUP(B21,CAIXA_REAL!C:D,2,0)</f>
        <v>CPF - Desp. Moradia</v>
      </c>
      <c r="D21" s="196" t="e">
        <f>SUMIFS(CAIXA_REAL!#REF!,CAIXA_REAL!C:C,B21)</f>
        <v>#REF!</v>
      </c>
      <c r="E21" s="197" t="e">
        <f t="shared" si="0"/>
        <v>#REF!</v>
      </c>
      <c r="F21" s="192" t="e">
        <f t="shared" si="2"/>
        <v>#REF!</v>
      </c>
      <c r="H21" s="191" t="s">
        <v>726</v>
      </c>
      <c r="I21" s="191" t="str">
        <f>VLOOKUP(H21,CAIXA_REAL!C:D,2,0)</f>
        <v>CPF - Pensão - Água</v>
      </c>
      <c r="J21" s="196" t="e">
        <f>SUMIFS(CAIXA_REAL!#REF!,CAIXA_REAL!C:C,H21)</f>
        <v>#REF!</v>
      </c>
      <c r="K21" s="197" t="e">
        <f t="shared" si="1"/>
        <v>#REF!</v>
      </c>
      <c r="L21" s="192" t="e">
        <f t="shared" si="3"/>
        <v>#REF!</v>
      </c>
    </row>
    <row r="22" spans="2:12" x14ac:dyDescent="0.25">
      <c r="B22" s="191" t="s">
        <v>738</v>
      </c>
      <c r="C22" s="191" t="str">
        <f>VLOOKUP(B22,CAIXA_REAL!C:D,2,0)</f>
        <v>CPF - Pensão - Outros Gastos</v>
      </c>
      <c r="D22" s="196" t="e">
        <f>SUMIFS(CAIXA_REAL!#REF!,CAIXA_REAL!C:C,B22)</f>
        <v>#REF!</v>
      </c>
      <c r="E22" s="197" t="e">
        <f t="shared" si="0"/>
        <v>#REF!</v>
      </c>
      <c r="F22" s="192" t="e">
        <f t="shared" si="2"/>
        <v>#REF!</v>
      </c>
      <c r="H22" s="191" t="s">
        <v>727</v>
      </c>
      <c r="I22" s="191" t="str">
        <f>VLOOKUP(H22,CAIXA_REAL!C:D,2,0)</f>
        <v>CPF - Pensão - Farmácia e Saúde</v>
      </c>
      <c r="J22" s="196" t="e">
        <f>SUMIFS(CAIXA_REAL!#REF!,CAIXA_REAL!C:C,H22)</f>
        <v>#REF!</v>
      </c>
      <c r="K22" s="197" t="e">
        <f t="shared" si="1"/>
        <v>#REF!</v>
      </c>
      <c r="L22" s="192" t="e">
        <f t="shared" si="3"/>
        <v>#REF!</v>
      </c>
    </row>
    <row r="23" spans="2:12" x14ac:dyDescent="0.25">
      <c r="B23" s="191" t="s">
        <v>764</v>
      </c>
      <c r="C23" s="191" t="str">
        <f>VLOOKUP(B23,CAIXA_REAL!C:D,2,0)</f>
        <v>CPF - Outros gastos</v>
      </c>
      <c r="D23" s="196" t="e">
        <f>SUMIFS(CAIXA_REAL!#REF!,CAIXA_REAL!C:C,B23)</f>
        <v>#REF!</v>
      </c>
      <c r="E23" s="197" t="e">
        <f t="shared" si="0"/>
        <v>#REF!</v>
      </c>
      <c r="F23" s="192" t="e">
        <f t="shared" si="2"/>
        <v>#REF!</v>
      </c>
      <c r="H23" s="191" t="s">
        <v>724</v>
      </c>
      <c r="I23" s="191" t="str">
        <f>VLOOKUP(H23,CAIXA_REAL!C:D,2,0)</f>
        <v>CPF - Desp. Moradia</v>
      </c>
      <c r="J23" s="196" t="e">
        <f>SUMIFS(CAIXA_REAL!#REF!,CAIXA_REAL!C:C,H23)</f>
        <v>#REF!</v>
      </c>
      <c r="K23" s="197" t="e">
        <f t="shared" si="1"/>
        <v>#REF!</v>
      </c>
      <c r="L23" s="192" t="e">
        <f t="shared" si="3"/>
        <v>#REF!</v>
      </c>
    </row>
    <row r="24" spans="2:12" x14ac:dyDescent="0.25">
      <c r="B24" s="191" t="s">
        <v>723</v>
      </c>
      <c r="C24" s="191" t="str">
        <f>VLOOKUP(B24,CAIXA_REAL!C:D,2,0)</f>
        <v xml:space="preserve">CPF - Desp. com veículo - Manut. / Gastos </v>
      </c>
      <c r="D24" s="196" t="e">
        <f>SUMIFS(CAIXA_REAL!#REF!,CAIXA_REAL!C:C,B24)</f>
        <v>#REF!</v>
      </c>
      <c r="E24" s="197" t="e">
        <f t="shared" si="0"/>
        <v>#REF!</v>
      </c>
      <c r="F24" s="192" t="e">
        <f t="shared" si="2"/>
        <v>#REF!</v>
      </c>
      <c r="H24" s="191" t="s">
        <v>738</v>
      </c>
      <c r="I24" s="191" t="str">
        <f>VLOOKUP(H24,CAIXA_REAL!C:D,2,0)</f>
        <v>CPF - Pensão - Outros Gastos</v>
      </c>
      <c r="J24" s="196" t="e">
        <f>SUMIFS(CAIXA_REAL!#REF!,CAIXA_REAL!C:C,H24)</f>
        <v>#REF!</v>
      </c>
      <c r="K24" s="197" t="e">
        <f t="shared" si="1"/>
        <v>#REF!</v>
      </c>
      <c r="L24" s="192" t="e">
        <f t="shared" si="3"/>
        <v>#REF!</v>
      </c>
    </row>
    <row r="25" spans="2:12" x14ac:dyDescent="0.25">
      <c r="B25" s="191" t="s">
        <v>728</v>
      </c>
      <c r="C25" s="191" t="str">
        <f>VLOOKUP(B25,CAIXA_REAL!C:D,2,0)</f>
        <v>CPF - Pensão - Internet</v>
      </c>
      <c r="D25" s="196" t="e">
        <f>SUMIFS(CAIXA_REAL!#REF!,CAIXA_REAL!C:C,B25)</f>
        <v>#REF!</v>
      </c>
      <c r="E25" s="197" t="e">
        <f t="shared" si="0"/>
        <v>#REF!</v>
      </c>
      <c r="F25" s="192" t="e">
        <f t="shared" si="2"/>
        <v>#REF!</v>
      </c>
      <c r="H25" s="191" t="s">
        <v>728</v>
      </c>
      <c r="I25" s="191" t="str">
        <f>VLOOKUP(H25,CAIXA_REAL!C:D,2,0)</f>
        <v>CPF - Pensão - Internet</v>
      </c>
      <c r="J25" s="196" t="e">
        <f>SUMIFS(CAIXA_REAL!#REF!,CAIXA_REAL!C:C,H25)</f>
        <v>#REF!</v>
      </c>
      <c r="K25" s="197" t="e">
        <f t="shared" si="1"/>
        <v>#REF!</v>
      </c>
      <c r="L25" s="192" t="e">
        <f t="shared" si="3"/>
        <v>#REF!</v>
      </c>
    </row>
    <row r="26" spans="2:12" x14ac:dyDescent="0.25">
      <c r="B26" s="191" t="s">
        <v>10</v>
      </c>
      <c r="C26" s="191" t="str">
        <f>VLOOKUP(B26,CAIXA_REAL!C:D,2,0)</f>
        <v>CPF - Desp. Impostos e Obrigações</v>
      </c>
      <c r="D26" s="196" t="e">
        <f>SUMIFS(CAIXA_REAL!#REF!,CAIXA_REAL!C:C,B26)</f>
        <v>#REF!</v>
      </c>
      <c r="E26" s="197" t="e">
        <f t="shared" si="0"/>
        <v>#REF!</v>
      </c>
      <c r="F26" s="192" t="e">
        <f t="shared" si="2"/>
        <v>#REF!</v>
      </c>
      <c r="H26" s="191" t="s">
        <v>10</v>
      </c>
      <c r="I26" s="191" t="str">
        <f>VLOOKUP(H26,CAIXA_REAL!C:D,2,0)</f>
        <v>CPF - Desp. Impostos e Obrigações</v>
      </c>
      <c r="J26" s="196" t="e">
        <f>SUMIFS(CAIXA_REAL!#REF!,CAIXA_REAL!C:C,H26)</f>
        <v>#REF!</v>
      </c>
      <c r="K26" s="197" t="e">
        <f t="shared" si="1"/>
        <v>#REF!</v>
      </c>
      <c r="L26" s="192" t="e">
        <f t="shared" si="3"/>
        <v>#REF!</v>
      </c>
    </row>
    <row r="27" spans="2:12" x14ac:dyDescent="0.25">
      <c r="B27" s="191" t="s">
        <v>729</v>
      </c>
      <c r="C27" s="191" t="str">
        <f>VLOOKUP(B27,CAIXA_REAL!C:D,2,0)</f>
        <v>CPF - Pensão - Alimentação</v>
      </c>
      <c r="D27" s="196" t="e">
        <f>SUMIFS(CAIXA_REAL!#REF!,CAIXA_REAL!C:C,B27)</f>
        <v>#REF!</v>
      </c>
      <c r="E27" s="197" t="e">
        <f t="shared" si="0"/>
        <v>#REF!</v>
      </c>
      <c r="F27" s="192" t="e">
        <f t="shared" si="2"/>
        <v>#REF!</v>
      </c>
      <c r="H27" s="191" t="s">
        <v>729</v>
      </c>
      <c r="I27" s="191" t="str">
        <f>VLOOKUP(H27,CAIXA_REAL!C:D,2,0)</f>
        <v>CPF - Pensão - Alimentação</v>
      </c>
      <c r="J27" s="196" t="e">
        <f>SUMIFS(CAIXA_REAL!#REF!,CAIXA_REAL!C:C,H27)</f>
        <v>#REF!</v>
      </c>
      <c r="K27" s="197" t="e">
        <f t="shared" si="1"/>
        <v>#REF!</v>
      </c>
      <c r="L27" s="192" t="e">
        <f t="shared" si="3"/>
        <v>#REF!</v>
      </c>
    </row>
  </sheetData>
  <autoFilter ref="B5:L5" xr:uid="{68DFC6FF-B48D-4D92-9187-834B997278DC}"/>
  <sortState xmlns:xlrd2="http://schemas.microsoft.com/office/spreadsheetml/2017/richdata2" ref="H6:L27">
    <sortCondition ref="J6:J27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F85C-C79B-4F81-8160-AA056D7B33ED}">
  <sheetPr codeName="Planilha11"/>
  <dimension ref="B2:O35"/>
  <sheetViews>
    <sheetView workbookViewId="0">
      <selection activeCell="B4" sqref="B4"/>
    </sheetView>
  </sheetViews>
  <sheetFormatPr defaultRowHeight="15" x14ac:dyDescent="0.25"/>
  <cols>
    <col min="2" max="2" width="48.85546875" bestFit="1" customWidth="1"/>
    <col min="3" max="3" width="14.5703125" style="54" bestFit="1" customWidth="1"/>
    <col min="4" max="4" width="12.140625" bestFit="1" customWidth="1"/>
    <col min="5" max="5" width="13.140625" bestFit="1" customWidth="1"/>
    <col min="6" max="6" width="11.42578125" bestFit="1" customWidth="1"/>
    <col min="8" max="8" width="9.5703125" bestFit="1" customWidth="1"/>
    <col min="10" max="10" width="9.5703125" bestFit="1" customWidth="1"/>
    <col min="14" max="14" width="11.140625" bestFit="1" customWidth="1"/>
  </cols>
  <sheetData>
    <row r="2" spans="2:15" x14ac:dyDescent="0.25">
      <c r="B2" s="277" t="s">
        <v>1135</v>
      </c>
      <c r="C2" s="278" t="s">
        <v>1136</v>
      </c>
      <c r="D2" t="s">
        <v>1137</v>
      </c>
      <c r="E2" t="s">
        <v>1138</v>
      </c>
      <c r="F2" s="47" t="s">
        <v>1139</v>
      </c>
    </row>
    <row r="3" spans="2:15" x14ac:dyDescent="0.25">
      <c r="B3" t="s">
        <v>1140</v>
      </c>
      <c r="C3" s="54">
        <v>700</v>
      </c>
      <c r="D3">
        <v>3</v>
      </c>
      <c r="E3">
        <v>2</v>
      </c>
      <c r="F3" s="53">
        <f>C3/D3*E3</f>
        <v>466.66666666666669</v>
      </c>
    </row>
    <row r="4" spans="2:15" x14ac:dyDescent="0.25">
      <c r="B4" t="s">
        <v>1141</v>
      </c>
      <c r="C4" s="54">
        <v>1000</v>
      </c>
      <c r="D4">
        <v>3</v>
      </c>
      <c r="E4">
        <v>2</v>
      </c>
      <c r="F4" s="53">
        <f t="shared" ref="F4:F9" si="0">C4/D4*E4</f>
        <v>666.66666666666663</v>
      </c>
    </row>
    <row r="5" spans="2:15" x14ac:dyDescent="0.25">
      <c r="B5" t="s">
        <v>1142</v>
      </c>
      <c r="C5" s="54">
        <v>500</v>
      </c>
      <c r="D5">
        <v>3</v>
      </c>
      <c r="E5">
        <v>2</v>
      </c>
      <c r="F5" s="53">
        <f t="shared" si="0"/>
        <v>333.33333333333331</v>
      </c>
      <c r="N5" s="277" t="s">
        <v>1182</v>
      </c>
      <c r="O5" s="277" t="s">
        <v>1136</v>
      </c>
    </row>
    <row r="6" spans="2:15" x14ac:dyDescent="0.25">
      <c r="B6" t="s">
        <v>1143</v>
      </c>
      <c r="C6" s="54">
        <v>200</v>
      </c>
      <c r="D6">
        <v>3</v>
      </c>
      <c r="E6">
        <v>2</v>
      </c>
      <c r="F6" s="53">
        <f t="shared" si="0"/>
        <v>133.33333333333334</v>
      </c>
      <c r="N6" t="s">
        <v>1144</v>
      </c>
      <c r="O6" s="279">
        <v>250</v>
      </c>
    </row>
    <row r="7" spans="2:15" x14ac:dyDescent="0.25">
      <c r="B7" t="s">
        <v>1145</v>
      </c>
      <c r="C7" s="54">
        <v>150</v>
      </c>
      <c r="D7">
        <v>3</v>
      </c>
      <c r="E7">
        <v>2</v>
      </c>
      <c r="F7" s="53">
        <f t="shared" si="0"/>
        <v>100</v>
      </c>
      <c r="N7" t="s">
        <v>1146</v>
      </c>
      <c r="O7" s="279">
        <v>250</v>
      </c>
    </row>
    <row r="8" spans="2:15" x14ac:dyDescent="0.25">
      <c r="B8" t="s">
        <v>359</v>
      </c>
      <c r="C8" s="54">
        <v>200</v>
      </c>
      <c r="D8">
        <v>3</v>
      </c>
      <c r="E8">
        <v>2</v>
      </c>
      <c r="F8" s="53">
        <f t="shared" si="0"/>
        <v>133.33333333333334</v>
      </c>
      <c r="N8" t="s">
        <v>1147</v>
      </c>
      <c r="O8" s="279">
        <v>250</v>
      </c>
    </row>
    <row r="9" spans="2:15" x14ac:dyDescent="0.25">
      <c r="B9" t="s">
        <v>1148</v>
      </c>
      <c r="C9" s="54">
        <f>297.5/2</f>
        <v>148.75</v>
      </c>
      <c r="D9">
        <v>3</v>
      </c>
      <c r="E9">
        <v>2</v>
      </c>
      <c r="F9" s="53">
        <f t="shared" si="0"/>
        <v>99.166666666666671</v>
      </c>
      <c r="N9" t="s">
        <v>1149</v>
      </c>
      <c r="O9" s="279">
        <v>250</v>
      </c>
    </row>
    <row r="10" spans="2:15" x14ac:dyDescent="0.25">
      <c r="B10" s="277" t="s">
        <v>1150</v>
      </c>
      <c r="C10" s="278">
        <f>SUM(C3:C9)</f>
        <v>2898.75</v>
      </c>
      <c r="F10" s="49">
        <f>SUM(F3:F9)</f>
        <v>1932.4999999999998</v>
      </c>
      <c r="H10" s="279">
        <v>1621</v>
      </c>
      <c r="I10">
        <v>0.8</v>
      </c>
      <c r="J10" s="280">
        <f>H10*I10</f>
        <v>1296.8000000000002</v>
      </c>
      <c r="N10" t="s">
        <v>1151</v>
      </c>
      <c r="O10" s="279">
        <v>250</v>
      </c>
    </row>
    <row r="11" spans="2:15" x14ac:dyDescent="0.25">
      <c r="F11" s="53"/>
      <c r="H11" s="53"/>
      <c r="J11" s="280"/>
      <c r="N11" t="s">
        <v>1152</v>
      </c>
      <c r="O11" s="279">
        <v>250</v>
      </c>
    </row>
    <row r="12" spans="2:15" x14ac:dyDescent="0.25">
      <c r="J12" s="279"/>
      <c r="N12" t="s">
        <v>1153</v>
      </c>
      <c r="O12" s="279">
        <v>250</v>
      </c>
    </row>
    <row r="13" spans="2:15" x14ac:dyDescent="0.25">
      <c r="N13" t="s">
        <v>1154</v>
      </c>
      <c r="O13" s="279">
        <v>250</v>
      </c>
    </row>
    <row r="14" spans="2:15" x14ac:dyDescent="0.25">
      <c r="B14" s="47" t="s">
        <v>1155</v>
      </c>
      <c r="C14" s="49" t="s">
        <v>1136</v>
      </c>
      <c r="N14" t="s">
        <v>1156</v>
      </c>
      <c r="O14" s="279">
        <v>250</v>
      </c>
    </row>
    <row r="15" spans="2:15" x14ac:dyDescent="0.25">
      <c r="B15" s="54" t="s">
        <v>1157</v>
      </c>
      <c r="C15" s="54">
        <f>26*20</f>
        <v>520</v>
      </c>
      <c r="F15" s="53"/>
      <c r="N15" t="s">
        <v>1158</v>
      </c>
      <c r="O15" s="279">
        <v>250</v>
      </c>
    </row>
    <row r="16" spans="2:15" x14ac:dyDescent="0.25">
      <c r="B16" s="54" t="s">
        <v>1159</v>
      </c>
      <c r="C16" s="54">
        <f>16*2*26/12*6.6</f>
        <v>457.59999999999997</v>
      </c>
      <c r="F16" s="53"/>
      <c r="N16" t="s">
        <v>1160</v>
      </c>
      <c r="O16" s="279">
        <v>250</v>
      </c>
    </row>
    <row r="17" spans="2:15" x14ac:dyDescent="0.25">
      <c r="B17" s="54" t="s">
        <v>1161</v>
      </c>
      <c r="C17" s="54">
        <v>300</v>
      </c>
      <c r="F17" s="53"/>
      <c r="N17" t="s">
        <v>1162</v>
      </c>
      <c r="O17" s="279">
        <v>250</v>
      </c>
    </row>
    <row r="18" spans="2:15" x14ac:dyDescent="0.25">
      <c r="B18" s="54" t="s">
        <v>1163</v>
      </c>
      <c r="C18" s="54">
        <v>120</v>
      </c>
      <c r="F18" s="53"/>
      <c r="N18" s="277" t="s">
        <v>33</v>
      </c>
      <c r="O18" s="285">
        <f>SUM(O6:O17)</f>
        <v>3000</v>
      </c>
    </row>
    <row r="19" spans="2:15" x14ac:dyDescent="0.25">
      <c r="B19" s="54" t="s">
        <v>1164</v>
      </c>
      <c r="C19" s="54">
        <v>91.81</v>
      </c>
      <c r="F19" s="53"/>
    </row>
    <row r="20" spans="2:15" x14ac:dyDescent="0.25">
      <c r="B20" s="54" t="s">
        <v>1165</v>
      </c>
      <c r="C20" s="54">
        <v>300</v>
      </c>
      <c r="F20" s="53"/>
    </row>
    <row r="21" spans="2:15" x14ac:dyDescent="0.25">
      <c r="B21" s="54" t="s">
        <v>1166</v>
      </c>
      <c r="C21" s="54">
        <v>297</v>
      </c>
      <c r="D21" s="279">
        <f>36*290</f>
        <v>10440</v>
      </c>
      <c r="F21" s="53"/>
    </row>
    <row r="22" spans="2:15" x14ac:dyDescent="0.25">
      <c r="B22" s="54" t="s">
        <v>1167</v>
      </c>
      <c r="C22" s="281" t="s">
        <v>1168</v>
      </c>
      <c r="F22" s="53"/>
    </row>
    <row r="23" spans="2:15" x14ac:dyDescent="0.25">
      <c r="B23" s="54" t="s">
        <v>1169</v>
      </c>
      <c r="C23" s="281" t="s">
        <v>1170</v>
      </c>
      <c r="F23" s="53"/>
    </row>
    <row r="24" spans="2:15" x14ac:dyDescent="0.25">
      <c r="B24" s="54" t="s">
        <v>1171</v>
      </c>
      <c r="C24" s="281" t="s">
        <v>1170</v>
      </c>
      <c r="F24" s="53"/>
    </row>
    <row r="25" spans="2:15" x14ac:dyDescent="0.25">
      <c r="B25" s="54" t="s">
        <v>1172</v>
      </c>
      <c r="C25" s="54">
        <f>5000*6%</f>
        <v>300</v>
      </c>
      <c r="F25" s="53"/>
    </row>
    <row r="26" spans="2:15" x14ac:dyDescent="0.25">
      <c r="B26" s="54" t="s">
        <v>1173</v>
      </c>
      <c r="C26" s="54">
        <f>700*0</f>
        <v>0</v>
      </c>
      <c r="F26" s="53"/>
    </row>
    <row r="27" spans="2:15" x14ac:dyDescent="0.25">
      <c r="B27" s="54" t="s">
        <v>1174</v>
      </c>
      <c r="C27" s="281" t="s">
        <v>1175</v>
      </c>
      <c r="F27" s="53"/>
    </row>
    <row r="28" spans="2:15" x14ac:dyDescent="0.25">
      <c r="B28" s="54" t="s">
        <v>1176</v>
      </c>
      <c r="C28" s="281" t="s">
        <v>1175</v>
      </c>
      <c r="F28" s="282"/>
    </row>
    <row r="29" spans="2:15" x14ac:dyDescent="0.25">
      <c r="B29" s="54" t="s">
        <v>1177</v>
      </c>
      <c r="C29" s="281" t="s">
        <v>1175</v>
      </c>
      <c r="F29" s="53"/>
    </row>
    <row r="30" spans="2:15" x14ac:dyDescent="0.25">
      <c r="B30" s="277" t="s">
        <v>1178</v>
      </c>
      <c r="C30" s="278">
        <f>SUM(C15:C29)</f>
        <v>2386.41</v>
      </c>
      <c r="F30" s="279">
        <f>C30</f>
        <v>2386.41</v>
      </c>
      <c r="J30" s="279">
        <f>C30</f>
        <v>2386.41</v>
      </c>
    </row>
    <row r="33" spans="2:10" x14ac:dyDescent="0.25">
      <c r="B33" t="s">
        <v>1179</v>
      </c>
      <c r="C33" s="282">
        <v>5000</v>
      </c>
      <c r="F33" s="282">
        <v>5000</v>
      </c>
      <c r="J33" s="282">
        <v>5000</v>
      </c>
    </row>
    <row r="34" spans="2:10" x14ac:dyDescent="0.25">
      <c r="B34" s="281" t="s">
        <v>1180</v>
      </c>
      <c r="C34" s="281">
        <f>C10+C30</f>
        <v>5285.16</v>
      </c>
      <c r="F34" s="281">
        <f>F10+F30</f>
        <v>4318.91</v>
      </c>
      <c r="J34" s="281">
        <f>J10+J30</f>
        <v>3683.21</v>
      </c>
    </row>
    <row r="35" spans="2:10" x14ac:dyDescent="0.25">
      <c r="B35" s="283" t="s">
        <v>1181</v>
      </c>
      <c r="C35" s="283">
        <f>C33-C34</f>
        <v>-285.15999999999985</v>
      </c>
      <c r="F35" s="284">
        <f>F33-F34</f>
        <v>681.09000000000015</v>
      </c>
      <c r="J35" s="284">
        <f>J33-J34</f>
        <v>1316.79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ED3F-0FC0-4A24-883B-665430652085}">
  <sheetPr codeName="Planilha6"/>
  <dimension ref="A2:Q24"/>
  <sheetViews>
    <sheetView showGridLines="0" zoomScaleNormal="100" workbookViewId="0">
      <pane ySplit="4" topLeftCell="A5" activePane="bottomLeft" state="frozen"/>
      <selection pane="bottomLeft" activeCell="L5" sqref="L5"/>
    </sheetView>
  </sheetViews>
  <sheetFormatPr defaultRowHeight="15" x14ac:dyDescent="0.25"/>
  <cols>
    <col min="1" max="1" width="4.42578125" style="14" customWidth="1"/>
    <col min="2" max="2" width="14.42578125" style="14" bestFit="1" customWidth="1"/>
    <col min="3" max="3" width="31.7109375" style="14" bestFit="1" customWidth="1"/>
    <col min="4" max="4" width="2.28515625" style="14" bestFit="1" customWidth="1"/>
    <col min="5" max="5" width="13.5703125" style="34" customWidth="1"/>
    <col min="6" max="6" width="14.85546875" style="206" customWidth="1"/>
    <col min="7" max="7" width="15.28515625" style="206" customWidth="1"/>
    <col min="8" max="13" width="16" style="206" bestFit="1" customWidth="1"/>
    <col min="14" max="16384" width="9.140625" style="14"/>
  </cols>
  <sheetData>
    <row r="2" spans="1:17" x14ac:dyDescent="0.25">
      <c r="F2" s="204">
        <v>45658</v>
      </c>
      <c r="G2" s="204">
        <v>45689</v>
      </c>
      <c r="H2" s="204">
        <v>45717</v>
      </c>
      <c r="I2" s="204">
        <v>45748</v>
      </c>
      <c r="J2" s="204">
        <v>45778</v>
      </c>
      <c r="K2" s="204">
        <v>45809</v>
      </c>
      <c r="L2" s="204">
        <v>45839</v>
      </c>
      <c r="M2" s="204">
        <v>45870</v>
      </c>
    </row>
    <row r="3" spans="1:17" x14ac:dyDescent="0.25">
      <c r="B3" s="205" t="s">
        <v>476</v>
      </c>
    </row>
    <row r="4" spans="1:17" ht="18.75" customHeight="1" x14ac:dyDescent="0.25">
      <c r="B4" s="90" t="s">
        <v>32</v>
      </c>
      <c r="C4" s="90" t="s">
        <v>712</v>
      </c>
      <c r="D4" s="14" t="s">
        <v>18</v>
      </c>
      <c r="E4" s="249" t="s">
        <v>614</v>
      </c>
      <c r="F4" s="249" t="s">
        <v>604</v>
      </c>
      <c r="G4" s="249" t="s">
        <v>603</v>
      </c>
      <c r="H4" s="249" t="s">
        <v>586</v>
      </c>
      <c r="I4" s="249" t="s">
        <v>585</v>
      </c>
      <c r="J4" s="249" t="s">
        <v>584</v>
      </c>
      <c r="K4" s="249" t="s">
        <v>576</v>
      </c>
      <c r="L4" s="249" t="s">
        <v>575</v>
      </c>
      <c r="M4" s="249" t="s">
        <v>615</v>
      </c>
    </row>
    <row r="5" spans="1:17" ht="15.75" customHeight="1" x14ac:dyDescent="0.25">
      <c r="B5" s="213" t="s">
        <v>12</v>
      </c>
      <c r="C5" s="213" t="str">
        <f>VLOOKUP(B5,Cad_Natureza!B:C,2,0)</f>
        <v>CPF - Remun. Salário / Pró-Labore</v>
      </c>
      <c r="E5" s="250">
        <f t="shared" ref="E5" si="0">SUM(F5:M5)</f>
        <v>0</v>
      </c>
      <c r="F5" s="251">
        <f>SUMIFS('2026'!$K:$K,'2026'!$D:$D,$B5,'2026'!$T:$T,F$2)</f>
        <v>0</v>
      </c>
      <c r="G5" s="251">
        <f>SUMIFS('2026'!$K:$K,'2026'!$D:$D,$B5,'2026'!$T:$T,G$2)</f>
        <v>0</v>
      </c>
      <c r="H5" s="251">
        <f>SUMIFS('2026'!$K:$K,'2026'!$D:$D,$B5,'2026'!$T:$T,H$2)</f>
        <v>0</v>
      </c>
      <c r="I5" s="251">
        <f>SUMIFS('2026'!$K:$K,'2026'!$D:$D,$B5,'2026'!$T:$T,I$2)</f>
        <v>0</v>
      </c>
      <c r="J5" s="251">
        <f>SUMIFS('2026'!$K:$K,'2026'!$D:$D,$B5,'2026'!$T:$T,J$2)</f>
        <v>0</v>
      </c>
      <c r="K5" s="251">
        <f>SUMIFS('2026'!$K:$K,'2026'!$D:$D,$B5,'2026'!$T:$T,K$2)</f>
        <v>0</v>
      </c>
      <c r="L5" s="251">
        <f>SUMIFS('2026'!$K:$K,'2026'!$D:$D,$B5,'2026'!$T:$T,L$2)</f>
        <v>0</v>
      </c>
      <c r="M5" s="251">
        <f>SUMIFS('2026'!$K:$K,'2026'!$D:$D,$B5,'2026'!$T:$T,M$2)</f>
        <v>0</v>
      </c>
    </row>
    <row r="6" spans="1:17" x14ac:dyDescent="0.25">
      <c r="E6" s="252"/>
      <c r="F6" s="252"/>
      <c r="G6" s="252"/>
      <c r="H6" s="252"/>
      <c r="I6" s="252"/>
      <c r="J6" s="252"/>
      <c r="K6" s="252"/>
      <c r="L6" s="252"/>
      <c r="M6" s="252"/>
    </row>
    <row r="7" spans="1:17" x14ac:dyDescent="0.25">
      <c r="B7" s="205" t="s">
        <v>754</v>
      </c>
      <c r="E7" s="253"/>
      <c r="F7" s="253" t="s">
        <v>608</v>
      </c>
      <c r="G7" s="253" t="s">
        <v>608</v>
      </c>
      <c r="H7" s="253" t="s">
        <v>706</v>
      </c>
      <c r="I7" s="253" t="s">
        <v>707</v>
      </c>
      <c r="J7" s="253" t="s">
        <v>708</v>
      </c>
      <c r="K7" s="253" t="s">
        <v>709</v>
      </c>
      <c r="L7" s="253" t="s">
        <v>710</v>
      </c>
      <c r="M7" s="253" t="s">
        <v>711</v>
      </c>
    </row>
    <row r="8" spans="1:17" ht="18.75" customHeight="1" x14ac:dyDescent="0.25">
      <c r="B8" s="89" t="s">
        <v>32</v>
      </c>
      <c r="C8" s="89" t="s">
        <v>712</v>
      </c>
      <c r="E8" s="254" t="s">
        <v>614</v>
      </c>
      <c r="F8" s="254" t="s">
        <v>604</v>
      </c>
      <c r="G8" s="254" t="s">
        <v>603</v>
      </c>
      <c r="H8" s="254" t="s">
        <v>586</v>
      </c>
      <c r="I8" s="254" t="s">
        <v>585</v>
      </c>
      <c r="J8" s="254" t="s">
        <v>584</v>
      </c>
      <c r="K8" s="254" t="s">
        <v>576</v>
      </c>
      <c r="L8" s="254" t="s">
        <v>575</v>
      </c>
      <c r="M8" s="254" t="s">
        <v>615</v>
      </c>
    </row>
    <row r="9" spans="1:17" x14ac:dyDescent="0.25">
      <c r="A9" s="14" t="s">
        <v>18</v>
      </c>
      <c r="B9" s="207" t="s">
        <v>718</v>
      </c>
      <c r="C9" s="207" t="s">
        <v>717</v>
      </c>
      <c r="E9" s="255">
        <f>SUM(F9:M9)</f>
        <v>0</v>
      </c>
      <c r="F9" s="256">
        <f>SUMIFS('2026'!$K:$K,'2026'!$D:$D,$B9,'2026'!$T:$T,F$2)</f>
        <v>0</v>
      </c>
      <c r="G9" s="256">
        <f>SUMIFS('2026'!$K:$K,'2026'!$D:$D,$B9,'2026'!$T:$T,G$2)</f>
        <v>0</v>
      </c>
      <c r="H9" s="256">
        <f>SUMIFS('2026'!$K:$K,'2026'!$D:$D,$B9,'2026'!$T:$T,H$2)</f>
        <v>0</v>
      </c>
      <c r="I9" s="256">
        <f>SUMIFS('2026'!$K:$K,'2026'!$D:$D,$B9,'2026'!$T:$T,I$2)</f>
        <v>0</v>
      </c>
      <c r="J9" s="256">
        <f>SUMIFS('2026'!$K:$K,'2026'!$D:$D,$B9,'2026'!$T:$T,J$2)</f>
        <v>0</v>
      </c>
      <c r="K9" s="256">
        <f>SUMIFS('2026'!$K:$K,'2026'!$D:$D,$B9,'2026'!$T:$T,K$2)</f>
        <v>0</v>
      </c>
      <c r="L9" s="256">
        <f>SUMIFS('2026'!$K:$K,'2026'!$D:$D,$B9,'2026'!$T:$T,L$2)</f>
        <v>0</v>
      </c>
      <c r="M9" s="256">
        <f>SUMIFS('2026'!$K:$K,'2026'!$D:$D,$B9,'2026'!$T:$T,M$2)</f>
        <v>0</v>
      </c>
      <c r="O9" s="208" t="s">
        <v>705</v>
      </c>
      <c r="P9" s="208"/>
      <c r="Q9" s="14" t="s">
        <v>824</v>
      </c>
    </row>
    <row r="10" spans="1:17" x14ac:dyDescent="0.25">
      <c r="A10" s="14" t="s">
        <v>18</v>
      </c>
      <c r="B10" s="207" t="s">
        <v>719</v>
      </c>
      <c r="C10" s="207" t="s">
        <v>715</v>
      </c>
      <c r="E10" s="255">
        <f>SUM(F10:M10)</f>
        <v>0</v>
      </c>
      <c r="F10" s="256">
        <f>SUMIFS('2026'!$K:$K,'2026'!$D:$D,$B10,'2026'!$T:$T,F$2)</f>
        <v>0</v>
      </c>
      <c r="G10" s="256">
        <f>SUMIFS('2026'!$K:$K,'2026'!$D:$D,$B10,'2026'!$T:$T,G$2)</f>
        <v>0</v>
      </c>
      <c r="H10" s="256">
        <f>SUMIFS('2026'!$K:$K,'2026'!$D:$D,$B10,'2026'!$T:$T,H$2)</f>
        <v>0</v>
      </c>
      <c r="I10" s="256">
        <f>SUMIFS('2026'!$K:$K,'2026'!$D:$D,$B10,'2026'!$T:$T,I$2)</f>
        <v>0</v>
      </c>
      <c r="J10" s="256">
        <f>SUMIFS('2026'!$K:$K,'2026'!$D:$D,$B10,'2026'!$T:$T,J$2)</f>
        <v>0</v>
      </c>
      <c r="K10" s="256">
        <f>SUMIFS('2026'!$K:$K,'2026'!$D:$D,$B10,'2026'!$T:$T,K$2)</f>
        <v>0</v>
      </c>
      <c r="L10" s="256">
        <f>SUMIFS('2026'!$K:$K,'2026'!$D:$D,$B10,'2026'!$T:$T,L$2)</f>
        <v>0</v>
      </c>
      <c r="M10" s="256">
        <f>SUMIFS('2026'!$K:$K,'2026'!$D:$D,$B10,'2026'!$T:$T,M$2)</f>
        <v>0</v>
      </c>
      <c r="O10" s="14">
        <v>-640.87</v>
      </c>
      <c r="Q10" s="14" t="s">
        <v>824</v>
      </c>
    </row>
    <row r="11" spans="1:17" x14ac:dyDescent="0.25">
      <c r="A11" s="14" t="s">
        <v>18</v>
      </c>
      <c r="B11" s="207" t="s">
        <v>720</v>
      </c>
      <c r="C11" s="207" t="s">
        <v>746</v>
      </c>
      <c r="E11" s="255">
        <f>SUM(F11:M11)</f>
        <v>0</v>
      </c>
      <c r="F11" s="256">
        <f>SUMIFS('2026'!$K:$K,'2026'!$D:$D,$B11,'2026'!$T:$T,F$2)</f>
        <v>0</v>
      </c>
      <c r="G11" s="256">
        <f>SUMIFS('2026'!$K:$K,'2026'!$D:$D,$B11,'2026'!$T:$T,G$2)</f>
        <v>0</v>
      </c>
      <c r="H11" s="256">
        <f>SUMIFS('2026'!$K:$K,'2026'!$D:$D,$B11,'2026'!$T:$T,H$2)</f>
        <v>0</v>
      </c>
      <c r="I11" s="256">
        <f>SUMIFS('2026'!$K:$K,'2026'!$D:$D,$B11,'2026'!$T:$T,I$2)</f>
        <v>0</v>
      </c>
      <c r="J11" s="256">
        <f>SUMIFS('2026'!$K:$K,'2026'!$D:$D,$B11,'2026'!$T:$T,J$2)</f>
        <v>0</v>
      </c>
      <c r="K11" s="256">
        <f>SUMIFS('2026'!$K:$K,'2026'!$D:$D,$B11,'2026'!$T:$T,K$2)</f>
        <v>0</v>
      </c>
      <c r="L11" s="256">
        <f>SUMIFS('2026'!$K:$K,'2026'!$D:$D,$B11,'2026'!$T:$T,L$2)</f>
        <v>0</v>
      </c>
      <c r="M11" s="256">
        <f>SUMIFS('2026'!$K:$K,'2026'!$D:$D,$B11,'2026'!$T:$T,M$2)</f>
        <v>0</v>
      </c>
      <c r="Q11" s="14" t="s">
        <v>824</v>
      </c>
    </row>
    <row r="12" spans="1:17" x14ac:dyDescent="0.25">
      <c r="B12" s="207" t="s">
        <v>725</v>
      </c>
      <c r="C12" s="207" t="s">
        <v>749</v>
      </c>
      <c r="E12" s="255">
        <f t="shared" ref="E12:E19" si="1">SUM(F12:M12)</f>
        <v>0</v>
      </c>
      <c r="F12" s="256">
        <f>SUMIFS('2026'!$K:$K,'2026'!$D:$D,$B12,'2026'!$T:$T,F$2)</f>
        <v>0</v>
      </c>
      <c r="G12" s="256">
        <f>SUMIFS('2026'!$K:$K,'2026'!$D:$D,$B12,'2026'!$T:$T,G$2)</f>
        <v>0</v>
      </c>
      <c r="H12" s="256">
        <f>SUMIFS('2026'!$K:$K,'2026'!$D:$D,$B12,'2026'!$T:$T,H$2)</f>
        <v>0</v>
      </c>
      <c r="I12" s="256">
        <f>SUMIFS('2026'!$K:$K,'2026'!$D:$D,$B12,'2026'!$T:$T,I$2)</f>
        <v>0</v>
      </c>
      <c r="J12" s="256">
        <f>SUMIFS('2026'!$K:$K,'2026'!$D:$D,$B12,'2026'!$T:$T,J$2)</f>
        <v>0</v>
      </c>
      <c r="K12" s="256">
        <f>SUMIFS('2026'!$K:$K,'2026'!$D:$D,$B12,'2026'!$T:$T,K$2)</f>
        <v>0</v>
      </c>
      <c r="L12" s="256">
        <f>SUMIFS('2026'!$K:$K,'2026'!$D:$D,$B12,'2026'!$T:$T,L$2)</f>
        <v>0</v>
      </c>
      <c r="M12" s="256">
        <f>SUMIFS('2026'!$K:$K,'2026'!$D:$D,$B12,'2026'!$T:$T,M$2)</f>
        <v>0</v>
      </c>
    </row>
    <row r="13" spans="1:17" x14ac:dyDescent="0.25">
      <c r="A13" s="14" t="s">
        <v>18</v>
      </c>
      <c r="B13" s="207" t="s">
        <v>726</v>
      </c>
      <c r="C13" s="207" t="s">
        <v>716</v>
      </c>
      <c r="E13" s="255">
        <f t="shared" si="1"/>
        <v>0</v>
      </c>
      <c r="F13" s="256">
        <f>SUMIFS('2026'!$K:$K,'2026'!$D:$D,$B13,'2026'!$T:$T,F$2)</f>
        <v>0</v>
      </c>
      <c r="G13" s="256">
        <f>SUMIFS('2026'!$K:$K,'2026'!$D:$D,$B13,'2026'!$T:$T,G$2)</f>
        <v>0</v>
      </c>
      <c r="H13" s="256">
        <f>SUMIFS('2026'!$K:$K,'2026'!$D:$D,$B13,'2026'!$T:$T,H$2)</f>
        <v>0</v>
      </c>
      <c r="I13" s="256">
        <f>SUMIFS('2026'!$K:$K,'2026'!$D:$D,$B13,'2026'!$T:$T,I$2)</f>
        <v>0</v>
      </c>
      <c r="J13" s="256">
        <f>SUMIFS('2026'!$K:$K,'2026'!$D:$D,$B13,'2026'!$T:$T,J$2)</f>
        <v>0</v>
      </c>
      <c r="K13" s="256">
        <f>SUMIFS('2026'!$K:$K,'2026'!$D:$D,$B13,'2026'!$T:$T,K$2)</f>
        <v>0</v>
      </c>
      <c r="L13" s="256">
        <f>SUMIFS('2026'!$K:$K,'2026'!$D:$D,$B13,'2026'!$T:$T,L$2)</f>
        <v>0</v>
      </c>
      <c r="M13" s="256">
        <f>SUMIFS('2026'!$K:$K,'2026'!$D:$D,$B13,'2026'!$T:$T,M$2)</f>
        <v>0</v>
      </c>
    </row>
    <row r="14" spans="1:17" x14ac:dyDescent="0.25">
      <c r="B14" s="207" t="s">
        <v>727</v>
      </c>
      <c r="C14" s="207" t="s">
        <v>37</v>
      </c>
      <c r="E14" s="255">
        <f t="shared" si="1"/>
        <v>0</v>
      </c>
      <c r="F14" s="256">
        <f>SUMIFS('2026'!$K:$K,'2026'!$D:$D,$B14,'2026'!$T:$T,F$2)</f>
        <v>0</v>
      </c>
      <c r="G14" s="256">
        <f>SUMIFS('2026'!$K:$K,'2026'!$D:$D,$B14,'2026'!$T:$T,G$2)</f>
        <v>0</v>
      </c>
      <c r="H14" s="256">
        <f>SUMIFS('2026'!$K:$K,'2026'!$D:$D,$B14,'2026'!$T:$T,H$2)</f>
        <v>0</v>
      </c>
      <c r="I14" s="256">
        <f>SUMIFS('2026'!$K:$K,'2026'!$D:$D,$B14,'2026'!$T:$T,I$2)</f>
        <v>0</v>
      </c>
      <c r="J14" s="256">
        <f>SUMIFS('2026'!$K:$K,'2026'!$D:$D,$B14,'2026'!$T:$T,J$2)</f>
        <v>0</v>
      </c>
      <c r="K14" s="256">
        <f>SUMIFS('2026'!$K:$K,'2026'!$D:$D,$B14,'2026'!$T:$T,K$2)</f>
        <v>0</v>
      </c>
      <c r="L14" s="256">
        <f>SUMIFS('2026'!$K:$K,'2026'!$D:$D,$B14,'2026'!$T:$T,L$2)</f>
        <v>0</v>
      </c>
      <c r="M14" s="256">
        <f>SUMIFS('2026'!$K:$K,'2026'!$D:$D,$B14,'2026'!$T:$T,M$2)</f>
        <v>0</v>
      </c>
    </row>
    <row r="15" spans="1:17" x14ac:dyDescent="0.25">
      <c r="B15" s="207" t="s">
        <v>728</v>
      </c>
      <c r="C15" s="207" t="s">
        <v>737</v>
      </c>
      <c r="E15" s="255">
        <f t="shared" si="1"/>
        <v>0</v>
      </c>
      <c r="F15" s="256">
        <f>SUMIFS('2026'!$K:$K,'2026'!$D:$D,$B15,'2026'!$T:$T,F$2)</f>
        <v>0</v>
      </c>
      <c r="G15" s="256">
        <f>SUMIFS('2026'!$K:$K,'2026'!$D:$D,$B15,'2026'!$T:$T,G$2)</f>
        <v>0</v>
      </c>
      <c r="H15" s="256">
        <f>SUMIFS('2026'!$K:$K,'2026'!$D:$D,$B15,'2026'!$T:$T,H$2)</f>
        <v>0</v>
      </c>
      <c r="I15" s="256">
        <f>SUMIFS('2026'!$K:$K,'2026'!$D:$D,$B15,'2026'!$T:$T,I$2)</f>
        <v>0</v>
      </c>
      <c r="J15" s="256">
        <f>SUMIFS('2026'!$K:$K,'2026'!$D:$D,$B15,'2026'!$T:$T,J$2)</f>
        <v>0</v>
      </c>
      <c r="K15" s="256">
        <f>SUMIFS('2026'!$K:$K,'2026'!$D:$D,$B15,'2026'!$T:$T,K$2)</f>
        <v>0</v>
      </c>
      <c r="L15" s="256">
        <f>SUMIFS('2026'!$K:$K,'2026'!$D:$D,$B15,'2026'!$T:$T,L$2)</f>
        <v>0</v>
      </c>
      <c r="M15" s="256">
        <f>SUMIFS('2026'!$K:$K,'2026'!$D:$D,$B15,'2026'!$T:$T,M$2)</f>
        <v>0</v>
      </c>
    </row>
    <row r="16" spans="1:17" x14ac:dyDescent="0.25">
      <c r="B16" s="207" t="s">
        <v>729</v>
      </c>
      <c r="C16" s="207" t="s">
        <v>36</v>
      </c>
      <c r="E16" s="255">
        <f t="shared" si="1"/>
        <v>0</v>
      </c>
      <c r="F16" s="256">
        <f>SUMIFS('2026'!$K:$K,'2026'!$D:$D,$B16,'2026'!$T:$T,F$2)</f>
        <v>0</v>
      </c>
      <c r="G16" s="256">
        <f>SUMIFS('2026'!$K:$K,'2026'!$D:$D,$B16,'2026'!$T:$T,G$2)</f>
        <v>0</v>
      </c>
      <c r="H16" s="256">
        <f>SUMIFS('2026'!$K:$K,'2026'!$D:$D,$B16,'2026'!$T:$T,H$2)</f>
        <v>0</v>
      </c>
      <c r="I16" s="256">
        <f>SUMIFS('2026'!$K:$K,'2026'!$D:$D,$B16,'2026'!$T:$T,I$2)</f>
        <v>0</v>
      </c>
      <c r="J16" s="256">
        <f>SUMIFS('2026'!$K:$K,'2026'!$D:$D,$B16,'2026'!$T:$T,J$2)</f>
        <v>0</v>
      </c>
      <c r="K16" s="256">
        <f>SUMIFS('2026'!$K:$K,'2026'!$D:$D,$B16,'2026'!$T:$T,K$2)</f>
        <v>0</v>
      </c>
      <c r="L16" s="256">
        <f>SUMIFS('2026'!$K:$K,'2026'!$D:$D,$B16,'2026'!$T:$T,L$2)</f>
        <v>0</v>
      </c>
      <c r="M16" s="256">
        <f>SUMIFS('2026'!$K:$K,'2026'!$D:$D,$B16,'2026'!$T:$T,M$2)</f>
        <v>0</v>
      </c>
    </row>
    <row r="17" spans="2:13" x14ac:dyDescent="0.25">
      <c r="B17" s="207" t="s">
        <v>738</v>
      </c>
      <c r="C17" s="207" t="s">
        <v>38</v>
      </c>
      <c r="E17" s="255">
        <f t="shared" si="1"/>
        <v>0</v>
      </c>
      <c r="F17" s="256">
        <f>SUMIFS('2026'!$K:$K,'2026'!$D:$D,$B17,'2026'!$T:$T,F$2)</f>
        <v>0</v>
      </c>
      <c r="G17" s="256">
        <f>SUMIFS('2026'!$K:$K,'2026'!$D:$D,$B17,'2026'!$T:$T,G$2)</f>
        <v>0</v>
      </c>
      <c r="H17" s="256">
        <f>SUMIFS('2026'!$K:$K,'2026'!$D:$D,$B17,'2026'!$T:$T,H$2)</f>
        <v>0</v>
      </c>
      <c r="I17" s="256">
        <f>SUMIFS('2026'!$K:$K,'2026'!$D:$D,$B17,'2026'!$T:$T,I$2)</f>
        <v>0</v>
      </c>
      <c r="J17" s="256">
        <f>SUMIFS('2026'!$K:$K,'2026'!$D:$D,$B17,'2026'!$T:$T,J$2)</f>
        <v>0</v>
      </c>
      <c r="K17" s="256">
        <f>SUMIFS('2026'!$K:$K,'2026'!$D:$D,$B17,'2026'!$T:$T,K$2)</f>
        <v>0</v>
      </c>
      <c r="L17" s="256">
        <f>SUMIFS('2026'!$K:$K,'2026'!$D:$D,$B17,'2026'!$T:$T,L$2)</f>
        <v>0</v>
      </c>
      <c r="M17" s="256">
        <f>SUMIFS('2026'!$K:$K,'2026'!$D:$D,$B17,'2026'!$T:$T,M$2)</f>
        <v>0</v>
      </c>
    </row>
    <row r="18" spans="2:13" x14ac:dyDescent="0.25">
      <c r="B18" s="207" t="s">
        <v>747</v>
      </c>
      <c r="C18" s="207" t="s">
        <v>39</v>
      </c>
      <c r="E18" s="255">
        <f t="shared" si="1"/>
        <v>0</v>
      </c>
      <c r="F18" s="256">
        <f>SUMIFS('2026'!$K:$K,'2026'!$D:$D,$B18,'2026'!$T:$T,F$2)</f>
        <v>0</v>
      </c>
      <c r="G18" s="256">
        <f>SUMIFS('2026'!$K:$K,'2026'!$D:$D,$B18,'2026'!$T:$T,G$2)</f>
        <v>0</v>
      </c>
      <c r="H18" s="256">
        <f>SUMIFS('2026'!$K:$K,'2026'!$D:$D,$B18,'2026'!$T:$T,H$2)</f>
        <v>0</v>
      </c>
      <c r="I18" s="256">
        <f>SUMIFS('2026'!$K:$K,'2026'!$D:$D,$B18,'2026'!$T:$T,I$2)</f>
        <v>0</v>
      </c>
      <c r="J18" s="256">
        <f>SUMIFS('2026'!$K:$K,'2026'!$D:$D,$B18,'2026'!$T:$T,J$2)</f>
        <v>0</v>
      </c>
      <c r="K18" s="256">
        <f>SUMIFS('2026'!$K:$K,'2026'!$D:$D,$B18,'2026'!$T:$T,K$2)</f>
        <v>0</v>
      </c>
      <c r="L18" s="256">
        <f>SUMIFS('2026'!$K:$K,'2026'!$D:$D,$B18,'2026'!$T:$T,L$2)</f>
        <v>0</v>
      </c>
      <c r="M18" s="256">
        <f>SUMIFS('2026'!$K:$K,'2026'!$D:$D,$B18,'2026'!$T:$T,M$2)</f>
        <v>0</v>
      </c>
    </row>
    <row r="19" spans="2:13" x14ac:dyDescent="0.25">
      <c r="B19" s="207" t="s">
        <v>750</v>
      </c>
      <c r="C19" s="207" t="s">
        <v>735</v>
      </c>
      <c r="E19" s="255">
        <f t="shared" si="1"/>
        <v>0</v>
      </c>
      <c r="F19" s="256">
        <f>SUMIFS('2026'!$K:$K,'2026'!$D:$D,$B19,'2026'!$T:$T,F$2)</f>
        <v>0</v>
      </c>
      <c r="G19" s="256">
        <f>SUMIFS('2026'!$K:$K,'2026'!$D:$D,$B19,'2026'!$T:$T,G$2)</f>
        <v>0</v>
      </c>
      <c r="H19" s="256">
        <f>SUMIFS('2026'!$K:$K,'2026'!$D:$D,$B19,'2026'!$T:$T,H$2)</f>
        <v>0</v>
      </c>
      <c r="I19" s="256">
        <f>SUMIFS('2026'!$K:$K,'2026'!$D:$D,$B19,'2026'!$T:$T,I$2)</f>
        <v>0</v>
      </c>
      <c r="J19" s="256">
        <f>SUMIFS('2026'!$K:$K,'2026'!$D:$D,$B19,'2026'!$T:$T,J$2)</f>
        <v>0</v>
      </c>
      <c r="K19" s="256">
        <f>SUMIFS('2026'!$K:$K,'2026'!$D:$D,$B19,'2026'!$T:$T,K$2)</f>
        <v>0</v>
      </c>
      <c r="L19" s="256">
        <f>SUMIFS('2026'!$K:$K,'2026'!$D:$D,$B19,'2026'!$T:$T,L$2)</f>
        <v>0</v>
      </c>
      <c r="M19" s="256">
        <f>SUMIFS('2026'!$K:$K,'2026'!$D:$D,$B19,'2026'!$T:$T,M$2)</f>
        <v>0</v>
      </c>
    </row>
    <row r="20" spans="2:13" x14ac:dyDescent="0.25">
      <c r="B20" s="209"/>
      <c r="C20" s="210" t="s">
        <v>607</v>
      </c>
      <c r="E20" s="257">
        <f>SUM(E9:E19)</f>
        <v>0</v>
      </c>
      <c r="F20" s="257">
        <f>SUM(F9:F19)</f>
        <v>0</v>
      </c>
      <c r="G20" s="257">
        <f t="shared" ref="G20:M20" si="2">SUM(G9:G19)</f>
        <v>0</v>
      </c>
      <c r="H20" s="257">
        <f t="shared" si="2"/>
        <v>0</v>
      </c>
      <c r="I20" s="257">
        <f t="shared" si="2"/>
        <v>0</v>
      </c>
      <c r="J20" s="257">
        <f t="shared" si="2"/>
        <v>0</v>
      </c>
      <c r="K20" s="257">
        <f t="shared" si="2"/>
        <v>0</v>
      </c>
      <c r="L20" s="257">
        <f t="shared" si="2"/>
        <v>0</v>
      </c>
      <c r="M20" s="257">
        <f t="shared" si="2"/>
        <v>0</v>
      </c>
    </row>
    <row r="22" spans="2:13" x14ac:dyDescent="0.25">
      <c r="C22" s="210" t="s">
        <v>760</v>
      </c>
      <c r="E22" s="211" t="e">
        <f>ABS(E20)/E5</f>
        <v>#DIV/0!</v>
      </c>
      <c r="F22" s="211">
        <f>IFERROR(ABS(F20)/F5,0)</f>
        <v>0</v>
      </c>
      <c r="G22" s="211">
        <f t="shared" ref="G22:M22" si="3">IFERROR(ABS(G20)/G5,0)</f>
        <v>0</v>
      </c>
      <c r="H22" s="211">
        <f t="shared" si="3"/>
        <v>0</v>
      </c>
      <c r="I22" s="211">
        <f t="shared" si="3"/>
        <v>0</v>
      </c>
      <c r="J22" s="211">
        <f t="shared" si="3"/>
        <v>0</v>
      </c>
      <c r="K22" s="211">
        <f t="shared" si="3"/>
        <v>0</v>
      </c>
      <c r="L22" s="211">
        <f t="shared" si="3"/>
        <v>0</v>
      </c>
      <c r="M22" s="211">
        <f t="shared" si="3"/>
        <v>0</v>
      </c>
    </row>
    <row r="24" spans="2:13" x14ac:dyDescent="0.25">
      <c r="B24" s="205" t="s">
        <v>582</v>
      </c>
      <c r="F24" s="212"/>
    </row>
  </sheetData>
  <phoneticPr fontId="18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48D8-3E57-433E-8771-4A6CB18ECB19}">
  <sheetPr codeName="Planilha5"/>
  <dimension ref="B2:X37"/>
  <sheetViews>
    <sheetView zoomScale="85" zoomScaleNormal="85" workbookViewId="0">
      <selection activeCell="E2" sqref="E2"/>
    </sheetView>
  </sheetViews>
  <sheetFormatPr defaultRowHeight="15" x14ac:dyDescent="0.25"/>
  <cols>
    <col min="2" max="2" width="10.5703125" bestFit="1" customWidth="1"/>
    <col min="3" max="3" width="11.85546875" bestFit="1" customWidth="1"/>
    <col min="4" max="4" width="11" bestFit="1" customWidth="1"/>
    <col min="5" max="5" width="14.7109375" bestFit="1" customWidth="1"/>
    <col min="6" max="6" width="16" bestFit="1" customWidth="1"/>
    <col min="7" max="7" width="9.7109375" customWidth="1"/>
    <col min="8" max="8" width="26.5703125" bestFit="1" customWidth="1"/>
    <col min="9" max="14" width="9.7109375" customWidth="1"/>
    <col min="15" max="15" width="10.5703125" bestFit="1" customWidth="1"/>
    <col min="16" max="16" width="11.85546875" bestFit="1" customWidth="1"/>
    <col min="17" max="17" width="11" bestFit="1" customWidth="1"/>
    <col min="18" max="18" width="10.42578125" bestFit="1" customWidth="1"/>
    <col min="22" max="23" width="13.28515625" bestFit="1" customWidth="1"/>
  </cols>
  <sheetData>
    <row r="2" spans="2:24" x14ac:dyDescent="0.25">
      <c r="B2" t="s">
        <v>701</v>
      </c>
      <c r="E2" t="s">
        <v>791</v>
      </c>
      <c r="H2" t="s">
        <v>700</v>
      </c>
    </row>
    <row r="3" spans="2:24" x14ac:dyDescent="0.25">
      <c r="E3" s="88" t="s">
        <v>1188</v>
      </c>
      <c r="F3" s="61" t="s">
        <v>350</v>
      </c>
      <c r="R3" t="s">
        <v>350</v>
      </c>
    </row>
    <row r="4" spans="2:24" s="47" customFormat="1" x14ac:dyDescent="0.25">
      <c r="B4" s="47" t="s">
        <v>346</v>
      </c>
      <c r="C4" s="47" t="s">
        <v>345</v>
      </c>
      <c r="D4" s="47" t="s">
        <v>344</v>
      </c>
      <c r="E4" s="47" t="s">
        <v>349</v>
      </c>
      <c r="F4" s="47" t="s">
        <v>348</v>
      </c>
      <c r="G4" s="47" t="s">
        <v>340</v>
      </c>
      <c r="H4" s="47" t="s">
        <v>347</v>
      </c>
      <c r="O4" s="47" t="s">
        <v>346</v>
      </c>
      <c r="P4" s="47" t="s">
        <v>345</v>
      </c>
      <c r="Q4" s="47" t="s">
        <v>344</v>
      </c>
      <c r="R4" s="47" t="s">
        <v>343</v>
      </c>
      <c r="S4" s="47" t="s">
        <v>342</v>
      </c>
      <c r="U4" s="47" t="s">
        <v>335</v>
      </c>
      <c r="V4" s="47" t="s">
        <v>341</v>
      </c>
      <c r="W4" s="47" t="s">
        <v>340</v>
      </c>
    </row>
    <row r="5" spans="2:24" x14ac:dyDescent="0.25">
      <c r="B5" s="26">
        <v>45748</v>
      </c>
      <c r="C5" s="55">
        <v>45774</v>
      </c>
      <c r="D5" s="55">
        <v>45779</v>
      </c>
      <c r="E5" s="54">
        <v>82.65</v>
      </c>
      <c r="F5" s="54">
        <v>45.37</v>
      </c>
      <c r="G5" s="60">
        <f>F5-E5</f>
        <v>-37.280000000000008</v>
      </c>
      <c r="H5" s="59" t="s">
        <v>338</v>
      </c>
      <c r="O5" s="26">
        <v>45748</v>
      </c>
      <c r="P5" s="55">
        <v>45763</v>
      </c>
      <c r="Q5" s="55">
        <v>45757</v>
      </c>
      <c r="R5" s="54">
        <v>45.37</v>
      </c>
      <c r="U5" s="53">
        <f>R5</f>
        <v>45.37</v>
      </c>
      <c r="V5" s="53">
        <f>E5</f>
        <v>82.65</v>
      </c>
      <c r="W5" s="58">
        <f>U5-V5</f>
        <v>-37.280000000000008</v>
      </c>
      <c r="X5" t="s">
        <v>339</v>
      </c>
    </row>
    <row r="6" spans="2:24" x14ac:dyDescent="0.25">
      <c r="B6" s="26">
        <v>45717</v>
      </c>
      <c r="C6" s="55">
        <v>45743</v>
      </c>
      <c r="D6" s="55">
        <v>45779</v>
      </c>
      <c r="E6" s="54">
        <v>89.9</v>
      </c>
      <c r="F6" s="54">
        <v>38.56</v>
      </c>
      <c r="G6" s="60">
        <f>F6-E6</f>
        <v>-51.34</v>
      </c>
      <c r="H6" s="59" t="s">
        <v>338</v>
      </c>
      <c r="O6" s="26">
        <v>45717</v>
      </c>
      <c r="P6" s="55">
        <v>45732</v>
      </c>
      <c r="Q6" s="55">
        <v>45777</v>
      </c>
      <c r="R6" s="54">
        <v>38.56</v>
      </c>
      <c r="S6" t="s">
        <v>335</v>
      </c>
      <c r="U6" s="53">
        <f>R6</f>
        <v>38.56</v>
      </c>
      <c r="V6" s="53">
        <f>E6</f>
        <v>89.9</v>
      </c>
      <c r="W6" s="58">
        <f>U6-V6</f>
        <v>-51.34</v>
      </c>
      <c r="X6" t="s">
        <v>337</v>
      </c>
    </row>
    <row r="7" spans="2:24" x14ac:dyDescent="0.25">
      <c r="B7" s="26">
        <v>45689</v>
      </c>
      <c r="C7" s="55">
        <v>45715</v>
      </c>
      <c r="D7" s="55">
        <v>45779</v>
      </c>
      <c r="E7" s="54">
        <v>79.34</v>
      </c>
      <c r="F7" s="54">
        <v>62.84</v>
      </c>
      <c r="G7" s="60">
        <f>F7-E7</f>
        <v>-16.5</v>
      </c>
      <c r="H7" s="59" t="s">
        <v>338</v>
      </c>
      <c r="O7" s="26">
        <v>45689</v>
      </c>
      <c r="P7" s="55">
        <v>45704</v>
      </c>
      <c r="Q7" s="55">
        <v>45727</v>
      </c>
      <c r="R7" s="54">
        <v>62.84</v>
      </c>
      <c r="S7" t="s">
        <v>335</v>
      </c>
      <c r="U7" s="53">
        <f>R7</f>
        <v>62.84</v>
      </c>
      <c r="V7" s="53">
        <f>E7</f>
        <v>79.34</v>
      </c>
      <c r="W7" s="58">
        <f>U7-V7</f>
        <v>-16.5</v>
      </c>
      <c r="X7" t="s">
        <v>337</v>
      </c>
    </row>
    <row r="8" spans="2:24" x14ac:dyDescent="0.25">
      <c r="B8" s="26">
        <v>45658</v>
      </c>
      <c r="C8" s="55">
        <v>45684</v>
      </c>
      <c r="D8" s="55">
        <v>45779</v>
      </c>
      <c r="E8" s="54">
        <v>75.040000000000006</v>
      </c>
      <c r="F8" s="54">
        <v>86</v>
      </c>
      <c r="G8" s="57">
        <f>E8-F8</f>
        <v>-10.959999999999994</v>
      </c>
      <c r="H8" s="56" t="s">
        <v>336</v>
      </c>
      <c r="O8" s="26">
        <v>45658</v>
      </c>
      <c r="P8" s="55">
        <v>45673</v>
      </c>
      <c r="Q8" s="55">
        <v>45727</v>
      </c>
      <c r="R8" s="54">
        <v>86</v>
      </c>
      <c r="S8" t="s">
        <v>335</v>
      </c>
      <c r="U8" s="53">
        <f>R8</f>
        <v>86</v>
      </c>
      <c r="V8" s="53">
        <f>E8</f>
        <v>75.040000000000006</v>
      </c>
      <c r="W8" s="53">
        <f>U8-V8</f>
        <v>10.959999999999994</v>
      </c>
    </row>
    <row r="9" spans="2:24" s="47" customFormat="1" x14ac:dyDescent="0.25">
      <c r="E9" s="52">
        <f>SUM(E5:E8)</f>
        <v>326.93</v>
      </c>
      <c r="F9" s="49">
        <f>SUM(F5:F8)</f>
        <v>232.77</v>
      </c>
      <c r="G9" s="49">
        <f>SUM(G5:G8)</f>
        <v>-116.08</v>
      </c>
      <c r="H9" s="47" t="s">
        <v>333</v>
      </c>
      <c r="O9" s="51"/>
      <c r="P9" s="50"/>
      <c r="R9" s="49">
        <f>SUM(R5:R8)</f>
        <v>232.77</v>
      </c>
      <c r="S9" s="47" t="s">
        <v>334</v>
      </c>
      <c r="W9" s="48">
        <f>SUM(W5:W8)</f>
        <v>-94.160000000000011</v>
      </c>
      <c r="X9" s="47" t="s">
        <v>333</v>
      </c>
    </row>
    <row r="37" spans="3:3" x14ac:dyDescent="0.25">
      <c r="C37" t="s">
        <v>702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2F4C-2F82-428B-B76F-2099AF23AFE9}">
  <sheetPr codeName="Planilha7"/>
  <dimension ref="B2:J38"/>
  <sheetViews>
    <sheetView showGridLines="0" zoomScale="85" zoomScaleNormal="85" workbookViewId="0">
      <pane ySplit="2" topLeftCell="A18" activePane="bottomLeft" state="frozen"/>
      <selection pane="bottomLeft" activeCell="F38" sqref="F38"/>
    </sheetView>
  </sheetViews>
  <sheetFormatPr defaultRowHeight="15" x14ac:dyDescent="0.25"/>
  <cols>
    <col min="2" max="2" width="13.5703125" bestFit="1" customWidth="1"/>
    <col min="3" max="3" width="40.85546875" bestFit="1" customWidth="1"/>
    <col min="4" max="4" width="21.5703125" style="69" customWidth="1"/>
    <col min="5" max="5" width="13" bestFit="1" customWidth="1"/>
    <col min="6" max="6" width="15.85546875" bestFit="1" customWidth="1"/>
    <col min="7" max="7" width="15.42578125" bestFit="1" customWidth="1"/>
    <col min="8" max="8" width="14.42578125" style="54" bestFit="1" customWidth="1"/>
    <col min="9" max="9" width="22" bestFit="1" customWidth="1"/>
  </cols>
  <sheetData>
    <row r="2" spans="2:9" ht="18" x14ac:dyDescent="0.25">
      <c r="B2" s="70" t="s">
        <v>477</v>
      </c>
      <c r="C2" s="70" t="s">
        <v>478</v>
      </c>
      <c r="D2" s="71" t="s">
        <v>479</v>
      </c>
      <c r="E2" s="70" t="s">
        <v>480</v>
      </c>
      <c r="F2" s="70" t="s">
        <v>345</v>
      </c>
      <c r="G2" s="70" t="s">
        <v>344</v>
      </c>
      <c r="H2" s="76" t="s">
        <v>343</v>
      </c>
      <c r="I2" s="70" t="s">
        <v>481</v>
      </c>
    </row>
    <row r="3" spans="2:9" ht="18" x14ac:dyDescent="0.25">
      <c r="B3" s="72">
        <v>259049</v>
      </c>
      <c r="C3" s="72" t="s">
        <v>482</v>
      </c>
      <c r="D3" s="73">
        <v>2023004959988</v>
      </c>
      <c r="E3" s="74">
        <v>44927</v>
      </c>
      <c r="F3" s="75">
        <v>44959</v>
      </c>
      <c r="G3" s="75">
        <v>44960</v>
      </c>
      <c r="H3" s="77">
        <v>191.19</v>
      </c>
      <c r="I3" s="72" t="s">
        <v>483</v>
      </c>
    </row>
    <row r="4" spans="2:9" ht="18" x14ac:dyDescent="0.25">
      <c r="B4" s="72">
        <v>259049</v>
      </c>
      <c r="C4" s="72" t="s">
        <v>482</v>
      </c>
      <c r="D4" s="73">
        <v>2023014707796</v>
      </c>
      <c r="E4" s="74">
        <v>44958</v>
      </c>
      <c r="F4" s="75">
        <v>44987</v>
      </c>
      <c r="G4" s="75">
        <v>44991</v>
      </c>
      <c r="H4" s="77">
        <v>297.94</v>
      </c>
      <c r="I4" s="72" t="s">
        <v>483</v>
      </c>
    </row>
    <row r="5" spans="2:9" ht="18" x14ac:dyDescent="0.25">
      <c r="B5" s="72">
        <v>259049</v>
      </c>
      <c r="C5" s="72" t="s">
        <v>482</v>
      </c>
      <c r="D5" s="73">
        <v>2023024296910</v>
      </c>
      <c r="E5" s="74">
        <v>44986</v>
      </c>
      <c r="F5" s="75">
        <v>45018</v>
      </c>
      <c r="G5" s="75">
        <v>45026</v>
      </c>
      <c r="H5" s="77">
        <v>298.88</v>
      </c>
      <c r="I5" s="72" t="s">
        <v>483</v>
      </c>
    </row>
    <row r="6" spans="2:9" ht="18" x14ac:dyDescent="0.25">
      <c r="B6" s="72">
        <v>259049</v>
      </c>
      <c r="C6" s="72" t="s">
        <v>482</v>
      </c>
      <c r="D6" s="73">
        <v>2023033825407</v>
      </c>
      <c r="E6" s="74">
        <v>45017</v>
      </c>
      <c r="F6" s="75">
        <v>45048</v>
      </c>
      <c r="G6" s="75">
        <v>45062</v>
      </c>
      <c r="H6" s="77">
        <v>322.38</v>
      </c>
      <c r="I6" s="72" t="s">
        <v>483</v>
      </c>
    </row>
    <row r="7" spans="2:9" ht="18" x14ac:dyDescent="0.25">
      <c r="B7" s="72">
        <v>259049</v>
      </c>
      <c r="C7" s="72" t="s">
        <v>482</v>
      </c>
      <c r="D7" s="73">
        <v>2023043559318</v>
      </c>
      <c r="E7" s="74">
        <v>45047</v>
      </c>
      <c r="F7" s="75">
        <v>45079</v>
      </c>
      <c r="G7" s="75">
        <v>45111</v>
      </c>
      <c r="H7" s="77">
        <v>305.33</v>
      </c>
      <c r="I7" s="72" t="s">
        <v>483</v>
      </c>
    </row>
    <row r="8" spans="2:9" ht="18" x14ac:dyDescent="0.25">
      <c r="B8" s="72">
        <v>259049</v>
      </c>
      <c r="C8" s="72" t="s">
        <v>482</v>
      </c>
      <c r="D8" s="73">
        <v>2023053589419</v>
      </c>
      <c r="E8" s="74">
        <v>45078</v>
      </c>
      <c r="F8" s="75">
        <v>45109</v>
      </c>
      <c r="G8" s="75">
        <v>45111</v>
      </c>
      <c r="H8" s="77">
        <v>219.22</v>
      </c>
      <c r="I8" s="72" t="s">
        <v>483</v>
      </c>
    </row>
    <row r="9" spans="2:9" ht="18" x14ac:dyDescent="0.25">
      <c r="B9" s="72">
        <v>259049</v>
      </c>
      <c r="C9" s="72" t="s">
        <v>482</v>
      </c>
      <c r="D9" s="73">
        <v>2023063575130</v>
      </c>
      <c r="E9" s="74">
        <v>45108</v>
      </c>
      <c r="F9" s="75">
        <v>45140</v>
      </c>
      <c r="G9" s="75">
        <v>45148</v>
      </c>
      <c r="H9" s="77">
        <v>167.18</v>
      </c>
      <c r="I9" s="72" t="s">
        <v>483</v>
      </c>
    </row>
    <row r="10" spans="2:9" ht="18" x14ac:dyDescent="0.25">
      <c r="B10" s="72">
        <v>259049</v>
      </c>
      <c r="C10" s="72" t="s">
        <v>482</v>
      </c>
      <c r="D10" s="73">
        <v>2023073199330</v>
      </c>
      <c r="E10" s="74">
        <v>45139</v>
      </c>
      <c r="F10" s="75">
        <v>45171</v>
      </c>
      <c r="G10" s="75">
        <v>45181</v>
      </c>
      <c r="H10" s="77">
        <v>208.99</v>
      </c>
      <c r="I10" s="72" t="s">
        <v>483</v>
      </c>
    </row>
    <row r="11" spans="2:9" ht="18" x14ac:dyDescent="0.25">
      <c r="B11" s="72">
        <v>259049</v>
      </c>
      <c r="C11" s="72" t="s">
        <v>482</v>
      </c>
      <c r="D11" s="73">
        <v>2023083166750</v>
      </c>
      <c r="E11" s="74">
        <v>45170</v>
      </c>
      <c r="F11" s="75">
        <v>45201</v>
      </c>
      <c r="G11" s="75">
        <v>45208</v>
      </c>
      <c r="H11" s="77">
        <v>248.04</v>
      </c>
      <c r="I11" s="72" t="s">
        <v>483</v>
      </c>
    </row>
    <row r="12" spans="2:9" ht="18" x14ac:dyDescent="0.25">
      <c r="B12" s="72">
        <v>259049</v>
      </c>
      <c r="C12" s="72" t="s">
        <v>482</v>
      </c>
      <c r="D12" s="73">
        <v>2023092937893</v>
      </c>
      <c r="E12" s="74">
        <v>45200</v>
      </c>
      <c r="F12" s="75">
        <v>45232</v>
      </c>
      <c r="G12" s="75">
        <v>45259</v>
      </c>
      <c r="H12" s="77">
        <v>664.8</v>
      </c>
      <c r="I12" s="72" t="s">
        <v>483</v>
      </c>
    </row>
    <row r="13" spans="2:9" ht="18" x14ac:dyDescent="0.25">
      <c r="B13" s="72">
        <v>259049</v>
      </c>
      <c r="C13" s="72" t="s">
        <v>482</v>
      </c>
      <c r="D13" s="73">
        <v>2023104020631</v>
      </c>
      <c r="E13" s="74">
        <v>45231</v>
      </c>
      <c r="F13" s="75">
        <v>45262</v>
      </c>
      <c r="G13" s="75">
        <v>45280</v>
      </c>
      <c r="H13" s="77">
        <v>572.05999999999995</v>
      </c>
      <c r="I13" s="72" t="s">
        <v>483</v>
      </c>
    </row>
    <row r="14" spans="2:9" ht="18" x14ac:dyDescent="0.25">
      <c r="B14" s="72">
        <v>259049</v>
      </c>
      <c r="C14" s="72" t="s">
        <v>482</v>
      </c>
      <c r="D14" s="73">
        <v>2023114402076</v>
      </c>
      <c r="E14" s="74">
        <v>45261</v>
      </c>
      <c r="F14" s="75">
        <v>45293</v>
      </c>
      <c r="G14" s="75">
        <v>45299</v>
      </c>
      <c r="H14" s="77">
        <v>314.08999999999997</v>
      </c>
      <c r="I14" s="72" t="s">
        <v>483</v>
      </c>
    </row>
    <row r="15" spans="2:9" ht="18" x14ac:dyDescent="0.25">
      <c r="B15" s="72">
        <v>259049</v>
      </c>
      <c r="C15" s="72" t="s">
        <v>482</v>
      </c>
      <c r="D15" s="73">
        <v>2024005903552</v>
      </c>
      <c r="E15" s="74">
        <v>45292</v>
      </c>
      <c r="F15" s="75">
        <v>45324</v>
      </c>
      <c r="G15" s="75">
        <v>45341</v>
      </c>
      <c r="H15" s="77">
        <v>222.13</v>
      </c>
      <c r="I15" s="72" t="s">
        <v>483</v>
      </c>
    </row>
    <row r="16" spans="2:9" ht="18" x14ac:dyDescent="0.25">
      <c r="B16" s="72">
        <v>259049</v>
      </c>
      <c r="C16" s="72" t="s">
        <v>482</v>
      </c>
      <c r="D16" s="73">
        <v>2024015130558</v>
      </c>
      <c r="E16" s="74">
        <v>45323</v>
      </c>
      <c r="F16" s="75">
        <v>45353</v>
      </c>
      <c r="G16" s="75">
        <v>45369</v>
      </c>
      <c r="H16" s="77">
        <v>433.42</v>
      </c>
      <c r="I16" s="72" t="s">
        <v>483</v>
      </c>
    </row>
    <row r="17" spans="2:9" ht="18" x14ac:dyDescent="0.25">
      <c r="B17" s="72">
        <v>259049</v>
      </c>
      <c r="C17" s="72" t="s">
        <v>482</v>
      </c>
      <c r="D17" s="73">
        <v>2024026677865</v>
      </c>
      <c r="E17" s="74">
        <v>45352</v>
      </c>
      <c r="F17" s="75">
        <v>45384</v>
      </c>
      <c r="G17" s="75">
        <v>45392</v>
      </c>
      <c r="H17" s="77">
        <v>372.53</v>
      </c>
      <c r="I17" s="72" t="s">
        <v>483</v>
      </c>
    </row>
    <row r="18" spans="2:9" ht="18" x14ac:dyDescent="0.25">
      <c r="B18" s="72">
        <v>259049</v>
      </c>
      <c r="C18" s="72" t="s">
        <v>482</v>
      </c>
      <c r="D18" s="73">
        <v>2024037085072</v>
      </c>
      <c r="E18" s="74">
        <v>45383</v>
      </c>
      <c r="F18" s="75">
        <v>45414</v>
      </c>
      <c r="G18" s="75">
        <v>45426</v>
      </c>
      <c r="H18" s="77">
        <v>295.12</v>
      </c>
      <c r="I18" s="72" t="s">
        <v>483</v>
      </c>
    </row>
    <row r="19" spans="2:9" ht="18" x14ac:dyDescent="0.25">
      <c r="B19" s="72">
        <v>259049</v>
      </c>
      <c r="C19" s="72" t="s">
        <v>482</v>
      </c>
      <c r="D19" s="73">
        <v>2024047011304</v>
      </c>
      <c r="E19" s="74">
        <v>45413</v>
      </c>
      <c r="F19" s="75">
        <v>45445</v>
      </c>
      <c r="G19" s="75">
        <v>45453</v>
      </c>
      <c r="H19" s="77">
        <v>294.83</v>
      </c>
      <c r="I19" s="72" t="s">
        <v>483</v>
      </c>
    </row>
    <row r="20" spans="2:9" ht="18" x14ac:dyDescent="0.25">
      <c r="B20" s="72">
        <v>259049</v>
      </c>
      <c r="C20" s="72" t="s">
        <v>482</v>
      </c>
      <c r="D20" s="73">
        <v>2024057980494</v>
      </c>
      <c r="E20" s="74">
        <v>45444</v>
      </c>
      <c r="F20" s="75">
        <v>45475</v>
      </c>
      <c r="G20" s="75">
        <v>45481</v>
      </c>
      <c r="H20" s="77">
        <v>235.73</v>
      </c>
      <c r="I20" s="72" t="s">
        <v>483</v>
      </c>
    </row>
    <row r="21" spans="2:9" ht="18" x14ac:dyDescent="0.25">
      <c r="B21" s="72">
        <v>259049</v>
      </c>
      <c r="C21" s="72" t="s">
        <v>482</v>
      </c>
      <c r="D21" s="73">
        <v>2024067991422</v>
      </c>
      <c r="E21" s="74">
        <v>45474</v>
      </c>
      <c r="F21" s="75">
        <v>45506</v>
      </c>
      <c r="G21" s="75">
        <v>45531</v>
      </c>
      <c r="H21" s="77">
        <v>231.44</v>
      </c>
      <c r="I21" s="72" t="s">
        <v>483</v>
      </c>
    </row>
    <row r="22" spans="2:9" ht="18" x14ac:dyDescent="0.25">
      <c r="B22" s="72">
        <v>259049</v>
      </c>
      <c r="C22" s="72" t="s">
        <v>482</v>
      </c>
      <c r="D22" s="73">
        <v>2024077834670</v>
      </c>
      <c r="E22" s="74">
        <v>45505</v>
      </c>
      <c r="F22" s="75">
        <v>45537</v>
      </c>
      <c r="G22" s="75">
        <v>45607</v>
      </c>
      <c r="H22" s="77">
        <v>205.42</v>
      </c>
      <c r="I22" s="72" t="s">
        <v>483</v>
      </c>
    </row>
    <row r="23" spans="2:9" ht="18" x14ac:dyDescent="0.25">
      <c r="B23" s="72">
        <v>259049</v>
      </c>
      <c r="C23" s="72" t="s">
        <v>482</v>
      </c>
      <c r="D23" s="73">
        <v>2024087845130</v>
      </c>
      <c r="E23" s="74">
        <v>45536</v>
      </c>
      <c r="F23" s="75">
        <v>45567</v>
      </c>
      <c r="G23" s="75">
        <v>45607</v>
      </c>
      <c r="H23" s="77">
        <v>305.68</v>
      </c>
      <c r="I23" s="72" t="s">
        <v>483</v>
      </c>
    </row>
    <row r="24" spans="2:9" ht="18" x14ac:dyDescent="0.25">
      <c r="B24" s="72">
        <v>259049</v>
      </c>
      <c r="C24" s="72" t="s">
        <v>482</v>
      </c>
      <c r="D24" s="73">
        <v>2024097787632</v>
      </c>
      <c r="E24" s="74">
        <v>45566</v>
      </c>
      <c r="F24" s="75">
        <v>45598</v>
      </c>
      <c r="G24" s="75">
        <v>45635</v>
      </c>
      <c r="H24" s="77">
        <v>420.3</v>
      </c>
      <c r="I24" s="72" t="s">
        <v>483</v>
      </c>
    </row>
    <row r="25" spans="2:9" ht="18" x14ac:dyDescent="0.25">
      <c r="B25" s="72">
        <v>259049</v>
      </c>
      <c r="C25" s="72" t="s">
        <v>482</v>
      </c>
      <c r="D25" s="73">
        <v>2024107773441</v>
      </c>
      <c r="E25" s="74">
        <v>45597</v>
      </c>
      <c r="F25" s="75">
        <v>45628</v>
      </c>
      <c r="G25" s="75">
        <v>45665</v>
      </c>
      <c r="H25" s="77">
        <v>277.69</v>
      </c>
      <c r="I25" s="72" t="s">
        <v>483</v>
      </c>
    </row>
    <row r="26" spans="2:9" ht="18" x14ac:dyDescent="0.25">
      <c r="B26" s="72">
        <v>259049</v>
      </c>
      <c r="C26" s="72" t="s">
        <v>482</v>
      </c>
      <c r="D26" s="73">
        <v>2024118695463</v>
      </c>
      <c r="E26" s="74">
        <v>45627</v>
      </c>
      <c r="F26" s="75">
        <v>45659</v>
      </c>
      <c r="G26" s="75">
        <v>45727</v>
      </c>
      <c r="H26" s="77">
        <v>387.61</v>
      </c>
      <c r="I26" s="72" t="s">
        <v>483</v>
      </c>
    </row>
    <row r="27" spans="2:9" ht="18" x14ac:dyDescent="0.25">
      <c r="B27" s="72">
        <v>259049</v>
      </c>
      <c r="C27" s="72" t="s">
        <v>482</v>
      </c>
      <c r="D27" s="73">
        <v>2025004930842</v>
      </c>
      <c r="E27" s="74">
        <v>45658</v>
      </c>
      <c r="F27" s="75">
        <v>45690</v>
      </c>
      <c r="G27" s="75">
        <v>45727</v>
      </c>
      <c r="H27" s="77">
        <v>286.89999999999998</v>
      </c>
      <c r="I27" s="72" t="s">
        <v>483</v>
      </c>
    </row>
    <row r="28" spans="2:9" ht="18" x14ac:dyDescent="0.25">
      <c r="B28" s="72">
        <v>259049</v>
      </c>
      <c r="C28" s="72" t="s">
        <v>482</v>
      </c>
      <c r="D28" s="73">
        <v>2025014983081</v>
      </c>
      <c r="E28" s="74">
        <v>45689</v>
      </c>
      <c r="F28" s="75">
        <v>45718</v>
      </c>
      <c r="G28" s="75">
        <v>45777</v>
      </c>
      <c r="H28" s="77">
        <v>318.82</v>
      </c>
      <c r="I28" s="72" t="s">
        <v>483</v>
      </c>
    </row>
    <row r="29" spans="2:9" ht="18" x14ac:dyDescent="0.25">
      <c r="B29" s="72">
        <v>259049</v>
      </c>
      <c r="C29" s="72" t="s">
        <v>482</v>
      </c>
      <c r="D29" s="73">
        <v>2025025617667</v>
      </c>
      <c r="E29" s="74">
        <v>45717</v>
      </c>
      <c r="F29" s="75">
        <v>45749</v>
      </c>
      <c r="G29" s="75">
        <v>45818</v>
      </c>
      <c r="H29" s="77">
        <v>442.98</v>
      </c>
      <c r="I29" s="72" t="s">
        <v>483</v>
      </c>
    </row>
    <row r="30" spans="2:9" ht="18" x14ac:dyDescent="0.25">
      <c r="B30" s="72">
        <v>259049</v>
      </c>
      <c r="C30" s="72" t="s">
        <v>482</v>
      </c>
      <c r="D30" s="73">
        <v>2025036025793</v>
      </c>
      <c r="E30" s="74">
        <v>45748</v>
      </c>
      <c r="F30" s="75">
        <v>45779</v>
      </c>
      <c r="G30" s="75">
        <v>45818</v>
      </c>
      <c r="H30" s="77">
        <v>326.24</v>
      </c>
      <c r="I30" s="72" t="s">
        <v>483</v>
      </c>
    </row>
    <row r="31" spans="2:9" ht="18" x14ac:dyDescent="0.25">
      <c r="B31" s="72">
        <v>259049</v>
      </c>
      <c r="C31" s="72" t="s">
        <v>482</v>
      </c>
      <c r="D31" s="73">
        <v>2025046357141</v>
      </c>
      <c r="E31" s="74">
        <v>45778</v>
      </c>
      <c r="F31" s="75">
        <v>45810</v>
      </c>
      <c r="G31" s="75">
        <v>45868</v>
      </c>
      <c r="H31" s="77">
        <v>678.47</v>
      </c>
      <c r="I31" s="72" t="s">
        <v>483</v>
      </c>
    </row>
    <row r="32" spans="2:9" ht="18" x14ac:dyDescent="0.25">
      <c r="B32" s="72">
        <v>259049</v>
      </c>
      <c r="C32" s="72" t="s">
        <v>482</v>
      </c>
      <c r="D32" s="73">
        <v>2025056839886</v>
      </c>
      <c r="E32" s="74">
        <v>45809</v>
      </c>
      <c r="F32" s="75">
        <v>45840</v>
      </c>
      <c r="G32" s="75">
        <v>45875</v>
      </c>
      <c r="H32" s="77">
        <v>677.92</v>
      </c>
      <c r="I32" s="72" t="s">
        <v>483</v>
      </c>
    </row>
    <row r="33" spans="2:10" ht="18" x14ac:dyDescent="0.25">
      <c r="B33" s="72">
        <v>259049</v>
      </c>
      <c r="C33" s="72" t="s">
        <v>482</v>
      </c>
      <c r="D33" s="73"/>
      <c r="E33" s="74">
        <v>45839</v>
      </c>
      <c r="F33" s="75">
        <v>45871</v>
      </c>
      <c r="G33" s="75">
        <v>45915</v>
      </c>
      <c r="H33" s="77">
        <v>640.87</v>
      </c>
      <c r="I33" s="72" t="s">
        <v>483</v>
      </c>
      <c r="J33" t="s">
        <v>1186</v>
      </c>
    </row>
    <row r="34" spans="2:10" ht="18" x14ac:dyDescent="0.25">
      <c r="B34" s="72">
        <v>259049</v>
      </c>
      <c r="C34" s="72" t="s">
        <v>482</v>
      </c>
      <c r="D34" s="73"/>
      <c r="E34" s="74">
        <v>45870</v>
      </c>
      <c r="F34" s="75">
        <v>45902</v>
      </c>
      <c r="G34" s="75">
        <v>45943</v>
      </c>
      <c r="H34" s="77">
        <v>710.36</v>
      </c>
      <c r="I34" s="72" t="s">
        <v>483</v>
      </c>
      <c r="J34" t="s">
        <v>1187</v>
      </c>
    </row>
    <row r="35" spans="2:10" ht="18" x14ac:dyDescent="0.25">
      <c r="B35" s="72">
        <v>259049</v>
      </c>
      <c r="C35" s="72" t="s">
        <v>482</v>
      </c>
      <c r="D35" s="73"/>
      <c r="E35" s="74">
        <v>45901</v>
      </c>
      <c r="F35" s="75">
        <v>45932</v>
      </c>
      <c r="G35" s="75">
        <v>45971</v>
      </c>
      <c r="H35" s="77">
        <v>708.58</v>
      </c>
      <c r="I35" s="72" t="s">
        <v>483</v>
      </c>
    </row>
    <row r="36" spans="2:10" ht="18" x14ac:dyDescent="0.25">
      <c r="B36" s="72">
        <v>259049</v>
      </c>
      <c r="C36" s="72" t="s">
        <v>482</v>
      </c>
      <c r="D36" s="73"/>
      <c r="E36" s="74">
        <v>45931</v>
      </c>
      <c r="F36" s="75">
        <v>45963</v>
      </c>
      <c r="G36" s="75">
        <v>46034</v>
      </c>
      <c r="H36" s="77">
        <v>816.87</v>
      </c>
      <c r="I36" s="72" t="s">
        <v>483</v>
      </c>
      <c r="J36" t="s">
        <v>1187</v>
      </c>
    </row>
    <row r="37" spans="2:10" ht="18" x14ac:dyDescent="0.25">
      <c r="B37" s="72">
        <v>259049</v>
      </c>
      <c r="C37" s="72" t="s">
        <v>482</v>
      </c>
      <c r="D37" s="73"/>
      <c r="E37" s="74">
        <v>45962</v>
      </c>
      <c r="F37" s="75">
        <v>45993</v>
      </c>
      <c r="G37" s="75">
        <v>45999</v>
      </c>
      <c r="H37" s="77">
        <v>1050.29</v>
      </c>
      <c r="I37" s="72" t="s">
        <v>483</v>
      </c>
      <c r="J37" t="s">
        <v>1187</v>
      </c>
    </row>
    <row r="38" spans="2:10" ht="18" x14ac:dyDescent="0.25">
      <c r="B38" s="72">
        <v>259049</v>
      </c>
      <c r="C38" s="72" t="s">
        <v>482</v>
      </c>
      <c r="D38" s="73"/>
      <c r="E38" s="74">
        <v>45992</v>
      </c>
      <c r="F38" s="75">
        <v>46024</v>
      </c>
      <c r="G38" s="75">
        <v>46062</v>
      </c>
      <c r="H38" s="77">
        <v>833.3</v>
      </c>
      <c r="I38" s="72" t="s">
        <v>483</v>
      </c>
      <c r="J38" t="s">
        <v>1187</v>
      </c>
    </row>
  </sheetData>
  <sortState xmlns:xlrd2="http://schemas.microsoft.com/office/spreadsheetml/2017/richdata2" ref="B3:I30">
    <sortCondition ref="E3:E30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E3A5-28DA-4E17-B8F3-D9AFF7FAE061}">
  <sheetPr codeName="Planilha12"/>
  <dimension ref="B2:L30"/>
  <sheetViews>
    <sheetView workbookViewId="0">
      <pane ySplit="2" topLeftCell="A3" activePane="bottomLeft" state="frozen"/>
      <selection pane="bottomLeft" activeCell="K6" sqref="K6"/>
    </sheetView>
  </sheetViews>
  <sheetFormatPr defaultRowHeight="15" x14ac:dyDescent="0.25"/>
  <cols>
    <col min="2" max="2" width="8.5703125" style="294" bestFit="1" customWidth="1"/>
    <col min="3" max="3" width="9.85546875" bestFit="1" customWidth="1"/>
    <col min="4" max="4" width="13.85546875" bestFit="1" customWidth="1"/>
    <col min="5" max="5" width="14.140625" bestFit="1" customWidth="1"/>
    <col min="6" max="6" width="10.5703125" bestFit="1" customWidth="1"/>
    <col min="7" max="7" width="9.28515625" bestFit="1" customWidth="1"/>
    <col min="8" max="8" width="8" bestFit="1" customWidth="1"/>
    <col min="9" max="9" width="7" bestFit="1" customWidth="1"/>
    <col min="10" max="10" width="9.85546875" bestFit="1" customWidth="1"/>
    <col min="11" max="11" width="14.7109375" bestFit="1" customWidth="1"/>
    <col min="12" max="12" width="9.5703125" style="49" bestFit="1" customWidth="1"/>
  </cols>
  <sheetData>
    <row r="2" spans="2:12" x14ac:dyDescent="0.25">
      <c r="B2" s="295" t="s">
        <v>1192</v>
      </c>
      <c r="C2" s="47" t="s">
        <v>1141</v>
      </c>
      <c r="D2" s="47" t="s">
        <v>1193</v>
      </c>
      <c r="E2" s="47" t="s">
        <v>1194</v>
      </c>
      <c r="F2" s="47" t="s">
        <v>1195</v>
      </c>
      <c r="G2" s="47" t="s">
        <v>1196</v>
      </c>
      <c r="H2" s="47" t="s">
        <v>1197</v>
      </c>
      <c r="I2" s="47" t="s">
        <v>1198</v>
      </c>
      <c r="J2" s="47" t="s">
        <v>1199</v>
      </c>
      <c r="K2" s="47" t="s">
        <v>1200</v>
      </c>
      <c r="L2" s="49" t="s">
        <v>33</v>
      </c>
    </row>
    <row r="3" spans="2:12" x14ac:dyDescent="0.25">
      <c r="B3" s="292">
        <v>46023</v>
      </c>
      <c r="C3" s="286">
        <v>274.05</v>
      </c>
      <c r="D3" s="286">
        <v>400.11</v>
      </c>
      <c r="E3" s="286">
        <v>47.31</v>
      </c>
      <c r="F3" s="286">
        <v>156.15</v>
      </c>
      <c r="G3" s="286">
        <v>0</v>
      </c>
      <c r="H3" s="286">
        <v>143.03</v>
      </c>
      <c r="I3" s="286">
        <v>2.33</v>
      </c>
      <c r="J3" s="286">
        <v>10.79</v>
      </c>
      <c r="K3" s="286">
        <v>66.63</v>
      </c>
      <c r="L3" s="296">
        <v>819.4</v>
      </c>
    </row>
    <row r="4" spans="2:12" x14ac:dyDescent="0.25">
      <c r="B4" s="293" t="s">
        <v>789</v>
      </c>
      <c r="C4" s="287">
        <v>36.409999999999997</v>
      </c>
      <c r="D4" s="287">
        <v>53.15</v>
      </c>
      <c r="E4" s="287">
        <v>6.28</v>
      </c>
      <c r="F4" s="287">
        <v>20.74</v>
      </c>
      <c r="G4" s="287">
        <v>0</v>
      </c>
      <c r="H4" s="287">
        <v>19</v>
      </c>
      <c r="I4" s="287">
        <v>0.31</v>
      </c>
      <c r="J4" s="287">
        <v>1.43</v>
      </c>
      <c r="K4" s="287">
        <v>8.85</v>
      </c>
      <c r="L4" s="287">
        <v>100</v>
      </c>
    </row>
    <row r="5" spans="2:12" x14ac:dyDescent="0.25">
      <c r="B5" s="292">
        <v>45992</v>
      </c>
      <c r="C5" s="286">
        <v>287.04000000000002</v>
      </c>
      <c r="D5" s="286">
        <v>429</v>
      </c>
      <c r="E5" s="286">
        <v>50.72</v>
      </c>
      <c r="F5" s="286">
        <v>191.77</v>
      </c>
      <c r="G5" s="286">
        <v>0</v>
      </c>
      <c r="H5" s="286">
        <v>153.35</v>
      </c>
      <c r="I5" s="286">
        <v>6.84</v>
      </c>
      <c r="J5" s="286">
        <v>31.58</v>
      </c>
      <c r="K5" s="286">
        <v>26.18</v>
      </c>
      <c r="L5" s="296">
        <v>833.3</v>
      </c>
    </row>
    <row r="6" spans="2:12" x14ac:dyDescent="0.25">
      <c r="B6" s="293" t="s">
        <v>789</v>
      </c>
      <c r="C6" s="287">
        <v>35.56</v>
      </c>
      <c r="D6" s="287">
        <v>53.15</v>
      </c>
      <c r="E6" s="287">
        <v>6.28</v>
      </c>
      <c r="F6" s="287">
        <v>23.76</v>
      </c>
      <c r="G6" s="287">
        <v>0</v>
      </c>
      <c r="H6" s="287">
        <v>19</v>
      </c>
      <c r="I6" s="287">
        <v>0.85</v>
      </c>
      <c r="J6" s="287">
        <v>3.91</v>
      </c>
      <c r="K6" s="287">
        <v>3.24</v>
      </c>
      <c r="L6" s="287">
        <v>100</v>
      </c>
    </row>
    <row r="7" spans="2:12" x14ac:dyDescent="0.25">
      <c r="B7" s="292">
        <v>45962</v>
      </c>
      <c r="C7" s="286">
        <v>317.52</v>
      </c>
      <c r="D7" s="286">
        <v>474.52</v>
      </c>
      <c r="E7" s="286">
        <v>56.11</v>
      </c>
      <c r="F7" s="286">
        <v>232.69</v>
      </c>
      <c r="G7" s="286">
        <v>0</v>
      </c>
      <c r="H7" s="286">
        <v>169.63</v>
      </c>
      <c r="I7" s="286">
        <v>11.22</v>
      </c>
      <c r="J7" s="286">
        <v>51.84</v>
      </c>
      <c r="K7" s="286">
        <v>157.5</v>
      </c>
      <c r="L7" s="296">
        <v>1050.29</v>
      </c>
    </row>
    <row r="8" spans="2:12" x14ac:dyDescent="0.25">
      <c r="B8" s="293" t="s">
        <v>789</v>
      </c>
      <c r="C8" s="287">
        <v>35.56</v>
      </c>
      <c r="D8" s="287">
        <v>53.15</v>
      </c>
      <c r="E8" s="287">
        <v>6.28</v>
      </c>
      <c r="F8" s="287">
        <v>26.06</v>
      </c>
      <c r="G8" s="287">
        <v>0</v>
      </c>
      <c r="H8" s="287">
        <v>19</v>
      </c>
      <c r="I8" s="287">
        <v>1.26</v>
      </c>
      <c r="J8" s="287">
        <v>5.81</v>
      </c>
      <c r="K8" s="287">
        <v>17.64</v>
      </c>
      <c r="L8" s="287">
        <v>100</v>
      </c>
    </row>
    <row r="9" spans="2:12" x14ac:dyDescent="0.25">
      <c r="B9" s="292">
        <v>45931</v>
      </c>
      <c r="C9" s="286">
        <v>244.1</v>
      </c>
      <c r="D9" s="286">
        <v>364.65</v>
      </c>
      <c r="E9" s="286">
        <v>43.11</v>
      </c>
      <c r="F9" s="286">
        <v>179.67</v>
      </c>
      <c r="G9" s="286">
        <v>0</v>
      </c>
      <c r="H9" s="286">
        <v>130.37</v>
      </c>
      <c r="I9" s="286">
        <v>8.7799999999999994</v>
      </c>
      <c r="J9" s="286">
        <v>40.520000000000003</v>
      </c>
      <c r="K9" s="286">
        <v>130.71</v>
      </c>
      <c r="L9" s="296">
        <v>816.87</v>
      </c>
    </row>
    <row r="10" spans="2:12" x14ac:dyDescent="0.25">
      <c r="B10" s="293" t="s">
        <v>789</v>
      </c>
      <c r="C10" s="287">
        <v>35.57</v>
      </c>
      <c r="D10" s="287">
        <v>53.14</v>
      </c>
      <c r="E10" s="287">
        <v>6.28</v>
      </c>
      <c r="F10" s="287">
        <v>26.18</v>
      </c>
      <c r="G10" s="287">
        <v>0</v>
      </c>
      <c r="H10" s="287">
        <v>19</v>
      </c>
      <c r="I10" s="287">
        <v>1.28</v>
      </c>
      <c r="J10" s="287">
        <v>5.91</v>
      </c>
      <c r="K10" s="287">
        <v>19.05</v>
      </c>
      <c r="L10" s="287">
        <v>100</v>
      </c>
    </row>
    <row r="11" spans="2:12" x14ac:dyDescent="0.25">
      <c r="B11" s="292">
        <v>45901</v>
      </c>
      <c r="C11" s="286">
        <v>211.62</v>
      </c>
      <c r="D11" s="286">
        <v>316.14</v>
      </c>
      <c r="E11" s="286">
        <v>37.380000000000003</v>
      </c>
      <c r="F11" s="286">
        <v>134.65</v>
      </c>
      <c r="G11" s="286">
        <v>0</v>
      </c>
      <c r="H11" s="286">
        <v>113.03</v>
      </c>
      <c r="I11" s="286">
        <v>3.85</v>
      </c>
      <c r="J11" s="286">
        <v>17.77</v>
      </c>
      <c r="K11" s="286">
        <v>113.7</v>
      </c>
      <c r="L11" s="296">
        <v>708.58</v>
      </c>
    </row>
    <row r="12" spans="2:12" x14ac:dyDescent="0.25">
      <c r="B12" s="293" t="s">
        <v>789</v>
      </c>
      <c r="C12" s="287">
        <v>35.57</v>
      </c>
      <c r="D12" s="287">
        <v>53.14</v>
      </c>
      <c r="E12" s="287">
        <v>6.28</v>
      </c>
      <c r="F12" s="287">
        <v>22.63</v>
      </c>
      <c r="G12" s="287">
        <v>0</v>
      </c>
      <c r="H12" s="287">
        <v>19</v>
      </c>
      <c r="I12" s="287">
        <v>0.65</v>
      </c>
      <c r="J12" s="287">
        <v>2.99</v>
      </c>
      <c r="K12" s="287">
        <v>19.11</v>
      </c>
      <c r="L12" s="287">
        <v>100</v>
      </c>
    </row>
    <row r="13" spans="2:12" x14ac:dyDescent="0.25">
      <c r="B13" s="292">
        <v>45870</v>
      </c>
      <c r="C13" s="286">
        <v>201.98</v>
      </c>
      <c r="D13" s="286">
        <v>301.75</v>
      </c>
      <c r="E13" s="286">
        <v>35.68</v>
      </c>
      <c r="F13" s="286">
        <v>121.73</v>
      </c>
      <c r="G13" s="286">
        <v>0</v>
      </c>
      <c r="H13" s="286">
        <v>107.88</v>
      </c>
      <c r="I13" s="286">
        <v>2.46</v>
      </c>
      <c r="J13" s="286">
        <v>11.39</v>
      </c>
      <c r="K13" s="286">
        <v>142.56</v>
      </c>
      <c r="L13" s="296">
        <v>710.36</v>
      </c>
    </row>
    <row r="14" spans="2:12" x14ac:dyDescent="0.25">
      <c r="B14" s="293" t="s">
        <v>789</v>
      </c>
      <c r="C14" s="287">
        <v>35.57</v>
      </c>
      <c r="D14" s="287">
        <v>53.14</v>
      </c>
      <c r="E14" s="287">
        <v>6.28</v>
      </c>
      <c r="F14" s="287">
        <v>21.44</v>
      </c>
      <c r="G14" s="287">
        <v>0</v>
      </c>
      <c r="H14" s="287">
        <v>19</v>
      </c>
      <c r="I14" s="287">
        <v>0.43</v>
      </c>
      <c r="J14" s="287">
        <v>2.0099999999999998</v>
      </c>
      <c r="K14" s="287">
        <v>25.11</v>
      </c>
      <c r="L14" s="287">
        <v>100</v>
      </c>
    </row>
    <row r="15" spans="2:12" x14ac:dyDescent="0.25">
      <c r="B15" s="292">
        <v>45839</v>
      </c>
      <c r="C15" s="286">
        <v>199.88</v>
      </c>
      <c r="D15" s="286">
        <v>298.61</v>
      </c>
      <c r="E15" s="286">
        <v>35.299999999999997</v>
      </c>
      <c r="F15" s="286">
        <v>133.72</v>
      </c>
      <c r="G15" s="286">
        <v>0</v>
      </c>
      <c r="H15" s="286">
        <v>106.76</v>
      </c>
      <c r="I15" s="286">
        <v>4.8</v>
      </c>
      <c r="J15" s="286">
        <v>22.16</v>
      </c>
      <c r="K15" s="286">
        <v>78.989999999999995</v>
      </c>
      <c r="L15" s="296">
        <v>640.87</v>
      </c>
    </row>
    <row r="16" spans="2:12" x14ac:dyDescent="0.25">
      <c r="B16" s="293" t="s">
        <v>789</v>
      </c>
      <c r="C16" s="287">
        <v>35.57</v>
      </c>
      <c r="D16" s="287">
        <v>53.14</v>
      </c>
      <c r="E16" s="287">
        <v>6.28</v>
      </c>
      <c r="F16" s="287">
        <v>23.8</v>
      </c>
      <c r="G16" s="287">
        <v>0</v>
      </c>
      <c r="H16" s="287">
        <v>19</v>
      </c>
      <c r="I16" s="287">
        <v>0.85</v>
      </c>
      <c r="J16" s="287">
        <v>3.94</v>
      </c>
      <c r="K16" s="287">
        <v>14.06</v>
      </c>
      <c r="L16" s="287">
        <v>100</v>
      </c>
    </row>
    <row r="17" spans="2:12" x14ac:dyDescent="0.25">
      <c r="B17" s="292">
        <v>45809</v>
      </c>
      <c r="C17" s="286">
        <v>206.26</v>
      </c>
      <c r="D17" s="286">
        <v>308.14</v>
      </c>
      <c r="E17" s="286">
        <v>36.43</v>
      </c>
      <c r="F17" s="286">
        <v>143.46</v>
      </c>
      <c r="G17" s="286">
        <v>0</v>
      </c>
      <c r="H17" s="286">
        <v>110.17</v>
      </c>
      <c r="I17" s="286">
        <v>5.93</v>
      </c>
      <c r="J17" s="286">
        <v>27.36</v>
      </c>
      <c r="K17" s="286">
        <v>98.1</v>
      </c>
      <c r="L17" s="296">
        <v>677.92</v>
      </c>
    </row>
    <row r="18" spans="2:12" x14ac:dyDescent="0.25">
      <c r="B18" s="293" t="s">
        <v>789</v>
      </c>
      <c r="C18" s="287">
        <v>35.57</v>
      </c>
      <c r="D18" s="287">
        <v>53.14</v>
      </c>
      <c r="E18" s="287">
        <v>6.28</v>
      </c>
      <c r="F18" s="287">
        <v>24.74</v>
      </c>
      <c r="G18" s="287">
        <v>0</v>
      </c>
      <c r="H18" s="287">
        <v>19</v>
      </c>
      <c r="I18" s="287">
        <v>1.02</v>
      </c>
      <c r="J18" s="287">
        <v>4.72</v>
      </c>
      <c r="K18" s="287">
        <v>16.920000000000002</v>
      </c>
      <c r="L18" s="287">
        <v>100</v>
      </c>
    </row>
    <row r="19" spans="2:12" x14ac:dyDescent="0.25">
      <c r="B19" s="292">
        <v>45778</v>
      </c>
      <c r="C19" s="286">
        <v>217.1</v>
      </c>
      <c r="D19" s="286">
        <v>324.32</v>
      </c>
      <c r="E19" s="286">
        <v>38.35</v>
      </c>
      <c r="F19" s="286">
        <v>150.79</v>
      </c>
      <c r="G19" s="286">
        <v>0</v>
      </c>
      <c r="H19" s="286">
        <v>115.95</v>
      </c>
      <c r="I19" s="286">
        <v>6.21</v>
      </c>
      <c r="J19" s="286">
        <v>28.63</v>
      </c>
      <c r="K19" s="286">
        <v>68.19</v>
      </c>
      <c r="L19" s="296">
        <v>678.47</v>
      </c>
    </row>
    <row r="20" spans="2:12" x14ac:dyDescent="0.25">
      <c r="B20" s="293" t="s">
        <v>789</v>
      </c>
      <c r="C20" s="287">
        <v>35.57</v>
      </c>
      <c r="D20" s="287">
        <v>53.14</v>
      </c>
      <c r="E20" s="287">
        <v>6.28</v>
      </c>
      <c r="F20" s="287">
        <v>24.71</v>
      </c>
      <c r="G20" s="287">
        <v>0</v>
      </c>
      <c r="H20" s="287">
        <v>19</v>
      </c>
      <c r="I20" s="287">
        <v>1.02</v>
      </c>
      <c r="J20" s="287">
        <v>4.6900000000000004</v>
      </c>
      <c r="K20" s="287">
        <v>11.17</v>
      </c>
      <c r="L20" s="287">
        <v>100</v>
      </c>
    </row>
    <row r="21" spans="2:12" x14ac:dyDescent="0.25">
      <c r="B21" s="292">
        <v>45748</v>
      </c>
      <c r="C21" s="286">
        <v>107.72</v>
      </c>
      <c r="D21" s="286">
        <v>160.93</v>
      </c>
      <c r="E21" s="286">
        <v>19.02</v>
      </c>
      <c r="F21" s="286">
        <v>68.599999999999994</v>
      </c>
      <c r="G21" s="286">
        <v>0</v>
      </c>
      <c r="H21" s="286">
        <v>57.54</v>
      </c>
      <c r="I21" s="286">
        <v>1.97</v>
      </c>
      <c r="J21" s="286">
        <v>9.09</v>
      </c>
      <c r="K21" s="286">
        <v>23.42</v>
      </c>
      <c r="L21" s="296">
        <v>326.24</v>
      </c>
    </row>
    <row r="22" spans="2:12" x14ac:dyDescent="0.25">
      <c r="B22" s="293" t="s">
        <v>789</v>
      </c>
      <c r="C22" s="287">
        <v>35.57</v>
      </c>
      <c r="D22" s="287">
        <v>53.14</v>
      </c>
      <c r="E22" s="287">
        <v>6.28</v>
      </c>
      <c r="F22" s="287">
        <v>22.65</v>
      </c>
      <c r="G22" s="287">
        <v>0</v>
      </c>
      <c r="H22" s="287">
        <v>19</v>
      </c>
      <c r="I22" s="287">
        <v>0.65</v>
      </c>
      <c r="J22" s="287">
        <v>3</v>
      </c>
      <c r="K22" s="287">
        <v>7.73</v>
      </c>
      <c r="L22" s="287">
        <v>100</v>
      </c>
    </row>
    <row r="23" spans="2:12" x14ac:dyDescent="0.25">
      <c r="B23" s="292">
        <v>45717</v>
      </c>
      <c r="C23" s="286">
        <v>138.47</v>
      </c>
      <c r="D23" s="286">
        <v>206.86</v>
      </c>
      <c r="E23" s="286">
        <v>24.46</v>
      </c>
      <c r="F23" s="286">
        <v>92.38</v>
      </c>
      <c r="G23" s="286">
        <v>0</v>
      </c>
      <c r="H23" s="286">
        <v>73.959999999999994</v>
      </c>
      <c r="I23" s="286">
        <v>3.28</v>
      </c>
      <c r="J23" s="286">
        <v>15.14</v>
      </c>
      <c r="K23" s="286">
        <v>53.72</v>
      </c>
      <c r="L23" s="296">
        <v>442.98</v>
      </c>
    </row>
    <row r="24" spans="2:12" x14ac:dyDescent="0.25">
      <c r="B24" s="293" t="s">
        <v>789</v>
      </c>
      <c r="C24" s="287">
        <v>35.57</v>
      </c>
      <c r="D24" s="287">
        <v>53.14</v>
      </c>
      <c r="E24" s="287">
        <v>6.28</v>
      </c>
      <c r="F24" s="287">
        <v>23.73</v>
      </c>
      <c r="G24" s="287">
        <v>0</v>
      </c>
      <c r="H24" s="287">
        <v>19</v>
      </c>
      <c r="I24" s="287">
        <v>0.84</v>
      </c>
      <c r="J24" s="287">
        <v>3.89</v>
      </c>
      <c r="K24" s="287">
        <v>13.8</v>
      </c>
      <c r="L24" s="287">
        <v>100</v>
      </c>
    </row>
    <row r="25" spans="2:12" x14ac:dyDescent="0.25">
      <c r="B25" s="292">
        <v>45689</v>
      </c>
      <c r="C25" s="286">
        <v>110.28</v>
      </c>
      <c r="D25" s="286">
        <v>164.75</v>
      </c>
      <c r="E25" s="286">
        <v>19.48</v>
      </c>
      <c r="F25" s="286">
        <v>63.86</v>
      </c>
      <c r="G25" s="286">
        <v>0</v>
      </c>
      <c r="H25" s="286">
        <v>58.9</v>
      </c>
      <c r="I25" s="286">
        <v>0.88</v>
      </c>
      <c r="J25" s="286">
        <v>4.08</v>
      </c>
      <c r="K25" s="286">
        <v>8.8000000000000007</v>
      </c>
      <c r="L25" s="296">
        <v>318.82</v>
      </c>
    </row>
    <row r="26" spans="2:12" x14ac:dyDescent="0.25">
      <c r="B26" s="293" t="s">
        <v>789</v>
      </c>
      <c r="C26" s="287">
        <v>35.57</v>
      </c>
      <c r="D26" s="287">
        <v>53.14</v>
      </c>
      <c r="E26" s="287">
        <v>6.28</v>
      </c>
      <c r="F26" s="287">
        <v>20.6</v>
      </c>
      <c r="G26" s="287">
        <v>0</v>
      </c>
      <c r="H26" s="287">
        <v>19</v>
      </c>
      <c r="I26" s="287">
        <v>0.28000000000000003</v>
      </c>
      <c r="J26" s="287">
        <v>1.32</v>
      </c>
      <c r="K26" s="287">
        <v>2.84</v>
      </c>
      <c r="L26" s="287">
        <v>100</v>
      </c>
    </row>
    <row r="27" spans="2:12" x14ac:dyDescent="0.25">
      <c r="B27" s="292">
        <v>45658</v>
      </c>
      <c r="C27" s="286">
        <v>103.46</v>
      </c>
      <c r="D27" s="286">
        <v>154.58000000000001</v>
      </c>
      <c r="E27" s="286">
        <v>18.27</v>
      </c>
      <c r="F27" s="286">
        <v>59.64</v>
      </c>
      <c r="G27" s="286">
        <v>0</v>
      </c>
      <c r="H27" s="286">
        <v>55.27</v>
      </c>
      <c r="I27" s="286">
        <v>0.78</v>
      </c>
      <c r="J27" s="286">
        <v>3.59</v>
      </c>
      <c r="K27" s="286">
        <v>-3.97</v>
      </c>
      <c r="L27" s="296">
        <v>286.89999999999998</v>
      </c>
    </row>
    <row r="28" spans="2:12" x14ac:dyDescent="0.25">
      <c r="B28" s="293" t="s">
        <v>789</v>
      </c>
      <c r="C28" s="287">
        <v>35.57</v>
      </c>
      <c r="D28" s="287">
        <v>53.14</v>
      </c>
      <c r="E28" s="287">
        <v>6.28</v>
      </c>
      <c r="F28" s="287">
        <v>20.5</v>
      </c>
      <c r="G28" s="287">
        <v>0</v>
      </c>
      <c r="H28" s="287">
        <v>19</v>
      </c>
      <c r="I28" s="287">
        <v>0.27</v>
      </c>
      <c r="J28" s="287">
        <v>1.23</v>
      </c>
      <c r="K28" s="287">
        <v>-1.36</v>
      </c>
      <c r="L28" s="287">
        <v>100</v>
      </c>
    </row>
    <row r="29" spans="2:12" x14ac:dyDescent="0.25">
      <c r="B29" s="292">
        <v>45627</v>
      </c>
      <c r="C29" s="286">
        <v>122.14</v>
      </c>
      <c r="D29" s="286">
        <v>182.47</v>
      </c>
      <c r="E29" s="286">
        <v>21.57</v>
      </c>
      <c r="F29" s="286">
        <v>80.05</v>
      </c>
      <c r="G29" s="286">
        <v>0</v>
      </c>
      <c r="H29" s="286">
        <v>65.239999999999995</v>
      </c>
      <c r="I29" s="286">
        <v>2.64</v>
      </c>
      <c r="J29" s="286">
        <v>12.17</v>
      </c>
      <c r="K29" s="286">
        <v>44.25</v>
      </c>
      <c r="L29" s="296">
        <v>387.61</v>
      </c>
    </row>
    <row r="30" spans="2:12" x14ac:dyDescent="0.25">
      <c r="B30" s="293" t="s">
        <v>789</v>
      </c>
      <c r="C30" s="287">
        <v>35.57</v>
      </c>
      <c r="D30" s="287">
        <v>53.14</v>
      </c>
      <c r="E30" s="287">
        <v>6.28</v>
      </c>
      <c r="F30" s="287">
        <v>23.31</v>
      </c>
      <c r="G30" s="287">
        <v>0</v>
      </c>
      <c r="H30" s="287">
        <v>19</v>
      </c>
      <c r="I30" s="287">
        <v>0.77</v>
      </c>
      <c r="J30" s="287">
        <v>3.54</v>
      </c>
      <c r="K30" s="287">
        <v>12.89</v>
      </c>
      <c r="L30" s="287">
        <v>100</v>
      </c>
    </row>
  </sheetData>
  <autoFilter ref="B2:L30" xr:uid="{D862E3A5-28DA-4E17-B8F3-D9AFF7FAE061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12EB-977D-4CF8-BC81-32AC13E37A2F}">
  <sheetPr codeName="Planilha8"/>
  <dimension ref="B2:K33"/>
  <sheetViews>
    <sheetView workbookViewId="0">
      <selection activeCell="I16" sqref="I16"/>
    </sheetView>
  </sheetViews>
  <sheetFormatPr defaultRowHeight="15" x14ac:dyDescent="0.25"/>
  <cols>
    <col min="2" max="2" width="12.42578125" style="61" customWidth="1"/>
    <col min="3" max="3" width="11.5703125" style="61" customWidth="1"/>
    <col min="4" max="4" width="11.28515625" style="61" customWidth="1"/>
    <col min="5" max="5" width="10" style="61" customWidth="1"/>
    <col min="6" max="6" width="14.7109375" style="61" customWidth="1"/>
    <col min="7" max="7" width="13" style="61" customWidth="1"/>
    <col min="8" max="8" width="13.42578125" style="269" bestFit="1" customWidth="1"/>
    <col min="9" max="9" width="13" style="269" bestFit="1" customWidth="1"/>
    <col min="10" max="10" width="2" bestFit="1" customWidth="1"/>
    <col min="11" max="11" width="12.42578125" style="270" bestFit="1" customWidth="1"/>
  </cols>
  <sheetData>
    <row r="2" spans="2:11" x14ac:dyDescent="0.25">
      <c r="B2" s="262" t="s">
        <v>695</v>
      </c>
      <c r="C2" s="262" t="s">
        <v>694</v>
      </c>
      <c r="D2" s="262" t="s">
        <v>690</v>
      </c>
      <c r="E2" s="262" t="s">
        <v>689</v>
      </c>
      <c r="F2" s="262" t="s">
        <v>696</v>
      </c>
      <c r="G2" s="262" t="s">
        <v>691</v>
      </c>
      <c r="H2" s="267" t="s">
        <v>692</v>
      </c>
      <c r="I2" s="267" t="s">
        <v>693</v>
      </c>
      <c r="J2" s="262" t="s">
        <v>18</v>
      </c>
      <c r="K2" s="268" t="s">
        <v>182</v>
      </c>
    </row>
    <row r="3" spans="2:11" x14ac:dyDescent="0.25">
      <c r="B3" s="266">
        <v>46023</v>
      </c>
      <c r="C3" s="61" t="s">
        <v>688</v>
      </c>
      <c r="D3" s="61">
        <v>1</v>
      </c>
      <c r="E3" s="61">
        <f t="shared" ref="E3:E4" si="0">16*2</f>
        <v>32</v>
      </c>
      <c r="F3" s="61">
        <v>13</v>
      </c>
      <c r="G3" s="269">
        <f>E3/F3</f>
        <v>2.4615384615384617</v>
      </c>
      <c r="H3" s="269">
        <v>6.5</v>
      </c>
      <c r="I3" s="269">
        <f>G3*H3</f>
        <v>16</v>
      </c>
      <c r="K3" s="270">
        <v>20</v>
      </c>
    </row>
    <row r="4" spans="2:11" x14ac:dyDescent="0.25">
      <c r="B4" s="266">
        <f>B3+1</f>
        <v>46024</v>
      </c>
      <c r="C4" s="61" t="s">
        <v>682</v>
      </c>
      <c r="D4" s="61">
        <v>1</v>
      </c>
      <c r="E4" s="61">
        <f t="shared" si="0"/>
        <v>32</v>
      </c>
      <c r="F4" s="61">
        <v>13</v>
      </c>
      <c r="G4" s="269">
        <f>E4/F4</f>
        <v>2.4615384615384617</v>
      </c>
      <c r="H4" s="269">
        <v>6.5</v>
      </c>
      <c r="I4" s="269">
        <f>G4*H4</f>
        <v>16</v>
      </c>
      <c r="K4" s="270">
        <v>20</v>
      </c>
    </row>
    <row r="5" spans="2:11" x14ac:dyDescent="0.25">
      <c r="B5" s="272">
        <f t="shared" ref="B5:B32" si="1">B4+1</f>
        <v>46025</v>
      </c>
      <c r="C5" s="273" t="s">
        <v>683</v>
      </c>
      <c r="D5" s="273"/>
      <c r="E5" s="273"/>
      <c r="F5" s="273"/>
      <c r="G5" s="274"/>
      <c r="H5" s="274"/>
      <c r="I5" s="274">
        <v>0</v>
      </c>
      <c r="J5" s="275"/>
      <c r="K5" s="276">
        <f>20*0</f>
        <v>0</v>
      </c>
    </row>
    <row r="6" spans="2:11" x14ac:dyDescent="0.25">
      <c r="B6" s="272">
        <f t="shared" si="1"/>
        <v>46026</v>
      </c>
      <c r="C6" s="273" t="s">
        <v>684</v>
      </c>
      <c r="D6" s="273"/>
      <c r="E6" s="273"/>
      <c r="F6" s="273"/>
      <c r="G6" s="274"/>
      <c r="H6" s="274"/>
      <c r="I6" s="274">
        <v>0</v>
      </c>
      <c r="J6" s="275"/>
      <c r="K6" s="276">
        <f>20*0</f>
        <v>0</v>
      </c>
    </row>
    <row r="7" spans="2:11" x14ac:dyDescent="0.25">
      <c r="B7" s="266">
        <f t="shared" si="1"/>
        <v>46027</v>
      </c>
      <c r="C7" s="61" t="s">
        <v>685</v>
      </c>
      <c r="D7" s="61">
        <v>1</v>
      </c>
      <c r="E7" s="61">
        <f t="shared" ref="E7:E11" si="2">16*2</f>
        <v>32</v>
      </c>
      <c r="F7" s="61">
        <v>13</v>
      </c>
      <c r="G7" s="269">
        <f>E7/F7</f>
        <v>2.4615384615384617</v>
      </c>
      <c r="H7" s="269">
        <v>6.5</v>
      </c>
      <c r="I7" s="269">
        <f>G7*H7</f>
        <v>16</v>
      </c>
      <c r="K7" s="270">
        <v>20</v>
      </c>
    </row>
    <row r="8" spans="2:11" x14ac:dyDescent="0.25">
      <c r="B8" s="266">
        <f t="shared" si="1"/>
        <v>46028</v>
      </c>
      <c r="C8" s="61" t="s">
        <v>686</v>
      </c>
      <c r="D8" s="61">
        <v>1</v>
      </c>
      <c r="E8" s="61">
        <f t="shared" si="2"/>
        <v>32</v>
      </c>
      <c r="F8" s="61">
        <v>13</v>
      </c>
      <c r="G8" s="269">
        <f>E8/F8</f>
        <v>2.4615384615384617</v>
      </c>
      <c r="H8" s="269">
        <v>6.5</v>
      </c>
      <c r="I8" s="269">
        <f>G8*H8</f>
        <v>16</v>
      </c>
      <c r="K8" s="270">
        <v>20</v>
      </c>
    </row>
    <row r="9" spans="2:11" x14ac:dyDescent="0.25">
      <c r="B9" s="266">
        <f t="shared" si="1"/>
        <v>46029</v>
      </c>
      <c r="C9" s="61" t="s">
        <v>687</v>
      </c>
      <c r="D9" s="61">
        <v>1</v>
      </c>
      <c r="E9" s="61">
        <f t="shared" si="2"/>
        <v>32</v>
      </c>
      <c r="F9" s="61">
        <v>13</v>
      </c>
      <c r="G9" s="269">
        <f>E9/F9</f>
        <v>2.4615384615384617</v>
      </c>
      <c r="H9" s="269">
        <v>6.5</v>
      </c>
      <c r="I9" s="269">
        <f>G9*H9</f>
        <v>16</v>
      </c>
      <c r="K9" s="270">
        <v>20</v>
      </c>
    </row>
    <row r="10" spans="2:11" x14ac:dyDescent="0.25">
      <c r="B10" s="266">
        <f t="shared" si="1"/>
        <v>46030</v>
      </c>
      <c r="C10" s="61" t="s">
        <v>688</v>
      </c>
      <c r="D10" s="61">
        <v>1</v>
      </c>
      <c r="E10" s="61">
        <f t="shared" si="2"/>
        <v>32</v>
      </c>
      <c r="F10" s="61">
        <v>13</v>
      </c>
      <c r="G10" s="269">
        <f>E10/F10</f>
        <v>2.4615384615384617</v>
      </c>
      <c r="H10" s="269">
        <v>6.5</v>
      </c>
      <c r="I10" s="269">
        <f>G10*H10</f>
        <v>16</v>
      </c>
      <c r="K10" s="270">
        <v>20</v>
      </c>
    </row>
    <row r="11" spans="2:11" x14ac:dyDescent="0.25">
      <c r="B11" s="266">
        <f t="shared" si="1"/>
        <v>46031</v>
      </c>
      <c r="C11" s="61" t="s">
        <v>682</v>
      </c>
      <c r="D11" s="61">
        <v>1</v>
      </c>
      <c r="E11" s="61">
        <f t="shared" si="2"/>
        <v>32</v>
      </c>
      <c r="F11" s="61">
        <v>13</v>
      </c>
      <c r="G11" s="269">
        <f>E11/F11</f>
        <v>2.4615384615384617</v>
      </c>
      <c r="H11" s="269">
        <v>6.5</v>
      </c>
      <c r="I11" s="269">
        <f>G11*H11</f>
        <v>16</v>
      </c>
      <c r="K11" s="270">
        <v>20</v>
      </c>
    </row>
    <row r="12" spans="2:11" x14ac:dyDescent="0.25">
      <c r="B12" s="272">
        <f t="shared" si="1"/>
        <v>46032</v>
      </c>
      <c r="C12" s="273" t="s">
        <v>683</v>
      </c>
      <c r="D12" s="273"/>
      <c r="E12" s="273"/>
      <c r="F12" s="273"/>
      <c r="G12" s="274"/>
      <c r="H12" s="274"/>
      <c r="I12" s="274">
        <v>0</v>
      </c>
      <c r="J12" s="275"/>
      <c r="K12" s="276">
        <f>20*0</f>
        <v>0</v>
      </c>
    </row>
    <row r="13" spans="2:11" x14ac:dyDescent="0.25">
      <c r="B13" s="272">
        <f t="shared" si="1"/>
        <v>46033</v>
      </c>
      <c r="C13" s="273" t="s">
        <v>684</v>
      </c>
      <c r="D13" s="273"/>
      <c r="E13" s="273"/>
      <c r="F13" s="273"/>
      <c r="G13" s="274"/>
      <c r="H13" s="274"/>
      <c r="I13" s="274">
        <v>0</v>
      </c>
      <c r="J13" s="275"/>
      <c r="K13" s="276">
        <v>0</v>
      </c>
    </row>
    <row r="14" spans="2:11" x14ac:dyDescent="0.25">
      <c r="B14" s="266">
        <f t="shared" si="1"/>
        <v>46034</v>
      </c>
      <c r="C14" s="61" t="s">
        <v>685</v>
      </c>
      <c r="D14" s="61">
        <v>1</v>
      </c>
      <c r="E14" s="61">
        <f>16*2</f>
        <v>32</v>
      </c>
      <c r="F14" s="61">
        <v>13</v>
      </c>
      <c r="G14" s="269">
        <f>E14/F14</f>
        <v>2.4615384615384617</v>
      </c>
      <c r="H14" s="269">
        <v>6.5</v>
      </c>
      <c r="I14" s="269">
        <f>G14*H14</f>
        <v>16</v>
      </c>
      <c r="K14" s="270">
        <v>20</v>
      </c>
    </row>
    <row r="15" spans="2:11" x14ac:dyDescent="0.25">
      <c r="B15" s="266">
        <f t="shared" si="1"/>
        <v>46035</v>
      </c>
      <c r="C15" s="61" t="s">
        <v>686</v>
      </c>
      <c r="D15" s="61">
        <v>1</v>
      </c>
      <c r="E15" s="61">
        <f t="shared" ref="E15:E18" si="3">16*2</f>
        <v>32</v>
      </c>
      <c r="F15" s="61">
        <v>13</v>
      </c>
      <c r="G15" s="269">
        <f>E15/F15</f>
        <v>2.4615384615384617</v>
      </c>
      <c r="H15" s="269">
        <v>6.5</v>
      </c>
      <c r="I15" s="269">
        <f>G15*H15</f>
        <v>16</v>
      </c>
      <c r="K15" s="270">
        <v>20</v>
      </c>
    </row>
    <row r="16" spans="2:11" x14ac:dyDescent="0.25">
      <c r="B16" s="266">
        <f t="shared" si="1"/>
        <v>46036</v>
      </c>
      <c r="C16" s="61" t="s">
        <v>687</v>
      </c>
      <c r="D16" s="61">
        <v>1</v>
      </c>
      <c r="E16" s="61">
        <f t="shared" si="3"/>
        <v>32</v>
      </c>
      <c r="F16" s="61">
        <v>13</v>
      </c>
      <c r="G16" s="269">
        <f>E16/F16</f>
        <v>2.4615384615384617</v>
      </c>
      <c r="H16" s="269">
        <v>6.5</v>
      </c>
      <c r="I16" s="269">
        <f>G16*H16</f>
        <v>16</v>
      </c>
      <c r="K16" s="270">
        <v>20</v>
      </c>
    </row>
    <row r="17" spans="2:11" x14ac:dyDescent="0.25">
      <c r="B17" s="266">
        <f t="shared" si="1"/>
        <v>46037</v>
      </c>
      <c r="C17" s="61" t="s">
        <v>688</v>
      </c>
      <c r="D17" s="61">
        <v>1</v>
      </c>
      <c r="E17" s="61">
        <f t="shared" si="3"/>
        <v>32</v>
      </c>
      <c r="F17" s="61">
        <v>13</v>
      </c>
      <c r="G17" s="269">
        <f>E17/F17</f>
        <v>2.4615384615384617</v>
      </c>
      <c r="H17" s="269">
        <v>6.5</v>
      </c>
      <c r="I17" s="269">
        <f>G17*H17</f>
        <v>16</v>
      </c>
      <c r="K17" s="270">
        <v>20</v>
      </c>
    </row>
    <row r="18" spans="2:11" x14ac:dyDescent="0.25">
      <c r="B18" s="266">
        <f t="shared" si="1"/>
        <v>46038</v>
      </c>
      <c r="C18" s="61" t="s">
        <v>682</v>
      </c>
      <c r="D18" s="61">
        <v>1</v>
      </c>
      <c r="E18" s="61">
        <f t="shared" si="3"/>
        <v>32</v>
      </c>
      <c r="F18" s="61">
        <v>13</v>
      </c>
      <c r="G18" s="269">
        <f>E18/F18</f>
        <v>2.4615384615384617</v>
      </c>
      <c r="H18" s="269">
        <v>6.5</v>
      </c>
      <c r="I18" s="269">
        <f>G18*H18</f>
        <v>16</v>
      </c>
      <c r="K18" s="270">
        <v>20</v>
      </c>
    </row>
    <row r="19" spans="2:11" x14ac:dyDescent="0.25">
      <c r="B19" s="272">
        <f t="shared" si="1"/>
        <v>46039</v>
      </c>
      <c r="C19" s="273" t="s">
        <v>683</v>
      </c>
      <c r="D19" s="273"/>
      <c r="E19" s="273"/>
      <c r="F19" s="273"/>
      <c r="G19" s="274"/>
      <c r="H19" s="274"/>
      <c r="I19" s="274">
        <v>0</v>
      </c>
      <c r="J19" s="275"/>
      <c r="K19" s="276">
        <v>0</v>
      </c>
    </row>
    <row r="20" spans="2:11" x14ac:dyDescent="0.25">
      <c r="B20" s="272">
        <f t="shared" si="1"/>
        <v>46040</v>
      </c>
      <c r="C20" s="273" t="s">
        <v>684</v>
      </c>
      <c r="D20" s="273"/>
      <c r="E20" s="273"/>
      <c r="F20" s="273"/>
      <c r="G20" s="274"/>
      <c r="H20" s="274"/>
      <c r="I20" s="274">
        <v>0</v>
      </c>
      <c r="J20" s="275"/>
      <c r="K20" s="276">
        <v>0</v>
      </c>
    </row>
    <row r="21" spans="2:11" x14ac:dyDescent="0.25">
      <c r="B21" s="266">
        <f t="shared" si="1"/>
        <v>46041</v>
      </c>
      <c r="C21" s="61" t="s">
        <v>685</v>
      </c>
      <c r="D21" s="61">
        <v>1</v>
      </c>
      <c r="E21" s="61">
        <f t="shared" ref="E21:E25" si="4">16*2</f>
        <v>32</v>
      </c>
      <c r="F21" s="61">
        <v>13</v>
      </c>
      <c r="G21" s="269">
        <f>E21/F21</f>
        <v>2.4615384615384617</v>
      </c>
      <c r="H21" s="269">
        <v>6.5</v>
      </c>
      <c r="I21" s="269">
        <f>G21*H21</f>
        <v>16</v>
      </c>
      <c r="K21" s="270">
        <v>20</v>
      </c>
    </row>
    <row r="22" spans="2:11" x14ac:dyDescent="0.25">
      <c r="B22" s="266">
        <f t="shared" si="1"/>
        <v>46042</v>
      </c>
      <c r="C22" s="61" t="s">
        <v>686</v>
      </c>
      <c r="D22" s="61">
        <v>1</v>
      </c>
      <c r="E22" s="61">
        <f t="shared" si="4"/>
        <v>32</v>
      </c>
      <c r="F22" s="61">
        <v>13</v>
      </c>
      <c r="G22" s="269">
        <f>E22/F22</f>
        <v>2.4615384615384617</v>
      </c>
      <c r="H22" s="269">
        <v>6.5</v>
      </c>
      <c r="I22" s="269">
        <f>G22*H22</f>
        <v>16</v>
      </c>
      <c r="K22" s="270">
        <v>20</v>
      </c>
    </row>
    <row r="23" spans="2:11" x14ac:dyDescent="0.25">
      <c r="B23" s="266">
        <f t="shared" si="1"/>
        <v>46043</v>
      </c>
      <c r="C23" s="61" t="s">
        <v>687</v>
      </c>
      <c r="D23" s="61">
        <v>1</v>
      </c>
      <c r="E23" s="61">
        <f t="shared" si="4"/>
        <v>32</v>
      </c>
      <c r="F23" s="61">
        <v>13</v>
      </c>
      <c r="G23" s="269">
        <f>E23/F23</f>
        <v>2.4615384615384617</v>
      </c>
      <c r="H23" s="269">
        <v>6.5</v>
      </c>
      <c r="I23" s="269">
        <f>G23*H23</f>
        <v>16</v>
      </c>
      <c r="K23" s="270">
        <v>20</v>
      </c>
    </row>
    <row r="24" spans="2:11" x14ac:dyDescent="0.25">
      <c r="B24" s="266">
        <f t="shared" si="1"/>
        <v>46044</v>
      </c>
      <c r="C24" s="61" t="s">
        <v>688</v>
      </c>
      <c r="D24" s="61">
        <v>1</v>
      </c>
      <c r="E24" s="61">
        <f t="shared" si="4"/>
        <v>32</v>
      </c>
      <c r="F24" s="61">
        <v>13</v>
      </c>
      <c r="G24" s="269">
        <f>E24/F24</f>
        <v>2.4615384615384617</v>
      </c>
      <c r="H24" s="269">
        <v>6.5</v>
      </c>
      <c r="I24" s="269">
        <f>G24*H24</f>
        <v>16</v>
      </c>
      <c r="K24" s="270">
        <v>20</v>
      </c>
    </row>
    <row r="25" spans="2:11" x14ac:dyDescent="0.25">
      <c r="B25" s="266">
        <f t="shared" si="1"/>
        <v>46045</v>
      </c>
      <c r="C25" s="61" t="s">
        <v>682</v>
      </c>
      <c r="D25" s="61">
        <v>1</v>
      </c>
      <c r="E25" s="61">
        <f t="shared" si="4"/>
        <v>32</v>
      </c>
      <c r="F25" s="61">
        <v>13</v>
      </c>
      <c r="G25" s="269">
        <f>E25/F25</f>
        <v>2.4615384615384617</v>
      </c>
      <c r="H25" s="269">
        <v>6.5</v>
      </c>
      <c r="I25" s="269">
        <f>G25*H25</f>
        <v>16</v>
      </c>
      <c r="K25" s="270">
        <v>20</v>
      </c>
    </row>
    <row r="26" spans="2:11" x14ac:dyDescent="0.25">
      <c r="B26" s="272">
        <f t="shared" si="1"/>
        <v>46046</v>
      </c>
      <c r="C26" s="273" t="s">
        <v>683</v>
      </c>
      <c r="D26" s="273"/>
      <c r="E26" s="273"/>
      <c r="F26" s="273"/>
      <c r="G26" s="274"/>
      <c r="H26" s="274"/>
      <c r="I26" s="274">
        <v>0</v>
      </c>
      <c r="J26" s="275"/>
      <c r="K26" s="276">
        <v>0</v>
      </c>
    </row>
    <row r="27" spans="2:11" x14ac:dyDescent="0.25">
      <c r="B27" s="272">
        <f t="shared" si="1"/>
        <v>46047</v>
      </c>
      <c r="C27" s="273" t="s">
        <v>684</v>
      </c>
      <c r="D27" s="273"/>
      <c r="E27" s="273"/>
      <c r="F27" s="273"/>
      <c r="G27" s="274"/>
      <c r="H27" s="274"/>
      <c r="I27" s="274">
        <v>0</v>
      </c>
      <c r="J27" s="275"/>
      <c r="K27" s="276">
        <v>0</v>
      </c>
    </row>
    <row r="28" spans="2:11" x14ac:dyDescent="0.25">
      <c r="B28" s="266">
        <f t="shared" si="1"/>
        <v>46048</v>
      </c>
      <c r="C28" s="61" t="s">
        <v>685</v>
      </c>
      <c r="D28" s="61">
        <v>1</v>
      </c>
      <c r="E28" s="61">
        <f t="shared" ref="E28:E32" si="5">16*2</f>
        <v>32</v>
      </c>
      <c r="F28" s="61">
        <v>13</v>
      </c>
      <c r="G28" s="269">
        <f>E28/F28</f>
        <v>2.4615384615384617</v>
      </c>
      <c r="H28" s="269">
        <v>6.5</v>
      </c>
      <c r="I28" s="269">
        <f>G28*H28</f>
        <v>16</v>
      </c>
      <c r="K28" s="270">
        <v>20</v>
      </c>
    </row>
    <row r="29" spans="2:11" x14ac:dyDescent="0.25">
      <c r="B29" s="266">
        <f t="shared" si="1"/>
        <v>46049</v>
      </c>
      <c r="C29" s="61" t="s">
        <v>686</v>
      </c>
      <c r="D29" s="61">
        <v>1</v>
      </c>
      <c r="E29" s="61">
        <f t="shared" si="5"/>
        <v>32</v>
      </c>
      <c r="F29" s="61">
        <v>13</v>
      </c>
      <c r="G29" s="269">
        <f>E29/F29</f>
        <v>2.4615384615384617</v>
      </c>
      <c r="H29" s="269">
        <v>6.5</v>
      </c>
      <c r="I29" s="269">
        <f>G29*H29</f>
        <v>16</v>
      </c>
      <c r="K29" s="270">
        <v>20</v>
      </c>
    </row>
    <row r="30" spans="2:11" x14ac:dyDescent="0.25">
      <c r="B30" s="266">
        <f t="shared" si="1"/>
        <v>46050</v>
      </c>
      <c r="C30" s="61" t="s">
        <v>687</v>
      </c>
      <c r="D30" s="61">
        <v>1</v>
      </c>
      <c r="E30" s="61">
        <f t="shared" si="5"/>
        <v>32</v>
      </c>
      <c r="F30" s="61">
        <v>13</v>
      </c>
      <c r="G30" s="269">
        <f>E30/F30</f>
        <v>2.4615384615384617</v>
      </c>
      <c r="H30" s="269">
        <v>6.5</v>
      </c>
      <c r="I30" s="269">
        <f>G30*H30</f>
        <v>16</v>
      </c>
      <c r="K30" s="270">
        <v>20</v>
      </c>
    </row>
    <row r="31" spans="2:11" x14ac:dyDescent="0.25">
      <c r="B31" s="266">
        <f t="shared" si="1"/>
        <v>46051</v>
      </c>
      <c r="C31" s="61" t="s">
        <v>688</v>
      </c>
      <c r="D31" s="61">
        <v>1</v>
      </c>
      <c r="E31" s="61">
        <f t="shared" si="5"/>
        <v>32</v>
      </c>
      <c r="F31" s="61">
        <v>13</v>
      </c>
      <c r="G31" s="269">
        <f>E31/F31</f>
        <v>2.4615384615384617</v>
      </c>
      <c r="H31" s="269">
        <v>6.5</v>
      </c>
      <c r="I31" s="269">
        <f>G31*H31</f>
        <v>16</v>
      </c>
      <c r="K31" s="270">
        <v>20</v>
      </c>
    </row>
    <row r="32" spans="2:11" x14ac:dyDescent="0.25">
      <c r="B32" s="266">
        <f t="shared" si="1"/>
        <v>46052</v>
      </c>
      <c r="C32" s="61" t="s">
        <v>682</v>
      </c>
      <c r="D32" s="61">
        <v>1</v>
      </c>
      <c r="E32" s="61">
        <f t="shared" si="5"/>
        <v>32</v>
      </c>
      <c r="F32" s="61">
        <v>13</v>
      </c>
      <c r="G32" s="269">
        <f>E32/F32</f>
        <v>2.4615384615384617</v>
      </c>
      <c r="H32" s="269">
        <v>6.5</v>
      </c>
      <c r="I32" s="269">
        <f>G32*H32</f>
        <v>16</v>
      </c>
      <c r="K32" s="270">
        <v>20</v>
      </c>
    </row>
    <row r="33" spans="4:11" x14ac:dyDescent="0.25">
      <c r="D33" s="88">
        <f>SUM(D3:D32)</f>
        <v>22</v>
      </c>
      <c r="E33" s="88">
        <f>SUM(E3:E32)</f>
        <v>704</v>
      </c>
      <c r="F33" s="88"/>
      <c r="G33" s="88"/>
      <c r="H33" s="271"/>
      <c r="I33" s="271">
        <f>SUM(I3:I32)*-1</f>
        <v>-352</v>
      </c>
      <c r="K33" s="271">
        <f>SUM(K3:K32)*-1</f>
        <v>-440</v>
      </c>
    </row>
  </sheetData>
  <autoFilter ref="B2:K2" xr:uid="{5A2512EB-977D-4CF8-BC81-32AC13E37A2F}"/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Cad_Natureza</vt:lpstr>
      <vt:lpstr>2025</vt:lpstr>
      <vt:lpstr>2026</vt:lpstr>
      <vt:lpstr>CAIXA_REAL</vt:lpstr>
      <vt:lpstr>CAIXA_PREVISTO</vt:lpstr>
      <vt:lpstr>PARETO</vt:lpstr>
      <vt:lpstr>Resumo - Ação</vt:lpstr>
      <vt:lpstr>2025_Pensao_INDICE</vt:lpstr>
      <vt:lpstr>Saneago</vt:lpstr>
      <vt:lpstr>Energia_Pgtos</vt:lpstr>
      <vt:lpstr>Composição</vt:lpstr>
      <vt:lpstr>Prev_Combust_Refei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marcelo Costa dos Santos</cp:lastModifiedBy>
  <cp:lastPrinted>2019-01-02T16:26:32Z</cp:lastPrinted>
  <dcterms:created xsi:type="dcterms:W3CDTF">2011-11-06T23:53:10Z</dcterms:created>
  <dcterms:modified xsi:type="dcterms:W3CDTF">2026-06-16T00:12:15Z</dcterms:modified>
</cp:coreProperties>
</file>